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tern6\trst_dev\truston_quant_dev\ship\data\"/>
    </mc:Choice>
  </mc:AlternateContent>
  <xr:revisionPtr revIDLastSave="0" documentId="8_{D76DFAD2-5E27-493F-9570-7FDA649C4B1D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__FDSCACHE__" sheetId="1" state="veryHidden" r:id="rId1"/>
    <sheet name="주가" sheetId="2" r:id="rId2"/>
    <sheet name="주가 숫자" sheetId="3" r:id="rId3"/>
    <sheet name="Index" sheetId="4" r:id="rId4"/>
    <sheet name="Index 숫자" sheetId="5" r:id="rId5"/>
    <sheet name="환율" sheetId="6" r:id="rId6"/>
    <sheet name="Facto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 a="1"/>
  <c r="F368" i="4" s="1"/>
  <c r="E2" i="4" a="1"/>
  <c r="E358" i="4" s="1"/>
  <c r="D2" i="4" a="1"/>
  <c r="C2" i="4" a="1"/>
  <c r="C347" i="4" s="1"/>
  <c r="B2" i="4" a="1"/>
  <c r="A2" i="4" a="1"/>
  <c r="A87" i="4" s="1"/>
  <c r="AB2" i="2" a="1"/>
  <c r="AA2" i="2" a="1"/>
  <c r="AA366" i="2" s="1"/>
  <c r="Z2" i="2" a="1"/>
  <c r="Z301" i="2" s="1"/>
  <c r="Y2" i="2" a="1"/>
  <c r="Y369" i="2" s="1"/>
  <c r="X2" i="2" a="1"/>
  <c r="X322" i="2" s="1"/>
  <c r="W2" i="2" a="1"/>
  <c r="W365" i="2" s="1"/>
  <c r="V2" i="2" a="1"/>
  <c r="V373" i="2" s="1"/>
  <c r="U2" i="2" a="1"/>
  <c r="U368" i="2" s="1"/>
  <c r="T2" i="2" a="1"/>
  <c r="T346" i="2" s="1"/>
  <c r="S2" i="2" a="1"/>
  <c r="S364" i="2" s="1"/>
  <c r="R2" i="2" a="1"/>
  <c r="R374" i="2" s="1"/>
  <c r="Q2" i="2" a="1"/>
  <c r="Q354" i="2" s="1"/>
  <c r="P2" i="2" a="1"/>
  <c r="P369" i="2" s="1"/>
  <c r="O2" i="2" a="1"/>
  <c r="O370" i="2" s="1"/>
  <c r="N2" i="2" a="1"/>
  <c r="N265" i="2" s="1"/>
  <c r="M2" i="2" a="1"/>
  <c r="M371" i="2" s="1"/>
  <c r="L2" i="2" a="1"/>
  <c r="L368" i="2" s="1"/>
  <c r="K2" i="2" a="1"/>
  <c r="K373" i="2" s="1"/>
  <c r="J2" i="2" a="1"/>
  <c r="J368" i="2" s="1"/>
  <c r="I2" i="2" a="1"/>
  <c r="H2" i="2" a="1"/>
  <c r="G2" i="2" a="1"/>
  <c r="G368" i="2" s="1"/>
  <c r="F2" i="2" a="1"/>
  <c r="F368" i="2" s="1"/>
  <c r="E2" i="2" a="1"/>
  <c r="E368" i="2" s="1"/>
  <c r="D2" i="2" a="1"/>
  <c r="D372" i="2" s="1"/>
  <c r="C2" i="2" a="1"/>
  <c r="C374" i="2" s="1"/>
  <c r="B2" i="2" a="1"/>
  <c r="B347" i="2" s="1"/>
  <c r="A2" i="2" a="1"/>
  <c r="A370" i="2" s="1"/>
  <c r="M169" i="2" l="1"/>
  <c r="S16" i="2"/>
  <c r="M24" i="2"/>
  <c r="M277" i="2"/>
  <c r="R4" i="2"/>
  <c r="X59" i="2"/>
  <c r="A135" i="4"/>
  <c r="M78" i="2"/>
  <c r="R47" i="2"/>
  <c r="M115" i="2"/>
  <c r="R150" i="2"/>
  <c r="U14" i="2"/>
  <c r="M186" i="2"/>
  <c r="M7" i="2"/>
  <c r="M240" i="2"/>
  <c r="S52" i="2"/>
  <c r="D292" i="2"/>
  <c r="A15" i="2"/>
  <c r="M34" i="2"/>
  <c r="M124" i="2"/>
  <c r="M196" i="2"/>
  <c r="M286" i="2"/>
  <c r="R222" i="2"/>
  <c r="S181" i="2"/>
  <c r="U78" i="2"/>
  <c r="A102" i="2"/>
  <c r="C117" i="2"/>
  <c r="M61" i="2"/>
  <c r="M132" i="2"/>
  <c r="M223" i="2"/>
  <c r="M294" i="2"/>
  <c r="R366" i="2"/>
  <c r="S224" i="2"/>
  <c r="U143" i="2"/>
  <c r="M70" i="2"/>
  <c r="M142" i="2"/>
  <c r="M232" i="2"/>
  <c r="M321" i="2"/>
  <c r="S256" i="2"/>
  <c r="A145" i="2"/>
  <c r="A188" i="2"/>
  <c r="D76" i="2"/>
  <c r="A274" i="2"/>
  <c r="D172" i="2"/>
  <c r="M16" i="2"/>
  <c r="M88" i="2"/>
  <c r="M178" i="2"/>
  <c r="M250" i="2"/>
  <c r="R90" i="2"/>
  <c r="S43" i="2"/>
  <c r="F230" i="2"/>
  <c r="D4" i="2"/>
  <c r="D100" i="2"/>
  <c r="D220" i="2"/>
  <c r="D316" i="2"/>
  <c r="F72" i="2"/>
  <c r="F331" i="2"/>
  <c r="A361" i="2"/>
  <c r="D16" i="2"/>
  <c r="D124" i="2"/>
  <c r="D232" i="2"/>
  <c r="D340" i="2"/>
  <c r="F100" i="2"/>
  <c r="F360" i="2"/>
  <c r="M43" i="2"/>
  <c r="M97" i="2"/>
  <c r="M151" i="2"/>
  <c r="M205" i="2"/>
  <c r="M259" i="2"/>
  <c r="M339" i="2"/>
  <c r="R294" i="2"/>
  <c r="S94" i="2"/>
  <c r="S343" i="2"/>
  <c r="U208" i="2"/>
  <c r="X11" i="2"/>
  <c r="D88" i="2"/>
  <c r="D196" i="2"/>
  <c r="D304" i="2"/>
  <c r="F28" i="2"/>
  <c r="F288" i="2"/>
  <c r="D28" i="2"/>
  <c r="D148" i="2"/>
  <c r="D244" i="2"/>
  <c r="D364" i="2"/>
  <c r="F158" i="2"/>
  <c r="M51" i="2"/>
  <c r="M105" i="2"/>
  <c r="M159" i="2"/>
  <c r="M213" i="2"/>
  <c r="M267" i="2"/>
  <c r="M348" i="2"/>
  <c r="S127" i="2"/>
  <c r="U273" i="2"/>
  <c r="X27" i="2"/>
  <c r="D52" i="2"/>
  <c r="D160" i="2"/>
  <c r="D268" i="2"/>
  <c r="F201" i="2"/>
  <c r="S138" i="2"/>
  <c r="U338" i="2"/>
  <c r="X35" i="2"/>
  <c r="C151" i="4"/>
  <c r="F115" i="2"/>
  <c r="F244" i="2"/>
  <c r="M25" i="2"/>
  <c r="M52" i="2"/>
  <c r="M79" i="2"/>
  <c r="M106" i="2"/>
  <c r="M133" i="2"/>
  <c r="M160" i="2"/>
  <c r="M187" i="2"/>
  <c r="M214" i="2"/>
  <c r="M241" i="2"/>
  <c r="M268" i="2"/>
  <c r="M303" i="2"/>
  <c r="M357" i="2"/>
  <c r="P3" i="2"/>
  <c r="P165" i="2"/>
  <c r="R11" i="2"/>
  <c r="R54" i="2"/>
  <c r="R100" i="2"/>
  <c r="R162" i="2"/>
  <c r="R234" i="2"/>
  <c r="R306" i="2"/>
  <c r="S55" i="2"/>
  <c r="S141" i="2"/>
  <c r="S267" i="2"/>
  <c r="U35" i="2"/>
  <c r="U165" i="2"/>
  <c r="U294" i="2"/>
  <c r="X45" i="2"/>
  <c r="A183" i="4"/>
  <c r="C8" i="4"/>
  <c r="C197" i="4"/>
  <c r="E12" i="4"/>
  <c r="E128" i="4"/>
  <c r="E263" i="4"/>
  <c r="P139" i="2"/>
  <c r="E107" i="4"/>
  <c r="E237" i="4"/>
  <c r="B23" i="2"/>
  <c r="B282" i="2"/>
  <c r="A231" i="2"/>
  <c r="B66" i="2"/>
  <c r="D40" i="2"/>
  <c r="D112" i="2"/>
  <c r="D184" i="2"/>
  <c r="D256" i="2"/>
  <c r="D328" i="2"/>
  <c r="F14" i="2"/>
  <c r="F144" i="2"/>
  <c r="F273" i="2"/>
  <c r="M6" i="2"/>
  <c r="M33" i="2"/>
  <c r="M60" i="2"/>
  <c r="M87" i="2"/>
  <c r="M114" i="2"/>
  <c r="M141" i="2"/>
  <c r="M168" i="2"/>
  <c r="M195" i="2"/>
  <c r="M222" i="2"/>
  <c r="M249" i="2"/>
  <c r="M276" i="2"/>
  <c r="M312" i="2"/>
  <c r="M366" i="2"/>
  <c r="P31" i="2"/>
  <c r="P193" i="2"/>
  <c r="R18" i="2"/>
  <c r="R61" i="2"/>
  <c r="R108" i="2"/>
  <c r="R174" i="2"/>
  <c r="R246" i="2"/>
  <c r="R318" i="2"/>
  <c r="S7" i="2"/>
  <c r="S84" i="2"/>
  <c r="S170" i="2"/>
  <c r="S300" i="2"/>
  <c r="U57" i="2"/>
  <c r="U186" i="2"/>
  <c r="U316" i="2"/>
  <c r="X3" i="2"/>
  <c r="X51" i="2"/>
  <c r="A231" i="4"/>
  <c r="C23" i="4"/>
  <c r="C223" i="4"/>
  <c r="E30" i="4"/>
  <c r="E150" i="4"/>
  <c r="E288" i="4"/>
  <c r="B109" i="2"/>
  <c r="P57" i="2"/>
  <c r="P219" i="2"/>
  <c r="R25" i="2"/>
  <c r="R69" i="2"/>
  <c r="R118" i="2"/>
  <c r="R186" i="2"/>
  <c r="R258" i="2"/>
  <c r="R330" i="2"/>
  <c r="A279" i="4"/>
  <c r="C53" i="4"/>
  <c r="C269" i="4"/>
  <c r="E48" i="4"/>
  <c r="E171" i="4"/>
  <c r="E315" i="4"/>
  <c r="A58" i="2"/>
  <c r="A318" i="2"/>
  <c r="B152" i="2"/>
  <c r="D64" i="2"/>
  <c r="D136" i="2"/>
  <c r="D208" i="2"/>
  <c r="D280" i="2"/>
  <c r="D352" i="2"/>
  <c r="F57" i="2"/>
  <c r="F187" i="2"/>
  <c r="F316" i="2"/>
  <c r="M15" i="2"/>
  <c r="M42" i="2"/>
  <c r="M69" i="2"/>
  <c r="M96" i="2"/>
  <c r="M123" i="2"/>
  <c r="M150" i="2"/>
  <c r="M177" i="2"/>
  <c r="M204" i="2"/>
  <c r="M231" i="2"/>
  <c r="M258" i="2"/>
  <c r="M285" i="2"/>
  <c r="M330" i="2"/>
  <c r="N103" i="2"/>
  <c r="P85" i="2"/>
  <c r="R33" i="2"/>
  <c r="R76" i="2"/>
  <c r="R126" i="2"/>
  <c r="R198" i="2"/>
  <c r="R270" i="2"/>
  <c r="R342" i="2"/>
  <c r="S19" i="2"/>
  <c r="S98" i="2"/>
  <c r="S213" i="2"/>
  <c r="U100" i="2"/>
  <c r="U230" i="2"/>
  <c r="U359" i="2"/>
  <c r="X21" i="2"/>
  <c r="X70" i="2"/>
  <c r="A39" i="4"/>
  <c r="A327" i="4"/>
  <c r="C79" i="4"/>
  <c r="C295" i="4"/>
  <c r="E66" i="4"/>
  <c r="E193" i="4"/>
  <c r="E346" i="4"/>
  <c r="B239" i="2"/>
  <c r="B196" i="2"/>
  <c r="P111" i="2"/>
  <c r="R40" i="2"/>
  <c r="R83" i="2"/>
  <c r="R138" i="2"/>
  <c r="R210" i="2"/>
  <c r="R282" i="2"/>
  <c r="R354" i="2"/>
  <c r="U122" i="2"/>
  <c r="U251" i="2"/>
  <c r="C125" i="4"/>
  <c r="E85" i="4"/>
  <c r="E215" i="4"/>
  <c r="B368" i="2"/>
  <c r="C17" i="2"/>
  <c r="C35" i="2"/>
  <c r="C53" i="2"/>
  <c r="C71" i="2"/>
  <c r="C81" i="2"/>
  <c r="C99" i="2"/>
  <c r="C107" i="2"/>
  <c r="C125" i="2"/>
  <c r="C143" i="2"/>
  <c r="C153" i="2"/>
  <c r="C161" i="2"/>
  <c r="C171" i="2"/>
  <c r="C179" i="2"/>
  <c r="C189" i="2"/>
  <c r="C201" i="2"/>
  <c r="C213" i="2"/>
  <c r="C225" i="2"/>
  <c r="C237" i="2"/>
  <c r="C249" i="2"/>
  <c r="C261" i="2"/>
  <c r="C273" i="2"/>
  <c r="C285" i="2"/>
  <c r="C297" i="2"/>
  <c r="C309" i="2"/>
  <c r="C321" i="2"/>
  <c r="C333" i="2"/>
  <c r="C357" i="2"/>
  <c r="C369" i="2"/>
  <c r="A2" i="2"/>
  <c r="A37" i="2"/>
  <c r="A80" i="2"/>
  <c r="A123" i="2"/>
  <c r="A166" i="2"/>
  <c r="A210" i="2"/>
  <c r="A253" i="2"/>
  <c r="A296" i="2"/>
  <c r="A339" i="2"/>
  <c r="A87" i="2"/>
  <c r="A217" i="2"/>
  <c r="B8" i="2"/>
  <c r="B138" i="2"/>
  <c r="B224" i="2"/>
  <c r="B268" i="2"/>
  <c r="B311" i="2"/>
  <c r="C5" i="2"/>
  <c r="C15" i="2"/>
  <c r="C23" i="2"/>
  <c r="C33" i="2"/>
  <c r="C41" i="2"/>
  <c r="C51" i="2"/>
  <c r="C59" i="2"/>
  <c r="C69" i="2"/>
  <c r="C77" i="2"/>
  <c r="C87" i="2"/>
  <c r="C95" i="2"/>
  <c r="C105" i="2"/>
  <c r="C113" i="2"/>
  <c r="C123" i="2"/>
  <c r="C131" i="2"/>
  <c r="C141" i="2"/>
  <c r="C149" i="2"/>
  <c r="C159" i="2"/>
  <c r="C167" i="2"/>
  <c r="C177" i="2"/>
  <c r="C185" i="2"/>
  <c r="C197" i="2"/>
  <c r="C209" i="2"/>
  <c r="C221" i="2"/>
  <c r="C233" i="2"/>
  <c r="C245" i="2"/>
  <c r="C257" i="2"/>
  <c r="C269" i="2"/>
  <c r="C281" i="2"/>
  <c r="C293" i="2"/>
  <c r="C305" i="2"/>
  <c r="C317" i="2"/>
  <c r="C329" i="2"/>
  <c r="C341" i="2"/>
  <c r="C353" i="2"/>
  <c r="C365" i="2"/>
  <c r="D13" i="2"/>
  <c r="D25" i="2"/>
  <c r="D37" i="2"/>
  <c r="D49" i="2"/>
  <c r="D61" i="2"/>
  <c r="D73" i="2"/>
  <c r="D85" i="2"/>
  <c r="D97" i="2"/>
  <c r="D109" i="2"/>
  <c r="D121" i="2"/>
  <c r="D133" i="2"/>
  <c r="D145" i="2"/>
  <c r="D157" i="2"/>
  <c r="D169" i="2"/>
  <c r="D181" i="2"/>
  <c r="D193" i="2"/>
  <c r="D205" i="2"/>
  <c r="D217" i="2"/>
  <c r="D229" i="2"/>
  <c r="D241" i="2"/>
  <c r="D253" i="2"/>
  <c r="D265" i="2"/>
  <c r="D277" i="2"/>
  <c r="D289" i="2"/>
  <c r="D301" i="2"/>
  <c r="D313" i="2"/>
  <c r="D325" i="2"/>
  <c r="D337" i="2"/>
  <c r="D349" i="2"/>
  <c r="D361" i="2"/>
  <c r="D373" i="2"/>
  <c r="E13" i="2"/>
  <c r="E31" i="2"/>
  <c r="E49" i="2"/>
  <c r="E67" i="2"/>
  <c r="E85" i="2"/>
  <c r="E103" i="2"/>
  <c r="E121" i="2"/>
  <c r="E139" i="2"/>
  <c r="E157" i="2"/>
  <c r="E175" i="2"/>
  <c r="E193" i="2"/>
  <c r="E211" i="2"/>
  <c r="E229" i="2"/>
  <c r="E247" i="2"/>
  <c r="E265" i="2"/>
  <c r="E283" i="2"/>
  <c r="E301" i="2"/>
  <c r="E319" i="2"/>
  <c r="E340" i="2"/>
  <c r="E362" i="2"/>
  <c r="G28" i="2"/>
  <c r="G71" i="2"/>
  <c r="G114" i="2"/>
  <c r="G157" i="2"/>
  <c r="G200" i="2"/>
  <c r="G244" i="2"/>
  <c r="G287" i="2"/>
  <c r="G330" i="2"/>
  <c r="H368" i="2"/>
  <c r="H351" i="2"/>
  <c r="H308" i="2"/>
  <c r="H264" i="2"/>
  <c r="H221" i="2"/>
  <c r="H178" i="2"/>
  <c r="H142" i="2"/>
  <c r="H120" i="2"/>
  <c r="H344" i="2"/>
  <c r="H300" i="2"/>
  <c r="H257" i="2"/>
  <c r="H214" i="2"/>
  <c r="H171" i="2"/>
  <c r="H137" i="2"/>
  <c r="H22" i="2"/>
  <c r="H44" i="2"/>
  <c r="H65" i="2"/>
  <c r="H87" i="2"/>
  <c r="H108" i="2"/>
  <c r="H135" i="2"/>
  <c r="H192" i="2"/>
  <c r="H250" i="2"/>
  <c r="H322" i="2"/>
  <c r="I374" i="2"/>
  <c r="I367" i="2"/>
  <c r="I358" i="2"/>
  <c r="I349" i="2"/>
  <c r="I340" i="2"/>
  <c r="I331" i="2"/>
  <c r="I322" i="2"/>
  <c r="I313" i="2"/>
  <c r="I304" i="2"/>
  <c r="I295" i="2"/>
  <c r="I286" i="2"/>
  <c r="I277" i="2"/>
  <c r="I268" i="2"/>
  <c r="I259" i="2"/>
  <c r="I250" i="2"/>
  <c r="I241" i="2"/>
  <c r="I232" i="2"/>
  <c r="I223" i="2"/>
  <c r="I214" i="2"/>
  <c r="I205" i="2"/>
  <c r="I196" i="2"/>
  <c r="I187" i="2"/>
  <c r="I178" i="2"/>
  <c r="I169" i="2"/>
  <c r="I160" i="2"/>
  <c r="I151" i="2"/>
  <c r="I142" i="2"/>
  <c r="I133" i="2"/>
  <c r="I373" i="2"/>
  <c r="I364" i="2"/>
  <c r="I355" i="2"/>
  <c r="I346" i="2"/>
  <c r="I337" i="2"/>
  <c r="I328" i="2"/>
  <c r="I319" i="2"/>
  <c r="I310" i="2"/>
  <c r="I301" i="2"/>
  <c r="I292" i="2"/>
  <c r="I283" i="2"/>
  <c r="I274" i="2"/>
  <c r="I265" i="2"/>
  <c r="I256" i="2"/>
  <c r="I247" i="2"/>
  <c r="I238" i="2"/>
  <c r="I229" i="2"/>
  <c r="I220" i="2"/>
  <c r="I211" i="2"/>
  <c r="I202" i="2"/>
  <c r="I193" i="2"/>
  <c r="I184" i="2"/>
  <c r="I175" i="2"/>
  <c r="I166" i="2"/>
  <c r="I157" i="2"/>
  <c r="I148" i="2"/>
  <c r="I139" i="2"/>
  <c r="I130" i="2"/>
  <c r="I121" i="2"/>
  <c r="I112" i="2"/>
  <c r="I103" i="2"/>
  <c r="I94" i="2"/>
  <c r="I85" i="2"/>
  <c r="I76" i="2"/>
  <c r="I67" i="2"/>
  <c r="I58" i="2"/>
  <c r="I49" i="2"/>
  <c r="I40" i="2"/>
  <c r="I31" i="2"/>
  <c r="I22" i="2"/>
  <c r="I13" i="2"/>
  <c r="I4" i="2"/>
  <c r="I372" i="2"/>
  <c r="I363" i="2"/>
  <c r="I354" i="2"/>
  <c r="I345" i="2"/>
  <c r="I336" i="2"/>
  <c r="I327" i="2"/>
  <c r="I318" i="2"/>
  <c r="I309" i="2"/>
  <c r="I300" i="2"/>
  <c r="I291" i="2"/>
  <c r="I282" i="2"/>
  <c r="I273" i="2"/>
  <c r="I264" i="2"/>
  <c r="I255" i="2"/>
  <c r="I246" i="2"/>
  <c r="I237" i="2"/>
  <c r="I228" i="2"/>
  <c r="I219" i="2"/>
  <c r="I210" i="2"/>
  <c r="I201" i="2"/>
  <c r="I192" i="2"/>
  <c r="I183" i="2"/>
  <c r="I174" i="2"/>
  <c r="I165" i="2"/>
  <c r="I156" i="2"/>
  <c r="I147" i="2"/>
  <c r="I138" i="2"/>
  <c r="I129" i="2"/>
  <c r="I120" i="2"/>
  <c r="I111" i="2"/>
  <c r="I102" i="2"/>
  <c r="I93" i="2"/>
  <c r="I84" i="2"/>
  <c r="I75" i="2"/>
  <c r="I66" i="2"/>
  <c r="I57" i="2"/>
  <c r="I48" i="2"/>
  <c r="I39" i="2"/>
  <c r="I30" i="2"/>
  <c r="I21" i="2"/>
  <c r="I12" i="2"/>
  <c r="I3" i="2"/>
  <c r="I370" i="2"/>
  <c r="I361" i="2"/>
  <c r="I352" i="2"/>
  <c r="I343" i="2"/>
  <c r="I334" i="2"/>
  <c r="I325" i="2"/>
  <c r="I316" i="2"/>
  <c r="I307" i="2"/>
  <c r="I298" i="2"/>
  <c r="I289" i="2"/>
  <c r="I280" i="2"/>
  <c r="I271" i="2"/>
  <c r="I262" i="2"/>
  <c r="I253" i="2"/>
  <c r="I244" i="2"/>
  <c r="I235" i="2"/>
  <c r="I226" i="2"/>
  <c r="I217" i="2"/>
  <c r="I208" i="2"/>
  <c r="I199" i="2"/>
  <c r="I190" i="2"/>
  <c r="I181" i="2"/>
  <c r="I172" i="2"/>
  <c r="I163" i="2"/>
  <c r="I154" i="2"/>
  <c r="I145" i="2"/>
  <c r="I136" i="2"/>
  <c r="I127" i="2"/>
  <c r="I118" i="2"/>
  <c r="I369" i="2"/>
  <c r="I360" i="2"/>
  <c r="I351" i="2"/>
  <c r="I342" i="2"/>
  <c r="I333" i="2"/>
  <c r="I324" i="2"/>
  <c r="I315" i="2"/>
  <c r="I306" i="2"/>
  <c r="I297" i="2"/>
  <c r="I288" i="2"/>
  <c r="I279" i="2"/>
  <c r="I270" i="2"/>
  <c r="I261" i="2"/>
  <c r="I252" i="2"/>
  <c r="I243" i="2"/>
  <c r="I234" i="2"/>
  <c r="I225" i="2"/>
  <c r="I216" i="2"/>
  <c r="I207" i="2"/>
  <c r="I198" i="2"/>
  <c r="I189" i="2"/>
  <c r="I180" i="2"/>
  <c r="I171" i="2"/>
  <c r="I162" i="2"/>
  <c r="I153" i="2"/>
  <c r="I144" i="2"/>
  <c r="I135" i="2"/>
  <c r="I16" i="2"/>
  <c r="I28" i="2"/>
  <c r="I43" i="2"/>
  <c r="I55" i="2"/>
  <c r="I70" i="2"/>
  <c r="I82" i="2"/>
  <c r="I97" i="2"/>
  <c r="I109" i="2"/>
  <c r="I126" i="2"/>
  <c r="I177" i="2"/>
  <c r="I231" i="2"/>
  <c r="I285" i="2"/>
  <c r="I339" i="2"/>
  <c r="A44" i="2"/>
  <c r="A130" i="2"/>
  <c r="A174" i="2"/>
  <c r="A260" i="2"/>
  <c r="A303" i="2"/>
  <c r="A346" i="2"/>
  <c r="B52" i="2"/>
  <c r="B95" i="2"/>
  <c r="B181" i="2"/>
  <c r="B354" i="2"/>
  <c r="A8" i="2"/>
  <c r="A51" i="2"/>
  <c r="A94" i="2"/>
  <c r="A138" i="2"/>
  <c r="A181" i="2"/>
  <c r="A224" i="2"/>
  <c r="A267" i="2"/>
  <c r="A310" i="2"/>
  <c r="A354" i="2"/>
  <c r="B16" i="2"/>
  <c r="B59" i="2"/>
  <c r="B102" i="2"/>
  <c r="B145" i="2"/>
  <c r="B188" i="2"/>
  <c r="B232" i="2"/>
  <c r="B275" i="2"/>
  <c r="B318" i="2"/>
  <c r="B361" i="2"/>
  <c r="C6" i="2"/>
  <c r="C16" i="2"/>
  <c r="C24" i="2"/>
  <c r="C34" i="2"/>
  <c r="C42" i="2"/>
  <c r="C52" i="2"/>
  <c r="C60" i="2"/>
  <c r="C70" i="2"/>
  <c r="C78" i="2"/>
  <c r="C88" i="2"/>
  <c r="C96" i="2"/>
  <c r="C106" i="2"/>
  <c r="C114" i="2"/>
  <c r="C124" i="2"/>
  <c r="C132" i="2"/>
  <c r="C142" i="2"/>
  <c r="C150" i="2"/>
  <c r="C160" i="2"/>
  <c r="C168" i="2"/>
  <c r="C178" i="2"/>
  <c r="C186" i="2"/>
  <c r="C198" i="2"/>
  <c r="C210" i="2"/>
  <c r="C222" i="2"/>
  <c r="C234" i="2"/>
  <c r="C246" i="2"/>
  <c r="C258" i="2"/>
  <c r="C270" i="2"/>
  <c r="C282" i="2"/>
  <c r="C294" i="2"/>
  <c r="C306" i="2"/>
  <c r="C318" i="2"/>
  <c r="C330" i="2"/>
  <c r="C342" i="2"/>
  <c r="C354" i="2"/>
  <c r="C366" i="2"/>
  <c r="D3" i="2"/>
  <c r="D15" i="2"/>
  <c r="D27" i="2"/>
  <c r="D39" i="2"/>
  <c r="D51" i="2"/>
  <c r="D63" i="2"/>
  <c r="D75" i="2"/>
  <c r="D87" i="2"/>
  <c r="D99" i="2"/>
  <c r="D111" i="2"/>
  <c r="D123" i="2"/>
  <c r="D135" i="2"/>
  <c r="D147" i="2"/>
  <c r="D159" i="2"/>
  <c r="D171" i="2"/>
  <c r="D183" i="2"/>
  <c r="D195" i="2"/>
  <c r="D207" i="2"/>
  <c r="D219" i="2"/>
  <c r="D231" i="2"/>
  <c r="D243" i="2"/>
  <c r="D255" i="2"/>
  <c r="D267" i="2"/>
  <c r="D279" i="2"/>
  <c r="D291" i="2"/>
  <c r="D303" i="2"/>
  <c r="D315" i="2"/>
  <c r="D327" i="2"/>
  <c r="D339" i="2"/>
  <c r="D351" i="2"/>
  <c r="D363" i="2"/>
  <c r="E2" i="2"/>
  <c r="E17" i="2"/>
  <c r="E35" i="2"/>
  <c r="E53" i="2"/>
  <c r="E71" i="2"/>
  <c r="E89" i="2"/>
  <c r="E107" i="2"/>
  <c r="E125" i="2"/>
  <c r="E143" i="2"/>
  <c r="E161" i="2"/>
  <c r="E179" i="2"/>
  <c r="E197" i="2"/>
  <c r="E215" i="2"/>
  <c r="E233" i="2"/>
  <c r="E251" i="2"/>
  <c r="E269" i="2"/>
  <c r="E287" i="2"/>
  <c r="E305" i="2"/>
  <c r="E323" i="2"/>
  <c r="E345" i="2"/>
  <c r="E366" i="2"/>
  <c r="F21" i="2"/>
  <c r="F64" i="2"/>
  <c r="F108" i="2"/>
  <c r="F151" i="2"/>
  <c r="F194" i="2"/>
  <c r="F237" i="2"/>
  <c r="F280" i="2"/>
  <c r="F324" i="2"/>
  <c r="F367" i="2"/>
  <c r="G35" i="2"/>
  <c r="G78" i="2"/>
  <c r="G121" i="2"/>
  <c r="G164" i="2"/>
  <c r="G208" i="2"/>
  <c r="G251" i="2"/>
  <c r="G294" i="2"/>
  <c r="G337" i="2"/>
  <c r="H5" i="2"/>
  <c r="H27" i="2"/>
  <c r="H48" i="2"/>
  <c r="H70" i="2"/>
  <c r="H92" i="2"/>
  <c r="H113" i="2"/>
  <c r="H144" i="2"/>
  <c r="H200" i="2"/>
  <c r="H272" i="2"/>
  <c r="H329" i="2"/>
  <c r="I6" i="2"/>
  <c r="I18" i="2"/>
  <c r="I33" i="2"/>
  <c r="I45" i="2"/>
  <c r="I60" i="2"/>
  <c r="I72" i="2"/>
  <c r="I87" i="2"/>
  <c r="I99" i="2"/>
  <c r="I114" i="2"/>
  <c r="I132" i="2"/>
  <c r="I186" i="2"/>
  <c r="I240" i="2"/>
  <c r="I294" i="2"/>
  <c r="I348" i="2"/>
  <c r="E19" i="2"/>
  <c r="E37" i="2"/>
  <c r="E55" i="2"/>
  <c r="E73" i="2"/>
  <c r="E91" i="2"/>
  <c r="E109" i="2"/>
  <c r="E127" i="2"/>
  <c r="E145" i="2"/>
  <c r="E163" i="2"/>
  <c r="E181" i="2"/>
  <c r="E199" i="2"/>
  <c r="E217" i="2"/>
  <c r="E235" i="2"/>
  <c r="E253" i="2"/>
  <c r="E271" i="2"/>
  <c r="E289" i="2"/>
  <c r="E307" i="2"/>
  <c r="E326" i="2"/>
  <c r="E347" i="2"/>
  <c r="E369" i="2"/>
  <c r="G42" i="2"/>
  <c r="G85" i="2"/>
  <c r="G128" i="2"/>
  <c r="G172" i="2"/>
  <c r="G215" i="2"/>
  <c r="G258" i="2"/>
  <c r="G301" i="2"/>
  <c r="G344" i="2"/>
  <c r="H8" i="2"/>
  <c r="H29" i="2"/>
  <c r="H51" i="2"/>
  <c r="H72" i="2"/>
  <c r="H94" i="2"/>
  <c r="H116" i="2"/>
  <c r="H149" i="2"/>
  <c r="H207" i="2"/>
  <c r="H279" i="2"/>
  <c r="H336" i="2"/>
  <c r="I7" i="2"/>
  <c r="I19" i="2"/>
  <c r="I34" i="2"/>
  <c r="I46" i="2"/>
  <c r="I61" i="2"/>
  <c r="I73" i="2"/>
  <c r="I88" i="2"/>
  <c r="I100" i="2"/>
  <c r="I115" i="2"/>
  <c r="I141" i="2"/>
  <c r="I195" i="2"/>
  <c r="I249" i="2"/>
  <c r="I303" i="2"/>
  <c r="I357" i="2"/>
  <c r="C10" i="2"/>
  <c r="C18" i="2"/>
  <c r="C28" i="2"/>
  <c r="C36" i="2"/>
  <c r="C46" i="2"/>
  <c r="C54" i="2"/>
  <c r="C64" i="2"/>
  <c r="C72" i="2"/>
  <c r="C82" i="2"/>
  <c r="C90" i="2"/>
  <c r="C100" i="2"/>
  <c r="C108" i="2"/>
  <c r="C118" i="2"/>
  <c r="C126" i="2"/>
  <c r="C136" i="2"/>
  <c r="C144" i="2"/>
  <c r="C154" i="2"/>
  <c r="C162" i="2"/>
  <c r="C172" i="2"/>
  <c r="C180" i="2"/>
  <c r="C191" i="2"/>
  <c r="C203" i="2"/>
  <c r="C215" i="2"/>
  <c r="C227" i="2"/>
  <c r="C239" i="2"/>
  <c r="C251" i="2"/>
  <c r="C263" i="2"/>
  <c r="C275" i="2"/>
  <c r="C287" i="2"/>
  <c r="C299" i="2"/>
  <c r="C311" i="2"/>
  <c r="C323" i="2"/>
  <c r="C335" i="2"/>
  <c r="C347" i="2"/>
  <c r="C359" i="2"/>
  <c r="C371" i="2"/>
  <c r="D7" i="2"/>
  <c r="D19" i="2"/>
  <c r="D31" i="2"/>
  <c r="D43" i="2"/>
  <c r="D55" i="2"/>
  <c r="D67" i="2"/>
  <c r="D79" i="2"/>
  <c r="D91" i="2"/>
  <c r="D103" i="2"/>
  <c r="D115" i="2"/>
  <c r="D127" i="2"/>
  <c r="D139" i="2"/>
  <c r="D151" i="2"/>
  <c r="D163" i="2"/>
  <c r="D175" i="2"/>
  <c r="D187" i="2"/>
  <c r="D199" i="2"/>
  <c r="D211" i="2"/>
  <c r="D223" i="2"/>
  <c r="D235" i="2"/>
  <c r="D247" i="2"/>
  <c r="D259" i="2"/>
  <c r="D271" i="2"/>
  <c r="D283" i="2"/>
  <c r="D295" i="2"/>
  <c r="D307" i="2"/>
  <c r="D319" i="2"/>
  <c r="D331" i="2"/>
  <c r="D343" i="2"/>
  <c r="D355" i="2"/>
  <c r="D367" i="2"/>
  <c r="E5" i="2"/>
  <c r="E23" i="2"/>
  <c r="E41" i="2"/>
  <c r="E59" i="2"/>
  <c r="E77" i="2"/>
  <c r="E95" i="2"/>
  <c r="E113" i="2"/>
  <c r="E131" i="2"/>
  <c r="E149" i="2"/>
  <c r="E167" i="2"/>
  <c r="E185" i="2"/>
  <c r="E203" i="2"/>
  <c r="E221" i="2"/>
  <c r="E239" i="2"/>
  <c r="E257" i="2"/>
  <c r="E275" i="2"/>
  <c r="E293" i="2"/>
  <c r="E311" i="2"/>
  <c r="E330" i="2"/>
  <c r="E352" i="2"/>
  <c r="E374" i="2"/>
  <c r="F36" i="2"/>
  <c r="F79" i="2"/>
  <c r="F122" i="2"/>
  <c r="F165" i="2"/>
  <c r="F208" i="2"/>
  <c r="F252" i="2"/>
  <c r="F295" i="2"/>
  <c r="F338" i="2"/>
  <c r="G6" i="2"/>
  <c r="G49" i="2"/>
  <c r="G92" i="2"/>
  <c r="G136" i="2"/>
  <c r="G179" i="2"/>
  <c r="G222" i="2"/>
  <c r="G265" i="2"/>
  <c r="G308" i="2"/>
  <c r="G352" i="2"/>
  <c r="H12" i="2"/>
  <c r="H34" i="2"/>
  <c r="H56" i="2"/>
  <c r="H77" i="2"/>
  <c r="H99" i="2"/>
  <c r="H123" i="2"/>
  <c r="H156" i="2"/>
  <c r="H228" i="2"/>
  <c r="H286" i="2"/>
  <c r="H358" i="2"/>
  <c r="I9" i="2"/>
  <c r="I24" i="2"/>
  <c r="I36" i="2"/>
  <c r="I51" i="2"/>
  <c r="I63" i="2"/>
  <c r="I78" i="2"/>
  <c r="I90" i="2"/>
  <c r="I105" i="2"/>
  <c r="I117" i="2"/>
  <c r="I150" i="2"/>
  <c r="I204" i="2"/>
  <c r="I258" i="2"/>
  <c r="I312" i="2"/>
  <c r="I366" i="2"/>
  <c r="B325" i="2"/>
  <c r="C9" i="2"/>
  <c r="C27" i="2"/>
  <c r="C45" i="2"/>
  <c r="C63" i="2"/>
  <c r="C89" i="2"/>
  <c r="C135" i="2"/>
  <c r="C345" i="2"/>
  <c r="A22" i="2"/>
  <c r="A66" i="2"/>
  <c r="A109" i="2"/>
  <c r="A152" i="2"/>
  <c r="A195" i="2"/>
  <c r="A238" i="2"/>
  <c r="A282" i="2"/>
  <c r="A325" i="2"/>
  <c r="A368" i="2"/>
  <c r="B30" i="2"/>
  <c r="B73" i="2"/>
  <c r="B116" i="2"/>
  <c r="B160" i="2"/>
  <c r="B203" i="2"/>
  <c r="B246" i="2"/>
  <c r="B289" i="2"/>
  <c r="B332" i="2"/>
  <c r="A30" i="2"/>
  <c r="A73" i="2"/>
  <c r="A116" i="2"/>
  <c r="A159" i="2"/>
  <c r="A202" i="2"/>
  <c r="A246" i="2"/>
  <c r="A289" i="2"/>
  <c r="A332" i="2"/>
  <c r="B2" i="2"/>
  <c r="B37" i="2"/>
  <c r="B80" i="2"/>
  <c r="B124" i="2"/>
  <c r="B167" i="2"/>
  <c r="B210" i="2"/>
  <c r="B253" i="2"/>
  <c r="B296" i="2"/>
  <c r="B340" i="2"/>
  <c r="C3" i="2"/>
  <c r="C11" i="2"/>
  <c r="C21" i="2"/>
  <c r="C29" i="2"/>
  <c r="C39" i="2"/>
  <c r="C47" i="2"/>
  <c r="C57" i="2"/>
  <c r="C65" i="2"/>
  <c r="C75" i="2"/>
  <c r="C83" i="2"/>
  <c r="C93" i="2"/>
  <c r="C101" i="2"/>
  <c r="C111" i="2"/>
  <c r="C119" i="2"/>
  <c r="C129" i="2"/>
  <c r="C137" i="2"/>
  <c r="C147" i="2"/>
  <c r="C155" i="2"/>
  <c r="C165" i="2"/>
  <c r="C173" i="2"/>
  <c r="C183" i="2"/>
  <c r="C192" i="2"/>
  <c r="C204" i="2"/>
  <c r="C216" i="2"/>
  <c r="C228" i="2"/>
  <c r="C240" i="2"/>
  <c r="C252" i="2"/>
  <c r="C264" i="2"/>
  <c r="C276" i="2"/>
  <c r="C288" i="2"/>
  <c r="C300" i="2"/>
  <c r="C312" i="2"/>
  <c r="C324" i="2"/>
  <c r="C336" i="2"/>
  <c r="C348" i="2"/>
  <c r="C360" i="2"/>
  <c r="C372" i="2"/>
  <c r="D9" i="2"/>
  <c r="D21" i="2"/>
  <c r="D33" i="2"/>
  <c r="D45" i="2"/>
  <c r="D57" i="2"/>
  <c r="D69" i="2"/>
  <c r="D81" i="2"/>
  <c r="D93" i="2"/>
  <c r="D105" i="2"/>
  <c r="D117" i="2"/>
  <c r="D129" i="2"/>
  <c r="D141" i="2"/>
  <c r="D153" i="2"/>
  <c r="D165" i="2"/>
  <c r="D177" i="2"/>
  <c r="D189" i="2"/>
  <c r="D201" i="2"/>
  <c r="D213" i="2"/>
  <c r="D225" i="2"/>
  <c r="D237" i="2"/>
  <c r="D249" i="2"/>
  <c r="D261" i="2"/>
  <c r="D273" i="2"/>
  <c r="D285" i="2"/>
  <c r="D297" i="2"/>
  <c r="D309" i="2"/>
  <c r="D321" i="2"/>
  <c r="D333" i="2"/>
  <c r="D345" i="2"/>
  <c r="D357" i="2"/>
  <c r="D369" i="2"/>
  <c r="E7" i="2"/>
  <c r="E25" i="2"/>
  <c r="E43" i="2"/>
  <c r="E61" i="2"/>
  <c r="E79" i="2"/>
  <c r="E97" i="2"/>
  <c r="E115" i="2"/>
  <c r="E133" i="2"/>
  <c r="E151" i="2"/>
  <c r="E169" i="2"/>
  <c r="E187" i="2"/>
  <c r="E205" i="2"/>
  <c r="E223" i="2"/>
  <c r="E241" i="2"/>
  <c r="E259" i="2"/>
  <c r="E277" i="2"/>
  <c r="E295" i="2"/>
  <c r="E313" i="2"/>
  <c r="E333" i="2"/>
  <c r="E354" i="2"/>
  <c r="F43" i="2"/>
  <c r="F86" i="2"/>
  <c r="F129" i="2"/>
  <c r="F172" i="2"/>
  <c r="F216" i="2"/>
  <c r="F259" i="2"/>
  <c r="F302" i="2"/>
  <c r="F345" i="2"/>
  <c r="G13" i="2"/>
  <c r="G56" i="2"/>
  <c r="G100" i="2"/>
  <c r="G143" i="2"/>
  <c r="G186" i="2"/>
  <c r="G229" i="2"/>
  <c r="G272" i="2"/>
  <c r="G316" i="2"/>
  <c r="G359" i="2"/>
  <c r="H15" i="2"/>
  <c r="H36" i="2"/>
  <c r="H58" i="2"/>
  <c r="H80" i="2"/>
  <c r="H101" i="2"/>
  <c r="H128" i="2"/>
  <c r="H164" i="2"/>
  <c r="H236" i="2"/>
  <c r="H293" i="2"/>
  <c r="H365" i="2"/>
  <c r="I10" i="2"/>
  <c r="I25" i="2"/>
  <c r="I37" i="2"/>
  <c r="I52" i="2"/>
  <c r="I64" i="2"/>
  <c r="I79" i="2"/>
  <c r="I91" i="2"/>
  <c r="I106" i="2"/>
  <c r="I123" i="2"/>
  <c r="I159" i="2"/>
  <c r="I213" i="2"/>
  <c r="I267" i="2"/>
  <c r="I321" i="2"/>
  <c r="B44" i="2"/>
  <c r="B88" i="2"/>
  <c r="B131" i="2"/>
  <c r="B174" i="2"/>
  <c r="B217" i="2"/>
  <c r="B260" i="2"/>
  <c r="B304" i="2"/>
  <c r="C4" i="2"/>
  <c r="C12" i="2"/>
  <c r="C22" i="2"/>
  <c r="C30" i="2"/>
  <c r="C40" i="2"/>
  <c r="C48" i="2"/>
  <c r="C58" i="2"/>
  <c r="C66" i="2"/>
  <c r="C76" i="2"/>
  <c r="C84" i="2"/>
  <c r="C94" i="2"/>
  <c r="C102" i="2"/>
  <c r="C112" i="2"/>
  <c r="C120" i="2"/>
  <c r="C130" i="2"/>
  <c r="C138" i="2"/>
  <c r="C148" i="2"/>
  <c r="C156" i="2"/>
  <c r="C166" i="2"/>
  <c r="C174" i="2"/>
  <c r="C184" i="2"/>
  <c r="C195" i="2"/>
  <c r="C207" i="2"/>
  <c r="C219" i="2"/>
  <c r="C231" i="2"/>
  <c r="C243" i="2"/>
  <c r="C255" i="2"/>
  <c r="C267" i="2"/>
  <c r="C279" i="2"/>
  <c r="C291" i="2"/>
  <c r="C303" i="2"/>
  <c r="C315" i="2"/>
  <c r="C327" i="2"/>
  <c r="C339" i="2"/>
  <c r="C351" i="2"/>
  <c r="C363" i="2"/>
  <c r="D2" i="2"/>
  <c r="D10" i="2"/>
  <c r="D22" i="2"/>
  <c r="D34" i="2"/>
  <c r="D46" i="2"/>
  <c r="D58" i="2"/>
  <c r="D70" i="2"/>
  <c r="D82" i="2"/>
  <c r="D94" i="2"/>
  <c r="D106" i="2"/>
  <c r="D118" i="2"/>
  <c r="D130" i="2"/>
  <c r="D142" i="2"/>
  <c r="D154" i="2"/>
  <c r="D166" i="2"/>
  <c r="D178" i="2"/>
  <c r="D190" i="2"/>
  <c r="D202" i="2"/>
  <c r="D214" i="2"/>
  <c r="D226" i="2"/>
  <c r="D238" i="2"/>
  <c r="D250" i="2"/>
  <c r="D262" i="2"/>
  <c r="D274" i="2"/>
  <c r="D286" i="2"/>
  <c r="D298" i="2"/>
  <c r="D310" i="2"/>
  <c r="D322" i="2"/>
  <c r="D334" i="2"/>
  <c r="D346" i="2"/>
  <c r="D358" i="2"/>
  <c r="D370" i="2"/>
  <c r="E11" i="2"/>
  <c r="E29" i="2"/>
  <c r="E47" i="2"/>
  <c r="E65" i="2"/>
  <c r="E83" i="2"/>
  <c r="E101" i="2"/>
  <c r="E119" i="2"/>
  <c r="E137" i="2"/>
  <c r="E155" i="2"/>
  <c r="E173" i="2"/>
  <c r="E191" i="2"/>
  <c r="E209" i="2"/>
  <c r="E227" i="2"/>
  <c r="E245" i="2"/>
  <c r="E263" i="2"/>
  <c r="E281" i="2"/>
  <c r="E299" i="2"/>
  <c r="E317" i="2"/>
  <c r="E338" i="2"/>
  <c r="E359" i="2"/>
  <c r="F7" i="2"/>
  <c r="F50" i="2"/>
  <c r="F93" i="2"/>
  <c r="F136" i="2"/>
  <c r="F180" i="2"/>
  <c r="F223" i="2"/>
  <c r="F266" i="2"/>
  <c r="F309" i="2"/>
  <c r="F352" i="2"/>
  <c r="G20" i="2"/>
  <c r="G64" i="2"/>
  <c r="G107" i="2"/>
  <c r="G150" i="2"/>
  <c r="G193" i="2"/>
  <c r="G236" i="2"/>
  <c r="G280" i="2"/>
  <c r="G323" i="2"/>
  <c r="G366" i="2"/>
  <c r="H20" i="2"/>
  <c r="H41" i="2"/>
  <c r="H63" i="2"/>
  <c r="H84" i="2"/>
  <c r="H106" i="2"/>
  <c r="H130" i="2"/>
  <c r="H185" i="2"/>
  <c r="H243" i="2"/>
  <c r="H315" i="2"/>
  <c r="I2" i="2"/>
  <c r="I15" i="2"/>
  <c r="I27" i="2"/>
  <c r="I42" i="2"/>
  <c r="I54" i="2"/>
  <c r="I69" i="2"/>
  <c r="I81" i="2"/>
  <c r="I96" i="2"/>
  <c r="I108" i="2"/>
  <c r="I124" i="2"/>
  <c r="I168" i="2"/>
  <c r="I222" i="2"/>
  <c r="I276" i="2"/>
  <c r="I330" i="2"/>
  <c r="J17" i="2"/>
  <c r="J71" i="2"/>
  <c r="J125" i="2"/>
  <c r="J189" i="2"/>
  <c r="J271" i="2"/>
  <c r="J351" i="2"/>
  <c r="K13" i="2"/>
  <c r="K31" i="2"/>
  <c r="K52" i="2"/>
  <c r="K73" i="2"/>
  <c r="K95" i="2"/>
  <c r="K116" i="2"/>
  <c r="K144" i="2"/>
  <c r="K175" i="2"/>
  <c r="K209" i="2"/>
  <c r="K240" i="2"/>
  <c r="K274" i="2"/>
  <c r="K305" i="2"/>
  <c r="K338" i="2"/>
  <c r="K370" i="2"/>
  <c r="L14" i="2"/>
  <c r="L28" i="2"/>
  <c r="L42" i="2"/>
  <c r="L57" i="2"/>
  <c r="L78" i="2"/>
  <c r="L100" i="2"/>
  <c r="L122" i="2"/>
  <c r="L143" i="2"/>
  <c r="L165" i="2"/>
  <c r="L186" i="2"/>
  <c r="L208" i="2"/>
  <c r="L230" i="2"/>
  <c r="L251" i="2"/>
  <c r="L273" i="2"/>
  <c r="L294" i="2"/>
  <c r="L316" i="2"/>
  <c r="L338" i="2"/>
  <c r="J26" i="2"/>
  <c r="J80" i="2"/>
  <c r="J134" i="2"/>
  <c r="J202" i="2"/>
  <c r="J284" i="2"/>
  <c r="J364" i="2"/>
  <c r="K17" i="2"/>
  <c r="K35" i="2"/>
  <c r="K56" i="2"/>
  <c r="K78" i="2"/>
  <c r="K100" i="2"/>
  <c r="K121" i="2"/>
  <c r="K152" i="2"/>
  <c r="K186" i="2"/>
  <c r="K217" i="2"/>
  <c r="K251" i="2"/>
  <c r="K282" i="2"/>
  <c r="K316" i="2"/>
  <c r="K347" i="2"/>
  <c r="L372" i="2"/>
  <c r="L353" i="2"/>
  <c r="L366" i="2"/>
  <c r="L360" i="2"/>
  <c r="L15" i="2"/>
  <c r="L29" i="2"/>
  <c r="L44" i="2"/>
  <c r="L58" i="2"/>
  <c r="L80" i="2"/>
  <c r="L101" i="2"/>
  <c r="L123" i="2"/>
  <c r="L144" i="2"/>
  <c r="L166" i="2"/>
  <c r="L188" i="2"/>
  <c r="L209" i="2"/>
  <c r="L231" i="2"/>
  <c r="L252" i="2"/>
  <c r="L274" i="2"/>
  <c r="L296" i="2"/>
  <c r="L317" i="2"/>
  <c r="L339" i="2"/>
  <c r="L374" i="2"/>
  <c r="N157" i="2"/>
  <c r="J35" i="2"/>
  <c r="J89" i="2"/>
  <c r="J143" i="2"/>
  <c r="J217" i="2"/>
  <c r="J297" i="2"/>
  <c r="K18" i="2"/>
  <c r="K36" i="2"/>
  <c r="K58" i="2"/>
  <c r="K79" i="2"/>
  <c r="K101" i="2"/>
  <c r="K122" i="2"/>
  <c r="K154" i="2"/>
  <c r="K187" i="2"/>
  <c r="K218" i="2"/>
  <c r="K252" i="2"/>
  <c r="K283" i="2"/>
  <c r="K317" i="2"/>
  <c r="K348" i="2"/>
  <c r="L3" i="2"/>
  <c r="L17" i="2"/>
  <c r="L32" i="2"/>
  <c r="L46" i="2"/>
  <c r="L64" i="2"/>
  <c r="L86" i="2"/>
  <c r="L107" i="2"/>
  <c r="L129" i="2"/>
  <c r="L150" i="2"/>
  <c r="L172" i="2"/>
  <c r="L194" i="2"/>
  <c r="L215" i="2"/>
  <c r="L237" i="2"/>
  <c r="L258" i="2"/>
  <c r="L280" i="2"/>
  <c r="L302" i="2"/>
  <c r="L323" i="2"/>
  <c r="L345" i="2"/>
  <c r="N211" i="2"/>
  <c r="J44" i="2"/>
  <c r="J98" i="2"/>
  <c r="J154" i="2"/>
  <c r="J230" i="2"/>
  <c r="J310" i="2"/>
  <c r="K5" i="2"/>
  <c r="K23" i="2"/>
  <c r="K42" i="2"/>
  <c r="K64" i="2"/>
  <c r="K85" i="2"/>
  <c r="K107" i="2"/>
  <c r="K131" i="2"/>
  <c r="K164" i="2"/>
  <c r="K196" i="2"/>
  <c r="K229" i="2"/>
  <c r="K260" i="2"/>
  <c r="K294" i="2"/>
  <c r="K325" i="2"/>
  <c r="K359" i="2"/>
  <c r="L6" i="2"/>
  <c r="L21" i="2"/>
  <c r="L35" i="2"/>
  <c r="L50" i="2"/>
  <c r="L65" i="2"/>
  <c r="L87" i="2"/>
  <c r="L108" i="2"/>
  <c r="L130" i="2"/>
  <c r="L152" i="2"/>
  <c r="L173" i="2"/>
  <c r="L195" i="2"/>
  <c r="L216" i="2"/>
  <c r="L238" i="2"/>
  <c r="L260" i="2"/>
  <c r="L281" i="2"/>
  <c r="L303" i="2"/>
  <c r="L324" i="2"/>
  <c r="L346" i="2"/>
  <c r="J53" i="2"/>
  <c r="J107" i="2"/>
  <c r="J165" i="2"/>
  <c r="J243" i="2"/>
  <c r="J325" i="2"/>
  <c r="K7" i="2"/>
  <c r="K25" i="2"/>
  <c r="K44" i="2"/>
  <c r="K66" i="2"/>
  <c r="K88" i="2"/>
  <c r="K109" i="2"/>
  <c r="K132" i="2"/>
  <c r="K166" i="2"/>
  <c r="K197" i="2"/>
  <c r="K230" i="2"/>
  <c r="K262" i="2"/>
  <c r="K295" i="2"/>
  <c r="K326" i="2"/>
  <c r="K360" i="2"/>
  <c r="L8" i="2"/>
  <c r="L22" i="2"/>
  <c r="L36" i="2"/>
  <c r="L51" i="2"/>
  <c r="L71" i="2"/>
  <c r="L93" i="2"/>
  <c r="L114" i="2"/>
  <c r="L136" i="2"/>
  <c r="L158" i="2"/>
  <c r="L179" i="2"/>
  <c r="L201" i="2"/>
  <c r="L222" i="2"/>
  <c r="L244" i="2"/>
  <c r="L266" i="2"/>
  <c r="L287" i="2"/>
  <c r="L309" i="2"/>
  <c r="L330" i="2"/>
  <c r="L352" i="2"/>
  <c r="N370" i="2"/>
  <c r="N346" i="2"/>
  <c r="N292" i="2"/>
  <c r="N238" i="2"/>
  <c r="N184" i="2"/>
  <c r="N130" i="2"/>
  <c r="N76" i="2"/>
  <c r="N22" i="2"/>
  <c r="N337" i="2"/>
  <c r="N283" i="2"/>
  <c r="N229" i="2"/>
  <c r="N175" i="2"/>
  <c r="N121" i="2"/>
  <c r="N67" i="2"/>
  <c r="N13" i="2"/>
  <c r="N328" i="2"/>
  <c r="N274" i="2"/>
  <c r="N220" i="2"/>
  <c r="N166" i="2"/>
  <c r="N112" i="2"/>
  <c r="N58" i="2"/>
  <c r="N4" i="2"/>
  <c r="N364" i="2"/>
  <c r="N310" i="2"/>
  <c r="N256" i="2"/>
  <c r="N202" i="2"/>
  <c r="N148" i="2"/>
  <c r="N94" i="2"/>
  <c r="N40" i="2"/>
  <c r="N355" i="2"/>
  <c r="N301" i="2"/>
  <c r="N247" i="2"/>
  <c r="N193" i="2"/>
  <c r="N139" i="2"/>
  <c r="N85" i="2"/>
  <c r="N31" i="2"/>
  <c r="N319" i="2"/>
  <c r="J8" i="2"/>
  <c r="J62" i="2"/>
  <c r="J116" i="2"/>
  <c r="J176" i="2"/>
  <c r="J256" i="2"/>
  <c r="J338" i="2"/>
  <c r="K8" i="2"/>
  <c r="K26" i="2"/>
  <c r="K46" i="2"/>
  <c r="K67" i="2"/>
  <c r="K89" i="2"/>
  <c r="K110" i="2"/>
  <c r="K143" i="2"/>
  <c r="K174" i="2"/>
  <c r="K208" i="2"/>
  <c r="K239" i="2"/>
  <c r="K272" i="2"/>
  <c r="K304" i="2"/>
  <c r="K337" i="2"/>
  <c r="K368" i="2"/>
  <c r="L10" i="2"/>
  <c r="L24" i="2"/>
  <c r="L39" i="2"/>
  <c r="L53" i="2"/>
  <c r="L72" i="2"/>
  <c r="L94" i="2"/>
  <c r="L116" i="2"/>
  <c r="L137" i="2"/>
  <c r="L159" i="2"/>
  <c r="L180" i="2"/>
  <c r="L202" i="2"/>
  <c r="L224" i="2"/>
  <c r="L245" i="2"/>
  <c r="L267" i="2"/>
  <c r="L288" i="2"/>
  <c r="L310" i="2"/>
  <c r="L332" i="2"/>
  <c r="L359" i="2"/>
  <c r="N49" i="2"/>
  <c r="M3" i="2"/>
  <c r="M12" i="2"/>
  <c r="M21" i="2"/>
  <c r="M30" i="2"/>
  <c r="M39" i="2"/>
  <c r="M48" i="2"/>
  <c r="M57" i="2"/>
  <c r="M66" i="2"/>
  <c r="M75" i="2"/>
  <c r="M84" i="2"/>
  <c r="M93" i="2"/>
  <c r="M102" i="2"/>
  <c r="M111" i="2"/>
  <c r="M120" i="2"/>
  <c r="M129" i="2"/>
  <c r="M138" i="2"/>
  <c r="M147" i="2"/>
  <c r="M156" i="2"/>
  <c r="M165" i="2"/>
  <c r="M174" i="2"/>
  <c r="M183" i="2"/>
  <c r="M192" i="2"/>
  <c r="M201" i="2"/>
  <c r="M210" i="2"/>
  <c r="M219" i="2"/>
  <c r="M228" i="2"/>
  <c r="M237" i="2"/>
  <c r="M246" i="2"/>
  <c r="M255" i="2"/>
  <c r="M264" i="2"/>
  <c r="M273" i="2"/>
  <c r="M282" i="2"/>
  <c r="M291" i="2"/>
  <c r="M300" i="2"/>
  <c r="M309" i="2"/>
  <c r="M318" i="2"/>
  <c r="M327" i="2"/>
  <c r="M336" i="2"/>
  <c r="M345" i="2"/>
  <c r="M354" i="2"/>
  <c r="M363" i="2"/>
  <c r="M372" i="2"/>
  <c r="O9" i="2"/>
  <c r="O21" i="2"/>
  <c r="O33" i="2"/>
  <c r="O45" i="2"/>
  <c r="O57" i="2"/>
  <c r="O69" i="2"/>
  <c r="O81" i="2"/>
  <c r="O93" i="2"/>
  <c r="O105" i="2"/>
  <c r="O117" i="2"/>
  <c r="O129" i="2"/>
  <c r="O141" i="2"/>
  <c r="O153" i="2"/>
  <c r="O165" i="2"/>
  <c r="O177" i="2"/>
  <c r="O189" i="2"/>
  <c r="O201" i="2"/>
  <c r="O213" i="2"/>
  <c r="O225" i="2"/>
  <c r="O237" i="2"/>
  <c r="O249" i="2"/>
  <c r="O264" i="2"/>
  <c r="O282" i="2"/>
  <c r="O300" i="2"/>
  <c r="O318" i="2"/>
  <c r="O336" i="2"/>
  <c r="O354" i="2"/>
  <c r="O372" i="2"/>
  <c r="P21" i="2"/>
  <c r="P49" i="2"/>
  <c r="P75" i="2"/>
  <c r="P103" i="2"/>
  <c r="P129" i="2"/>
  <c r="P157" i="2"/>
  <c r="P183" i="2"/>
  <c r="P211" i="2"/>
  <c r="P237" i="2"/>
  <c r="P265" i="2"/>
  <c r="P291" i="2"/>
  <c r="P319" i="2"/>
  <c r="P345" i="2"/>
  <c r="P373" i="2"/>
  <c r="Q11" i="2"/>
  <c r="Q23" i="2"/>
  <c r="Q35" i="2"/>
  <c r="Q47" i="2"/>
  <c r="Q59" i="2"/>
  <c r="Q71" i="2"/>
  <c r="Q83" i="2"/>
  <c r="Q95" i="2"/>
  <c r="Q107" i="2"/>
  <c r="Q119" i="2"/>
  <c r="Q131" i="2"/>
  <c r="Q143" i="2"/>
  <c r="Q155" i="2"/>
  <c r="Q167" i="2"/>
  <c r="Q179" i="2"/>
  <c r="Q191" i="2"/>
  <c r="Q203" i="2"/>
  <c r="Q215" i="2"/>
  <c r="Q227" i="2"/>
  <c r="Q239" i="2"/>
  <c r="Q251" i="2"/>
  <c r="Q263" i="2"/>
  <c r="Q275" i="2"/>
  <c r="Q287" i="2"/>
  <c r="Q311" i="2"/>
  <c r="Q347" i="2"/>
  <c r="M4" i="2"/>
  <c r="M13" i="2"/>
  <c r="M22" i="2"/>
  <c r="M31" i="2"/>
  <c r="M40" i="2"/>
  <c r="M49" i="2"/>
  <c r="M58" i="2"/>
  <c r="M67" i="2"/>
  <c r="M76" i="2"/>
  <c r="M85" i="2"/>
  <c r="M94" i="2"/>
  <c r="M103" i="2"/>
  <c r="M112" i="2"/>
  <c r="M121" i="2"/>
  <c r="M130" i="2"/>
  <c r="M139" i="2"/>
  <c r="M148" i="2"/>
  <c r="M157" i="2"/>
  <c r="M166" i="2"/>
  <c r="M175" i="2"/>
  <c r="M184" i="2"/>
  <c r="M193" i="2"/>
  <c r="M202" i="2"/>
  <c r="M211" i="2"/>
  <c r="M220" i="2"/>
  <c r="M229" i="2"/>
  <c r="M238" i="2"/>
  <c r="M247" i="2"/>
  <c r="M256" i="2"/>
  <c r="M265" i="2"/>
  <c r="M274" i="2"/>
  <c r="M283" i="2"/>
  <c r="M292" i="2"/>
  <c r="M301" i="2"/>
  <c r="M310" i="2"/>
  <c r="M319" i="2"/>
  <c r="M328" i="2"/>
  <c r="M337" i="2"/>
  <c r="M346" i="2"/>
  <c r="M355" i="2"/>
  <c r="M364" i="2"/>
  <c r="M373" i="2"/>
  <c r="O11" i="2"/>
  <c r="O23" i="2"/>
  <c r="O35" i="2"/>
  <c r="O47" i="2"/>
  <c r="O59" i="2"/>
  <c r="O71" i="2"/>
  <c r="O83" i="2"/>
  <c r="O95" i="2"/>
  <c r="O107" i="2"/>
  <c r="O119" i="2"/>
  <c r="O131" i="2"/>
  <c r="O143" i="2"/>
  <c r="O155" i="2"/>
  <c r="O167" i="2"/>
  <c r="O179" i="2"/>
  <c r="O191" i="2"/>
  <c r="O203" i="2"/>
  <c r="O215" i="2"/>
  <c r="O227" i="2"/>
  <c r="O239" i="2"/>
  <c r="O251" i="2"/>
  <c r="O268" i="2"/>
  <c r="O286" i="2"/>
  <c r="O304" i="2"/>
  <c r="O322" i="2"/>
  <c r="O340" i="2"/>
  <c r="O358" i="2"/>
  <c r="P26" i="2"/>
  <c r="P52" i="2"/>
  <c r="P80" i="2"/>
  <c r="P106" i="2"/>
  <c r="P134" i="2"/>
  <c r="P160" i="2"/>
  <c r="P188" i="2"/>
  <c r="P214" i="2"/>
  <c r="P242" i="2"/>
  <c r="P268" i="2"/>
  <c r="P296" i="2"/>
  <c r="P322" i="2"/>
  <c r="P350" i="2"/>
  <c r="Q2" i="2"/>
  <c r="Q12" i="2"/>
  <c r="Q24" i="2"/>
  <c r="Q36" i="2"/>
  <c r="Q48" i="2"/>
  <c r="Q60" i="2"/>
  <c r="Q72" i="2"/>
  <c r="Q84" i="2"/>
  <c r="Q96" i="2"/>
  <c r="Q108" i="2"/>
  <c r="Q120" i="2"/>
  <c r="Q132" i="2"/>
  <c r="Q144" i="2"/>
  <c r="Q156" i="2"/>
  <c r="Q168" i="2"/>
  <c r="Q180" i="2"/>
  <c r="Q192" i="2"/>
  <c r="Q204" i="2"/>
  <c r="Q216" i="2"/>
  <c r="Q228" i="2"/>
  <c r="Q240" i="2"/>
  <c r="Q252" i="2"/>
  <c r="Q264" i="2"/>
  <c r="Q276" i="2"/>
  <c r="Q288" i="2"/>
  <c r="Q318" i="2"/>
  <c r="O12" i="2"/>
  <c r="O24" i="2"/>
  <c r="O36" i="2"/>
  <c r="O48" i="2"/>
  <c r="O60" i="2"/>
  <c r="O72" i="2"/>
  <c r="O84" i="2"/>
  <c r="O96" i="2"/>
  <c r="O108" i="2"/>
  <c r="O120" i="2"/>
  <c r="O132" i="2"/>
  <c r="O144" i="2"/>
  <c r="O156" i="2"/>
  <c r="O168" i="2"/>
  <c r="O180" i="2"/>
  <c r="O192" i="2"/>
  <c r="O204" i="2"/>
  <c r="O216" i="2"/>
  <c r="O228" i="2"/>
  <c r="O240" i="2"/>
  <c r="O252" i="2"/>
  <c r="O269" i="2"/>
  <c r="O287" i="2"/>
  <c r="O305" i="2"/>
  <c r="O323" i="2"/>
  <c r="O341" i="2"/>
  <c r="O359" i="2"/>
  <c r="P247" i="2"/>
  <c r="P273" i="2"/>
  <c r="P301" i="2"/>
  <c r="P327" i="2"/>
  <c r="P355" i="2"/>
  <c r="Q370" i="2"/>
  <c r="Q365" i="2"/>
  <c r="Q353" i="2"/>
  <c r="Q341" i="2"/>
  <c r="Q329" i="2"/>
  <c r="Q317" i="2"/>
  <c r="Q305" i="2"/>
  <c r="Q373" i="2"/>
  <c r="Q361" i="2"/>
  <c r="Q349" i="2"/>
  <c r="Q337" i="2"/>
  <c r="Q325" i="2"/>
  <c r="Q313" i="2"/>
  <c r="Q301" i="2"/>
  <c r="Q289" i="2"/>
  <c r="Q372" i="2"/>
  <c r="Q360" i="2"/>
  <c r="Q348" i="2"/>
  <c r="Q336" i="2"/>
  <c r="Q324" i="2"/>
  <c r="Q312" i="2"/>
  <c r="Q300" i="2"/>
  <c r="Q367" i="2"/>
  <c r="Q355" i="2"/>
  <c r="Q343" i="2"/>
  <c r="Q331" i="2"/>
  <c r="Q319" i="2"/>
  <c r="Q307" i="2"/>
  <c r="Q295" i="2"/>
  <c r="Q13" i="2"/>
  <c r="Q25" i="2"/>
  <c r="Q37" i="2"/>
  <c r="Q49" i="2"/>
  <c r="Q61" i="2"/>
  <c r="Q73" i="2"/>
  <c r="Q85" i="2"/>
  <c r="Q97" i="2"/>
  <c r="Q109" i="2"/>
  <c r="Q121" i="2"/>
  <c r="Q133" i="2"/>
  <c r="Q145" i="2"/>
  <c r="Q157" i="2"/>
  <c r="Q169" i="2"/>
  <c r="Q181" i="2"/>
  <c r="Q193" i="2"/>
  <c r="Q205" i="2"/>
  <c r="Q217" i="2"/>
  <c r="Q229" i="2"/>
  <c r="Q241" i="2"/>
  <c r="Q253" i="2"/>
  <c r="Q265" i="2"/>
  <c r="Q277" i="2"/>
  <c r="Q293" i="2"/>
  <c r="Q323" i="2"/>
  <c r="Q359" i="2"/>
  <c r="M295" i="2"/>
  <c r="M304" i="2"/>
  <c r="M313" i="2"/>
  <c r="M322" i="2"/>
  <c r="M331" i="2"/>
  <c r="M340" i="2"/>
  <c r="M349" i="2"/>
  <c r="M358" i="2"/>
  <c r="M367" i="2"/>
  <c r="O3" i="2"/>
  <c r="O15" i="2"/>
  <c r="O27" i="2"/>
  <c r="O39" i="2"/>
  <c r="O51" i="2"/>
  <c r="O63" i="2"/>
  <c r="O75" i="2"/>
  <c r="O87" i="2"/>
  <c r="O99" i="2"/>
  <c r="O111" i="2"/>
  <c r="O123" i="2"/>
  <c r="O135" i="2"/>
  <c r="O147" i="2"/>
  <c r="O159" i="2"/>
  <c r="O171" i="2"/>
  <c r="O183" i="2"/>
  <c r="O195" i="2"/>
  <c r="O207" i="2"/>
  <c r="O219" i="2"/>
  <c r="O231" i="2"/>
  <c r="O243" i="2"/>
  <c r="O256" i="2"/>
  <c r="O274" i="2"/>
  <c r="O292" i="2"/>
  <c r="O310" i="2"/>
  <c r="O328" i="2"/>
  <c r="O346" i="2"/>
  <c r="O364" i="2"/>
  <c r="P8" i="2"/>
  <c r="P34" i="2"/>
  <c r="P62" i="2"/>
  <c r="P88" i="2"/>
  <c r="P116" i="2"/>
  <c r="P142" i="2"/>
  <c r="P170" i="2"/>
  <c r="P196" i="2"/>
  <c r="P224" i="2"/>
  <c r="P250" i="2"/>
  <c r="P278" i="2"/>
  <c r="P304" i="2"/>
  <c r="P332" i="2"/>
  <c r="P358" i="2"/>
  <c r="Q5" i="2"/>
  <c r="Q17" i="2"/>
  <c r="Q29" i="2"/>
  <c r="Q41" i="2"/>
  <c r="Q53" i="2"/>
  <c r="Q65" i="2"/>
  <c r="Q77" i="2"/>
  <c r="Q89" i="2"/>
  <c r="Q101" i="2"/>
  <c r="Q113" i="2"/>
  <c r="Q125" i="2"/>
  <c r="Q137" i="2"/>
  <c r="Q149" i="2"/>
  <c r="Q161" i="2"/>
  <c r="Q173" i="2"/>
  <c r="Q185" i="2"/>
  <c r="Q197" i="2"/>
  <c r="Q209" i="2"/>
  <c r="Q221" i="2"/>
  <c r="Q233" i="2"/>
  <c r="Q245" i="2"/>
  <c r="Q257" i="2"/>
  <c r="Q269" i="2"/>
  <c r="Q281" i="2"/>
  <c r="Q294" i="2"/>
  <c r="Q330" i="2"/>
  <c r="Q366" i="2"/>
  <c r="M2" i="2"/>
  <c r="M9" i="2"/>
  <c r="M18" i="2"/>
  <c r="M27" i="2"/>
  <c r="M36" i="2"/>
  <c r="M45" i="2"/>
  <c r="M54" i="2"/>
  <c r="M63" i="2"/>
  <c r="M72" i="2"/>
  <c r="M81" i="2"/>
  <c r="M90" i="2"/>
  <c r="M99" i="2"/>
  <c r="M108" i="2"/>
  <c r="M117" i="2"/>
  <c r="M126" i="2"/>
  <c r="M135" i="2"/>
  <c r="M144" i="2"/>
  <c r="M153" i="2"/>
  <c r="M162" i="2"/>
  <c r="M171" i="2"/>
  <c r="M180" i="2"/>
  <c r="M189" i="2"/>
  <c r="M198" i="2"/>
  <c r="M207" i="2"/>
  <c r="M216" i="2"/>
  <c r="M225" i="2"/>
  <c r="M234" i="2"/>
  <c r="M243" i="2"/>
  <c r="M252" i="2"/>
  <c r="M261" i="2"/>
  <c r="M270" i="2"/>
  <c r="M279" i="2"/>
  <c r="M288" i="2"/>
  <c r="M297" i="2"/>
  <c r="M306" i="2"/>
  <c r="M315" i="2"/>
  <c r="M324" i="2"/>
  <c r="M333" i="2"/>
  <c r="M342" i="2"/>
  <c r="M351" i="2"/>
  <c r="M360" i="2"/>
  <c r="M369" i="2"/>
  <c r="O5" i="2"/>
  <c r="O17" i="2"/>
  <c r="O29" i="2"/>
  <c r="O41" i="2"/>
  <c r="O53" i="2"/>
  <c r="O65" i="2"/>
  <c r="O77" i="2"/>
  <c r="O89" i="2"/>
  <c r="O101" i="2"/>
  <c r="O113" i="2"/>
  <c r="O125" i="2"/>
  <c r="O137" i="2"/>
  <c r="O149" i="2"/>
  <c r="O161" i="2"/>
  <c r="O173" i="2"/>
  <c r="O185" i="2"/>
  <c r="O197" i="2"/>
  <c r="O209" i="2"/>
  <c r="O221" i="2"/>
  <c r="O233" i="2"/>
  <c r="O245" i="2"/>
  <c r="O258" i="2"/>
  <c r="O276" i="2"/>
  <c r="O294" i="2"/>
  <c r="O312" i="2"/>
  <c r="O330" i="2"/>
  <c r="O348" i="2"/>
  <c r="O366" i="2"/>
  <c r="P13" i="2"/>
  <c r="P39" i="2"/>
  <c r="P67" i="2"/>
  <c r="P93" i="2"/>
  <c r="P121" i="2"/>
  <c r="P147" i="2"/>
  <c r="P175" i="2"/>
  <c r="P201" i="2"/>
  <c r="P229" i="2"/>
  <c r="P255" i="2"/>
  <c r="P283" i="2"/>
  <c r="P309" i="2"/>
  <c r="P337" i="2"/>
  <c r="P363" i="2"/>
  <c r="Q6" i="2"/>
  <c r="Q18" i="2"/>
  <c r="Q30" i="2"/>
  <c r="Q42" i="2"/>
  <c r="Q54" i="2"/>
  <c r="Q66" i="2"/>
  <c r="Q78" i="2"/>
  <c r="Q90" i="2"/>
  <c r="Q102" i="2"/>
  <c r="Q114" i="2"/>
  <c r="Q126" i="2"/>
  <c r="Q138" i="2"/>
  <c r="Q150" i="2"/>
  <c r="Q162" i="2"/>
  <c r="Q174" i="2"/>
  <c r="Q186" i="2"/>
  <c r="Q198" i="2"/>
  <c r="Q210" i="2"/>
  <c r="Q222" i="2"/>
  <c r="Q234" i="2"/>
  <c r="Q246" i="2"/>
  <c r="Q258" i="2"/>
  <c r="Q270" i="2"/>
  <c r="Q282" i="2"/>
  <c r="Q299" i="2"/>
  <c r="Q335" i="2"/>
  <c r="Q371" i="2"/>
  <c r="M10" i="2"/>
  <c r="M19" i="2"/>
  <c r="M28" i="2"/>
  <c r="M37" i="2"/>
  <c r="M46" i="2"/>
  <c r="M55" i="2"/>
  <c r="M64" i="2"/>
  <c r="M73" i="2"/>
  <c r="M82" i="2"/>
  <c r="M91" i="2"/>
  <c r="M100" i="2"/>
  <c r="M109" i="2"/>
  <c r="M118" i="2"/>
  <c r="M127" i="2"/>
  <c r="M136" i="2"/>
  <c r="M145" i="2"/>
  <c r="M154" i="2"/>
  <c r="M163" i="2"/>
  <c r="M172" i="2"/>
  <c r="M181" i="2"/>
  <c r="M190" i="2"/>
  <c r="M199" i="2"/>
  <c r="M208" i="2"/>
  <c r="M217" i="2"/>
  <c r="M226" i="2"/>
  <c r="M235" i="2"/>
  <c r="M244" i="2"/>
  <c r="M253" i="2"/>
  <c r="M262" i="2"/>
  <c r="M271" i="2"/>
  <c r="M280" i="2"/>
  <c r="M289" i="2"/>
  <c r="M298" i="2"/>
  <c r="M307" i="2"/>
  <c r="M316" i="2"/>
  <c r="M325" i="2"/>
  <c r="M334" i="2"/>
  <c r="M343" i="2"/>
  <c r="M352" i="2"/>
  <c r="M361" i="2"/>
  <c r="M370" i="2"/>
  <c r="O6" i="2"/>
  <c r="O18" i="2"/>
  <c r="O30" i="2"/>
  <c r="O42" i="2"/>
  <c r="O54" i="2"/>
  <c r="O66" i="2"/>
  <c r="O78" i="2"/>
  <c r="O90" i="2"/>
  <c r="O102" i="2"/>
  <c r="O114" i="2"/>
  <c r="O126" i="2"/>
  <c r="O138" i="2"/>
  <c r="O150" i="2"/>
  <c r="O162" i="2"/>
  <c r="O174" i="2"/>
  <c r="O186" i="2"/>
  <c r="O198" i="2"/>
  <c r="O210" i="2"/>
  <c r="O222" i="2"/>
  <c r="O234" i="2"/>
  <c r="O246" i="2"/>
  <c r="O261" i="2"/>
  <c r="O279" i="2"/>
  <c r="O297" i="2"/>
  <c r="O315" i="2"/>
  <c r="O333" i="2"/>
  <c r="O351" i="2"/>
  <c r="O369" i="2"/>
  <c r="P16" i="2"/>
  <c r="P44" i="2"/>
  <c r="P70" i="2"/>
  <c r="P98" i="2"/>
  <c r="P124" i="2"/>
  <c r="P152" i="2"/>
  <c r="P178" i="2"/>
  <c r="P206" i="2"/>
  <c r="P232" i="2"/>
  <c r="P260" i="2"/>
  <c r="P286" i="2"/>
  <c r="P314" i="2"/>
  <c r="P340" i="2"/>
  <c r="P368" i="2"/>
  <c r="Q7" i="2"/>
  <c r="Q19" i="2"/>
  <c r="Q31" i="2"/>
  <c r="Q43" i="2"/>
  <c r="Q55" i="2"/>
  <c r="Q67" i="2"/>
  <c r="Q79" i="2"/>
  <c r="Q91" i="2"/>
  <c r="Q103" i="2"/>
  <c r="Q115" i="2"/>
  <c r="Q127" i="2"/>
  <c r="Q139" i="2"/>
  <c r="Q151" i="2"/>
  <c r="Q163" i="2"/>
  <c r="Q175" i="2"/>
  <c r="Q187" i="2"/>
  <c r="Q199" i="2"/>
  <c r="Q211" i="2"/>
  <c r="Q223" i="2"/>
  <c r="Q235" i="2"/>
  <c r="Q247" i="2"/>
  <c r="Q259" i="2"/>
  <c r="Q271" i="2"/>
  <c r="Q283" i="2"/>
  <c r="Q306" i="2"/>
  <c r="Q342" i="2"/>
  <c r="R9" i="2"/>
  <c r="R16" i="2"/>
  <c r="R23" i="2"/>
  <c r="R30" i="2"/>
  <c r="R37" i="2"/>
  <c r="R45" i="2"/>
  <c r="R52" i="2"/>
  <c r="R59" i="2"/>
  <c r="R66" i="2"/>
  <c r="R73" i="2"/>
  <c r="R81" i="2"/>
  <c r="R88" i="2"/>
  <c r="R96" i="2"/>
  <c r="R106" i="2"/>
  <c r="R114" i="2"/>
  <c r="R124" i="2"/>
  <c r="R135" i="2"/>
  <c r="R147" i="2"/>
  <c r="R159" i="2"/>
  <c r="R171" i="2"/>
  <c r="R183" i="2"/>
  <c r="R195" i="2"/>
  <c r="R207" i="2"/>
  <c r="R219" i="2"/>
  <c r="R231" i="2"/>
  <c r="R243" i="2"/>
  <c r="R255" i="2"/>
  <c r="R267" i="2"/>
  <c r="R279" i="2"/>
  <c r="R291" i="2"/>
  <c r="R303" i="2"/>
  <c r="R315" i="2"/>
  <c r="R327" i="2"/>
  <c r="R339" i="2"/>
  <c r="R351" i="2"/>
  <c r="R363" i="2"/>
  <c r="S31" i="2"/>
  <c r="S69" i="2"/>
  <c r="S112" i="2"/>
  <c r="S156" i="2"/>
  <c r="S199" i="2"/>
  <c r="S242" i="2"/>
  <c r="S285" i="2"/>
  <c r="S328" i="2"/>
  <c r="S372" i="2"/>
  <c r="T8" i="2"/>
  <c r="T20" i="2"/>
  <c r="T30" i="2"/>
  <c r="T42" i="2"/>
  <c r="T52" i="2"/>
  <c r="T64" i="2"/>
  <c r="T73" i="2"/>
  <c r="T85" i="2"/>
  <c r="T95" i="2"/>
  <c r="T107" i="2"/>
  <c r="T116" i="2"/>
  <c r="T128" i="2"/>
  <c r="T138" i="2"/>
  <c r="T150" i="2"/>
  <c r="T160" i="2"/>
  <c r="T172" i="2"/>
  <c r="T181" i="2"/>
  <c r="T193" i="2"/>
  <c r="T203" i="2"/>
  <c r="T215" i="2"/>
  <c r="T224" i="2"/>
  <c r="T236" i="2"/>
  <c r="T246" i="2"/>
  <c r="T258" i="2"/>
  <c r="T268" i="2"/>
  <c r="T280" i="2"/>
  <c r="T289" i="2"/>
  <c r="T301" i="2"/>
  <c r="T311" i="2"/>
  <c r="T323" i="2"/>
  <c r="T332" i="2"/>
  <c r="T344" i="2"/>
  <c r="R3" i="2"/>
  <c r="R10" i="2"/>
  <c r="R17" i="2"/>
  <c r="R24" i="2"/>
  <c r="R31" i="2"/>
  <c r="R39" i="2"/>
  <c r="R46" i="2"/>
  <c r="R53" i="2"/>
  <c r="R60" i="2"/>
  <c r="R67" i="2"/>
  <c r="R75" i="2"/>
  <c r="R82" i="2"/>
  <c r="R89" i="2"/>
  <c r="R99" i="2"/>
  <c r="R107" i="2"/>
  <c r="R117" i="2"/>
  <c r="R125" i="2"/>
  <c r="R136" i="2"/>
  <c r="R148" i="2"/>
  <c r="R160" i="2"/>
  <c r="R172" i="2"/>
  <c r="R184" i="2"/>
  <c r="R196" i="2"/>
  <c r="R208" i="2"/>
  <c r="R220" i="2"/>
  <c r="R232" i="2"/>
  <c r="R244" i="2"/>
  <c r="R256" i="2"/>
  <c r="R268" i="2"/>
  <c r="R280" i="2"/>
  <c r="R292" i="2"/>
  <c r="R304" i="2"/>
  <c r="R316" i="2"/>
  <c r="R328" i="2"/>
  <c r="R340" i="2"/>
  <c r="R352" i="2"/>
  <c r="R364" i="2"/>
  <c r="S4" i="2"/>
  <c r="S40" i="2"/>
  <c r="S80" i="2"/>
  <c r="S123" i="2"/>
  <c r="S166" i="2"/>
  <c r="S210" i="2"/>
  <c r="S253" i="2"/>
  <c r="S296" i="2"/>
  <c r="S339" i="2"/>
  <c r="T2" i="2"/>
  <c r="T12" i="2"/>
  <c r="T22" i="2"/>
  <c r="T34" i="2"/>
  <c r="T43" i="2"/>
  <c r="T55" i="2"/>
  <c r="T65" i="2"/>
  <c r="T77" i="2"/>
  <c r="T86" i="2"/>
  <c r="T98" i="2"/>
  <c r="T108" i="2"/>
  <c r="T120" i="2"/>
  <c r="T130" i="2"/>
  <c r="T142" i="2"/>
  <c r="T151" i="2"/>
  <c r="T163" i="2"/>
  <c r="T173" i="2"/>
  <c r="T185" i="2"/>
  <c r="T194" i="2"/>
  <c r="T206" i="2"/>
  <c r="T216" i="2"/>
  <c r="T228" i="2"/>
  <c r="T238" i="2"/>
  <c r="T250" i="2"/>
  <c r="T259" i="2"/>
  <c r="T271" i="2"/>
  <c r="T281" i="2"/>
  <c r="T293" i="2"/>
  <c r="T302" i="2"/>
  <c r="T314" i="2"/>
  <c r="T324" i="2"/>
  <c r="T336" i="2"/>
  <c r="T374" i="2"/>
  <c r="T373" i="2"/>
  <c r="T359" i="2"/>
  <c r="T368" i="2"/>
  <c r="T354" i="2"/>
  <c r="T366" i="2"/>
  <c r="T352" i="2"/>
  <c r="T365" i="2"/>
  <c r="T361" i="2"/>
  <c r="T347" i="2"/>
  <c r="T13" i="2"/>
  <c r="T23" i="2"/>
  <c r="T35" i="2"/>
  <c r="T44" i="2"/>
  <c r="T56" i="2"/>
  <c r="T66" i="2"/>
  <c r="T78" i="2"/>
  <c r="T88" i="2"/>
  <c r="T100" i="2"/>
  <c r="T109" i="2"/>
  <c r="T121" i="2"/>
  <c r="T131" i="2"/>
  <c r="T143" i="2"/>
  <c r="T152" i="2"/>
  <c r="T164" i="2"/>
  <c r="T174" i="2"/>
  <c r="T186" i="2"/>
  <c r="T196" i="2"/>
  <c r="T208" i="2"/>
  <c r="T217" i="2"/>
  <c r="T229" i="2"/>
  <c r="T239" i="2"/>
  <c r="T251" i="2"/>
  <c r="T260" i="2"/>
  <c r="T272" i="2"/>
  <c r="T282" i="2"/>
  <c r="T294" i="2"/>
  <c r="T304" i="2"/>
  <c r="T316" i="2"/>
  <c r="T325" i="2"/>
  <c r="T337" i="2"/>
  <c r="T350" i="2"/>
  <c r="R5" i="2"/>
  <c r="R12" i="2"/>
  <c r="R19" i="2"/>
  <c r="R27" i="2"/>
  <c r="R34" i="2"/>
  <c r="R41" i="2"/>
  <c r="R48" i="2"/>
  <c r="R55" i="2"/>
  <c r="R63" i="2"/>
  <c r="R70" i="2"/>
  <c r="R77" i="2"/>
  <c r="R84" i="2"/>
  <c r="R93" i="2"/>
  <c r="R101" i="2"/>
  <c r="R111" i="2"/>
  <c r="R119" i="2"/>
  <c r="R129" i="2"/>
  <c r="R141" i="2"/>
  <c r="R153" i="2"/>
  <c r="R165" i="2"/>
  <c r="R177" i="2"/>
  <c r="R189" i="2"/>
  <c r="R201" i="2"/>
  <c r="R213" i="2"/>
  <c r="R225" i="2"/>
  <c r="R237" i="2"/>
  <c r="R249" i="2"/>
  <c r="R261" i="2"/>
  <c r="R273" i="2"/>
  <c r="R285" i="2"/>
  <c r="R297" i="2"/>
  <c r="R309" i="2"/>
  <c r="R321" i="2"/>
  <c r="R333" i="2"/>
  <c r="R345" i="2"/>
  <c r="R357" i="2"/>
  <c r="R369" i="2"/>
  <c r="S310" i="2"/>
  <c r="S354" i="2"/>
  <c r="T5" i="2"/>
  <c r="T14" i="2"/>
  <c r="T26" i="2"/>
  <c r="T36" i="2"/>
  <c r="T48" i="2"/>
  <c r="T58" i="2"/>
  <c r="T70" i="2"/>
  <c r="T79" i="2"/>
  <c r="T91" i="2"/>
  <c r="T101" i="2"/>
  <c r="T113" i="2"/>
  <c r="T122" i="2"/>
  <c r="T134" i="2"/>
  <c r="T144" i="2"/>
  <c r="T156" i="2"/>
  <c r="T166" i="2"/>
  <c r="T178" i="2"/>
  <c r="T187" i="2"/>
  <c r="T199" i="2"/>
  <c r="T209" i="2"/>
  <c r="T221" i="2"/>
  <c r="T230" i="2"/>
  <c r="T242" i="2"/>
  <c r="T252" i="2"/>
  <c r="T264" i="2"/>
  <c r="T274" i="2"/>
  <c r="T286" i="2"/>
  <c r="T295" i="2"/>
  <c r="T307" i="2"/>
  <c r="T317" i="2"/>
  <c r="T329" i="2"/>
  <c r="T338" i="2"/>
  <c r="T358" i="2"/>
  <c r="R6" i="2"/>
  <c r="R13" i="2"/>
  <c r="R21" i="2"/>
  <c r="R28" i="2"/>
  <c r="R35" i="2"/>
  <c r="R42" i="2"/>
  <c r="R49" i="2"/>
  <c r="R57" i="2"/>
  <c r="R64" i="2"/>
  <c r="R71" i="2"/>
  <c r="R78" i="2"/>
  <c r="R85" i="2"/>
  <c r="R94" i="2"/>
  <c r="R102" i="2"/>
  <c r="R112" i="2"/>
  <c r="R120" i="2"/>
  <c r="R130" i="2"/>
  <c r="R142" i="2"/>
  <c r="R154" i="2"/>
  <c r="R166" i="2"/>
  <c r="R178" i="2"/>
  <c r="R190" i="2"/>
  <c r="R202" i="2"/>
  <c r="R214" i="2"/>
  <c r="R226" i="2"/>
  <c r="R238" i="2"/>
  <c r="R250" i="2"/>
  <c r="R262" i="2"/>
  <c r="R274" i="2"/>
  <c r="R286" i="2"/>
  <c r="R298" i="2"/>
  <c r="R310" i="2"/>
  <c r="R322" i="2"/>
  <c r="R334" i="2"/>
  <c r="R346" i="2"/>
  <c r="R358" i="2"/>
  <c r="R370" i="2"/>
  <c r="S184" i="2"/>
  <c r="S228" i="2"/>
  <c r="S271" i="2"/>
  <c r="S314" i="2"/>
  <c r="S357" i="2"/>
  <c r="T6" i="2"/>
  <c r="T16" i="2"/>
  <c r="T28" i="2"/>
  <c r="T37" i="2"/>
  <c r="T49" i="2"/>
  <c r="T59" i="2"/>
  <c r="T71" i="2"/>
  <c r="T80" i="2"/>
  <c r="T92" i="2"/>
  <c r="T102" i="2"/>
  <c r="T114" i="2"/>
  <c r="T124" i="2"/>
  <c r="T136" i="2"/>
  <c r="T145" i="2"/>
  <c r="T157" i="2"/>
  <c r="T167" i="2"/>
  <c r="T179" i="2"/>
  <c r="T188" i="2"/>
  <c r="T200" i="2"/>
  <c r="T210" i="2"/>
  <c r="T222" i="2"/>
  <c r="T232" i="2"/>
  <c r="T244" i="2"/>
  <c r="T253" i="2"/>
  <c r="T265" i="2"/>
  <c r="T275" i="2"/>
  <c r="T287" i="2"/>
  <c r="T296" i="2"/>
  <c r="T308" i="2"/>
  <c r="T318" i="2"/>
  <c r="T330" i="2"/>
  <c r="T340" i="2"/>
  <c r="T372" i="2"/>
  <c r="R2" i="2"/>
  <c r="R7" i="2"/>
  <c r="R15" i="2"/>
  <c r="R22" i="2"/>
  <c r="R29" i="2"/>
  <c r="R36" i="2"/>
  <c r="R43" i="2"/>
  <c r="R51" i="2"/>
  <c r="R58" i="2"/>
  <c r="R65" i="2"/>
  <c r="R72" i="2"/>
  <c r="R79" i="2"/>
  <c r="R87" i="2"/>
  <c r="R95" i="2"/>
  <c r="R105" i="2"/>
  <c r="R113" i="2"/>
  <c r="R123" i="2"/>
  <c r="R132" i="2"/>
  <c r="R144" i="2"/>
  <c r="R156" i="2"/>
  <c r="R168" i="2"/>
  <c r="R180" i="2"/>
  <c r="R192" i="2"/>
  <c r="R204" i="2"/>
  <c r="R216" i="2"/>
  <c r="R228" i="2"/>
  <c r="R240" i="2"/>
  <c r="R252" i="2"/>
  <c r="R264" i="2"/>
  <c r="R276" i="2"/>
  <c r="R288" i="2"/>
  <c r="R300" i="2"/>
  <c r="R312" i="2"/>
  <c r="R324" i="2"/>
  <c r="R336" i="2"/>
  <c r="R348" i="2"/>
  <c r="R360" i="2"/>
  <c r="R372" i="2"/>
  <c r="S28" i="2"/>
  <c r="S66" i="2"/>
  <c r="S109" i="2"/>
  <c r="S152" i="2"/>
  <c r="S195" i="2"/>
  <c r="S238" i="2"/>
  <c r="S282" i="2"/>
  <c r="S325" i="2"/>
  <c r="S368" i="2"/>
  <c r="T7" i="2"/>
  <c r="T19" i="2"/>
  <c r="T29" i="2"/>
  <c r="T41" i="2"/>
  <c r="T50" i="2"/>
  <c r="T62" i="2"/>
  <c r="T72" i="2"/>
  <c r="T84" i="2"/>
  <c r="T94" i="2"/>
  <c r="T106" i="2"/>
  <c r="T115" i="2"/>
  <c r="T127" i="2"/>
  <c r="T137" i="2"/>
  <c r="T149" i="2"/>
  <c r="T158" i="2"/>
  <c r="T170" i="2"/>
  <c r="T180" i="2"/>
  <c r="T192" i="2"/>
  <c r="T202" i="2"/>
  <c r="T214" i="2"/>
  <c r="T223" i="2"/>
  <c r="T235" i="2"/>
  <c r="T245" i="2"/>
  <c r="T257" i="2"/>
  <c r="T266" i="2"/>
  <c r="T278" i="2"/>
  <c r="T288" i="2"/>
  <c r="T300" i="2"/>
  <c r="T310" i="2"/>
  <c r="T322" i="2"/>
  <c r="T331" i="2"/>
  <c r="T343" i="2"/>
  <c r="U21" i="2"/>
  <c r="U42" i="2"/>
  <c r="U64" i="2"/>
  <c r="U86" i="2"/>
  <c r="U107" i="2"/>
  <c r="U129" i="2"/>
  <c r="U150" i="2"/>
  <c r="U172" i="2"/>
  <c r="U194" i="2"/>
  <c r="U215" i="2"/>
  <c r="U237" i="2"/>
  <c r="U258" i="2"/>
  <c r="U280" i="2"/>
  <c r="U302" i="2"/>
  <c r="U323" i="2"/>
  <c r="U345" i="2"/>
  <c r="U366" i="2"/>
  <c r="V4" i="2"/>
  <c r="V13" i="2"/>
  <c r="V22" i="2"/>
  <c r="V31" i="2"/>
  <c r="V40" i="2"/>
  <c r="V49" i="2"/>
  <c r="V58" i="2"/>
  <c r="V67" i="2"/>
  <c r="V76" i="2"/>
  <c r="V85" i="2"/>
  <c r="V94" i="2"/>
  <c r="V103" i="2"/>
  <c r="V112" i="2"/>
  <c r="V121" i="2"/>
  <c r="V130" i="2"/>
  <c r="V139" i="2"/>
  <c r="V148" i="2"/>
  <c r="V157" i="2"/>
  <c r="V166" i="2"/>
  <c r="V175" i="2"/>
  <c r="V184" i="2"/>
  <c r="V193" i="2"/>
  <c r="V202" i="2"/>
  <c r="V211" i="2"/>
  <c r="V220" i="2"/>
  <c r="V229" i="2"/>
  <c r="V238" i="2"/>
  <c r="V247" i="2"/>
  <c r="V256" i="2"/>
  <c r="V265" i="2"/>
  <c r="V274" i="2"/>
  <c r="V283" i="2"/>
  <c r="V292" i="2"/>
  <c r="V301" i="2"/>
  <c r="V310" i="2"/>
  <c r="V319" i="2"/>
  <c r="V328" i="2"/>
  <c r="V337" i="2"/>
  <c r="V346" i="2"/>
  <c r="V357" i="2"/>
  <c r="V367" i="2"/>
  <c r="W4" i="2"/>
  <c r="W17" i="2"/>
  <c r="W34" i="2"/>
  <c r="W47" i="2"/>
  <c r="W61" i="2"/>
  <c r="W76" i="2"/>
  <c r="W89" i="2"/>
  <c r="W106" i="2"/>
  <c r="W119" i="2"/>
  <c r="W133" i="2"/>
  <c r="W148" i="2"/>
  <c r="W161" i="2"/>
  <c r="W178" i="2"/>
  <c r="W191" i="2"/>
  <c r="W205" i="2"/>
  <c r="W220" i="2"/>
  <c r="W233" i="2"/>
  <c r="W250" i="2"/>
  <c r="W265" i="2"/>
  <c r="W281" i="2"/>
  <c r="W301" i="2"/>
  <c r="W317" i="2"/>
  <c r="W337" i="2"/>
  <c r="W353" i="2"/>
  <c r="W373" i="2"/>
  <c r="U5" i="2"/>
  <c r="U27" i="2"/>
  <c r="U48" i="2"/>
  <c r="U70" i="2"/>
  <c r="U92" i="2"/>
  <c r="U113" i="2"/>
  <c r="U135" i="2"/>
  <c r="U156" i="2"/>
  <c r="U178" i="2"/>
  <c r="U200" i="2"/>
  <c r="U221" i="2"/>
  <c r="U243" i="2"/>
  <c r="U264" i="2"/>
  <c r="U286" i="2"/>
  <c r="U308" i="2"/>
  <c r="U329" i="2"/>
  <c r="U351" i="2"/>
  <c r="U372" i="2"/>
  <c r="V6" i="2"/>
  <c r="V15" i="2"/>
  <c r="V24" i="2"/>
  <c r="V33" i="2"/>
  <c r="V42" i="2"/>
  <c r="V51" i="2"/>
  <c r="V60" i="2"/>
  <c r="V69" i="2"/>
  <c r="V78" i="2"/>
  <c r="V87" i="2"/>
  <c r="V96" i="2"/>
  <c r="V105" i="2"/>
  <c r="V114" i="2"/>
  <c r="V123" i="2"/>
  <c r="V132" i="2"/>
  <c r="V141" i="2"/>
  <c r="V150" i="2"/>
  <c r="V159" i="2"/>
  <c r="V168" i="2"/>
  <c r="V177" i="2"/>
  <c r="V186" i="2"/>
  <c r="V195" i="2"/>
  <c r="V204" i="2"/>
  <c r="V213" i="2"/>
  <c r="V222" i="2"/>
  <c r="V231" i="2"/>
  <c r="V240" i="2"/>
  <c r="V249" i="2"/>
  <c r="V258" i="2"/>
  <c r="V267" i="2"/>
  <c r="V276" i="2"/>
  <c r="V285" i="2"/>
  <c r="V294" i="2"/>
  <c r="V303" i="2"/>
  <c r="V312" i="2"/>
  <c r="V321" i="2"/>
  <c r="V330" i="2"/>
  <c r="V339" i="2"/>
  <c r="V348" i="2"/>
  <c r="V358" i="2"/>
  <c r="V369" i="2"/>
  <c r="W5" i="2"/>
  <c r="W22" i="2"/>
  <c r="W35" i="2"/>
  <c r="W49" i="2"/>
  <c r="W64" i="2"/>
  <c r="W77" i="2"/>
  <c r="W94" i="2"/>
  <c r="W107" i="2"/>
  <c r="W121" i="2"/>
  <c r="W136" i="2"/>
  <c r="W149" i="2"/>
  <c r="W166" i="2"/>
  <c r="W179" i="2"/>
  <c r="W193" i="2"/>
  <c r="W208" i="2"/>
  <c r="W221" i="2"/>
  <c r="W238" i="2"/>
  <c r="W251" i="2"/>
  <c r="W268" i="2"/>
  <c r="W286" i="2"/>
  <c r="W304" i="2"/>
  <c r="W322" i="2"/>
  <c r="W340" i="2"/>
  <c r="W358" i="2"/>
  <c r="U6" i="2"/>
  <c r="U28" i="2"/>
  <c r="U50" i="2"/>
  <c r="U71" i="2"/>
  <c r="U93" i="2"/>
  <c r="U114" i="2"/>
  <c r="U136" i="2"/>
  <c r="U158" i="2"/>
  <c r="U179" i="2"/>
  <c r="U201" i="2"/>
  <c r="U222" i="2"/>
  <c r="U244" i="2"/>
  <c r="U266" i="2"/>
  <c r="U287" i="2"/>
  <c r="U309" i="2"/>
  <c r="U330" i="2"/>
  <c r="U352" i="2"/>
  <c r="U374" i="2"/>
  <c r="V7" i="2"/>
  <c r="V16" i="2"/>
  <c r="V25" i="2"/>
  <c r="V34" i="2"/>
  <c r="V43" i="2"/>
  <c r="V52" i="2"/>
  <c r="V61" i="2"/>
  <c r="V70" i="2"/>
  <c r="V79" i="2"/>
  <c r="V88" i="2"/>
  <c r="V97" i="2"/>
  <c r="V106" i="2"/>
  <c r="V115" i="2"/>
  <c r="V124" i="2"/>
  <c r="V133" i="2"/>
  <c r="V142" i="2"/>
  <c r="V151" i="2"/>
  <c r="V160" i="2"/>
  <c r="V169" i="2"/>
  <c r="V178" i="2"/>
  <c r="V187" i="2"/>
  <c r="V196" i="2"/>
  <c r="V205" i="2"/>
  <c r="V214" i="2"/>
  <c r="V223" i="2"/>
  <c r="V232" i="2"/>
  <c r="V241" i="2"/>
  <c r="V250" i="2"/>
  <c r="V259" i="2"/>
  <c r="V268" i="2"/>
  <c r="V277" i="2"/>
  <c r="V286" i="2"/>
  <c r="V295" i="2"/>
  <c r="V304" i="2"/>
  <c r="V313" i="2"/>
  <c r="V322" i="2"/>
  <c r="V331" i="2"/>
  <c r="V340" i="2"/>
  <c r="V349" i="2"/>
  <c r="V360" i="2"/>
  <c r="V370" i="2"/>
  <c r="W10" i="2"/>
  <c r="W23" i="2"/>
  <c r="W37" i="2"/>
  <c r="W52" i="2"/>
  <c r="W65" i="2"/>
  <c r="W82" i="2"/>
  <c r="W95" i="2"/>
  <c r="W109" i="2"/>
  <c r="W124" i="2"/>
  <c r="W137" i="2"/>
  <c r="W154" i="2"/>
  <c r="W167" i="2"/>
  <c r="W181" i="2"/>
  <c r="W196" i="2"/>
  <c r="W209" i="2"/>
  <c r="W226" i="2"/>
  <c r="W239" i="2"/>
  <c r="W253" i="2"/>
  <c r="W269" i="2"/>
  <c r="W289" i="2"/>
  <c r="W305" i="2"/>
  <c r="W325" i="2"/>
  <c r="W341" i="2"/>
  <c r="W361" i="2"/>
  <c r="U12" i="2"/>
  <c r="U34" i="2"/>
  <c r="U56" i="2"/>
  <c r="U77" i="2"/>
  <c r="U99" i="2"/>
  <c r="U120" i="2"/>
  <c r="U142" i="2"/>
  <c r="U164" i="2"/>
  <c r="U185" i="2"/>
  <c r="U207" i="2"/>
  <c r="U228" i="2"/>
  <c r="U250" i="2"/>
  <c r="U272" i="2"/>
  <c r="U293" i="2"/>
  <c r="U315" i="2"/>
  <c r="U336" i="2"/>
  <c r="U358" i="2"/>
  <c r="V2" i="2"/>
  <c r="V9" i="2"/>
  <c r="V18" i="2"/>
  <c r="V27" i="2"/>
  <c r="V36" i="2"/>
  <c r="V45" i="2"/>
  <c r="V54" i="2"/>
  <c r="V63" i="2"/>
  <c r="V72" i="2"/>
  <c r="V81" i="2"/>
  <c r="V90" i="2"/>
  <c r="V99" i="2"/>
  <c r="V108" i="2"/>
  <c r="V117" i="2"/>
  <c r="V126" i="2"/>
  <c r="V135" i="2"/>
  <c r="V144" i="2"/>
  <c r="V153" i="2"/>
  <c r="V162" i="2"/>
  <c r="V171" i="2"/>
  <c r="V180" i="2"/>
  <c r="V189" i="2"/>
  <c r="V198" i="2"/>
  <c r="V207" i="2"/>
  <c r="V216" i="2"/>
  <c r="V225" i="2"/>
  <c r="V234" i="2"/>
  <c r="V243" i="2"/>
  <c r="V252" i="2"/>
  <c r="V261" i="2"/>
  <c r="V270" i="2"/>
  <c r="V279" i="2"/>
  <c r="V288" i="2"/>
  <c r="V297" i="2"/>
  <c r="V306" i="2"/>
  <c r="V315" i="2"/>
  <c r="V324" i="2"/>
  <c r="V333" i="2"/>
  <c r="V342" i="2"/>
  <c r="V351" i="2"/>
  <c r="V361" i="2"/>
  <c r="W11" i="2"/>
  <c r="W25" i="2"/>
  <c r="W40" i="2"/>
  <c r="W53" i="2"/>
  <c r="W70" i="2"/>
  <c r="W83" i="2"/>
  <c r="W97" i="2"/>
  <c r="W112" i="2"/>
  <c r="W125" i="2"/>
  <c r="W142" i="2"/>
  <c r="W155" i="2"/>
  <c r="W169" i="2"/>
  <c r="W184" i="2"/>
  <c r="W197" i="2"/>
  <c r="W214" i="2"/>
  <c r="W227" i="2"/>
  <c r="W241" i="2"/>
  <c r="W256" i="2"/>
  <c r="W274" i="2"/>
  <c r="W292" i="2"/>
  <c r="W310" i="2"/>
  <c r="W328" i="2"/>
  <c r="W346" i="2"/>
  <c r="W364" i="2"/>
  <c r="V371" i="2"/>
  <c r="V372" i="2"/>
  <c r="V363" i="2"/>
  <c r="V354" i="2"/>
  <c r="V10" i="2"/>
  <c r="V19" i="2"/>
  <c r="V28" i="2"/>
  <c r="V37" i="2"/>
  <c r="V46" i="2"/>
  <c r="V55" i="2"/>
  <c r="V64" i="2"/>
  <c r="V73" i="2"/>
  <c r="V82" i="2"/>
  <c r="V91" i="2"/>
  <c r="V100" i="2"/>
  <c r="V109" i="2"/>
  <c r="V118" i="2"/>
  <c r="V127" i="2"/>
  <c r="V136" i="2"/>
  <c r="V145" i="2"/>
  <c r="V154" i="2"/>
  <c r="V163" i="2"/>
  <c r="V172" i="2"/>
  <c r="V181" i="2"/>
  <c r="V190" i="2"/>
  <c r="V199" i="2"/>
  <c r="V208" i="2"/>
  <c r="V217" i="2"/>
  <c r="V226" i="2"/>
  <c r="V235" i="2"/>
  <c r="V244" i="2"/>
  <c r="V253" i="2"/>
  <c r="V262" i="2"/>
  <c r="V271" i="2"/>
  <c r="V280" i="2"/>
  <c r="V289" i="2"/>
  <c r="V298" i="2"/>
  <c r="V307" i="2"/>
  <c r="V316" i="2"/>
  <c r="V325" i="2"/>
  <c r="V334" i="2"/>
  <c r="V343" i="2"/>
  <c r="V352" i="2"/>
  <c r="V364" i="2"/>
  <c r="W2" i="2"/>
  <c r="W13" i="2"/>
  <c r="W28" i="2"/>
  <c r="W41" i="2"/>
  <c r="W58" i="2"/>
  <c r="W71" i="2"/>
  <c r="W85" i="2"/>
  <c r="W100" i="2"/>
  <c r="W113" i="2"/>
  <c r="W130" i="2"/>
  <c r="W143" i="2"/>
  <c r="W157" i="2"/>
  <c r="W172" i="2"/>
  <c r="W185" i="2"/>
  <c r="W202" i="2"/>
  <c r="W215" i="2"/>
  <c r="W229" i="2"/>
  <c r="W244" i="2"/>
  <c r="W257" i="2"/>
  <c r="W277" i="2"/>
  <c r="W293" i="2"/>
  <c r="W313" i="2"/>
  <c r="W329" i="2"/>
  <c r="W349" i="2"/>
  <c r="U20" i="2"/>
  <c r="U41" i="2"/>
  <c r="U63" i="2"/>
  <c r="U84" i="2"/>
  <c r="U106" i="2"/>
  <c r="U128" i="2"/>
  <c r="U149" i="2"/>
  <c r="U171" i="2"/>
  <c r="U192" i="2"/>
  <c r="U214" i="2"/>
  <c r="U236" i="2"/>
  <c r="U257" i="2"/>
  <c r="U279" i="2"/>
  <c r="U300" i="2"/>
  <c r="U322" i="2"/>
  <c r="U344" i="2"/>
  <c r="U365" i="2"/>
  <c r="V3" i="2"/>
  <c r="V12" i="2"/>
  <c r="V21" i="2"/>
  <c r="V30" i="2"/>
  <c r="V39" i="2"/>
  <c r="V48" i="2"/>
  <c r="V57" i="2"/>
  <c r="V66" i="2"/>
  <c r="V75" i="2"/>
  <c r="V84" i="2"/>
  <c r="V93" i="2"/>
  <c r="V102" i="2"/>
  <c r="V111" i="2"/>
  <c r="V120" i="2"/>
  <c r="V129" i="2"/>
  <c r="V138" i="2"/>
  <c r="V147" i="2"/>
  <c r="V156" i="2"/>
  <c r="V165" i="2"/>
  <c r="V174" i="2"/>
  <c r="V183" i="2"/>
  <c r="V192" i="2"/>
  <c r="V201" i="2"/>
  <c r="V210" i="2"/>
  <c r="V219" i="2"/>
  <c r="V228" i="2"/>
  <c r="V237" i="2"/>
  <c r="V246" i="2"/>
  <c r="V255" i="2"/>
  <c r="V264" i="2"/>
  <c r="V273" i="2"/>
  <c r="V282" i="2"/>
  <c r="V291" i="2"/>
  <c r="V300" i="2"/>
  <c r="V309" i="2"/>
  <c r="V318" i="2"/>
  <c r="V327" i="2"/>
  <c r="V336" i="2"/>
  <c r="V345" i="2"/>
  <c r="V355" i="2"/>
  <c r="V366" i="2"/>
  <c r="W369" i="2"/>
  <c r="W367" i="2"/>
  <c r="W355" i="2"/>
  <c r="W343" i="2"/>
  <c r="W331" i="2"/>
  <c r="W319" i="2"/>
  <c r="W307" i="2"/>
  <c r="W295" i="2"/>
  <c r="W283" i="2"/>
  <c r="W271" i="2"/>
  <c r="W259" i="2"/>
  <c r="W247" i="2"/>
  <c r="W235" i="2"/>
  <c r="W223" i="2"/>
  <c r="W211" i="2"/>
  <c r="W199" i="2"/>
  <c r="W187" i="2"/>
  <c r="W175" i="2"/>
  <c r="W163" i="2"/>
  <c r="W151" i="2"/>
  <c r="W139" i="2"/>
  <c r="W127" i="2"/>
  <c r="W115" i="2"/>
  <c r="W103" i="2"/>
  <c r="W91" i="2"/>
  <c r="W79" i="2"/>
  <c r="W67" i="2"/>
  <c r="W55" i="2"/>
  <c r="W43" i="2"/>
  <c r="W31" i="2"/>
  <c r="W19" i="2"/>
  <c r="W7" i="2"/>
  <c r="W371" i="2"/>
  <c r="W359" i="2"/>
  <c r="W347" i="2"/>
  <c r="W335" i="2"/>
  <c r="W323" i="2"/>
  <c r="W311" i="2"/>
  <c r="W299" i="2"/>
  <c r="W287" i="2"/>
  <c r="W275" i="2"/>
  <c r="W263" i="2"/>
  <c r="W16" i="2"/>
  <c r="W29" i="2"/>
  <c r="W46" i="2"/>
  <c r="W59" i="2"/>
  <c r="W73" i="2"/>
  <c r="W88" i="2"/>
  <c r="W101" i="2"/>
  <c r="W118" i="2"/>
  <c r="W131" i="2"/>
  <c r="W145" i="2"/>
  <c r="W160" i="2"/>
  <c r="W173" i="2"/>
  <c r="W190" i="2"/>
  <c r="W203" i="2"/>
  <c r="W217" i="2"/>
  <c r="W232" i="2"/>
  <c r="W245" i="2"/>
  <c r="W262" i="2"/>
  <c r="W280" i="2"/>
  <c r="W298" i="2"/>
  <c r="W316" i="2"/>
  <c r="W334" i="2"/>
  <c r="W352" i="2"/>
  <c r="W370" i="2"/>
  <c r="X15" i="2"/>
  <c r="X39" i="2"/>
  <c r="X63" i="2"/>
  <c r="X93" i="2"/>
  <c r="X134" i="2"/>
  <c r="X190" i="2"/>
  <c r="X262" i="2"/>
  <c r="X334" i="2"/>
  <c r="Y10" i="2"/>
  <c r="Y46" i="2"/>
  <c r="Y82" i="2"/>
  <c r="Y118" i="2"/>
  <c r="Y154" i="2"/>
  <c r="Y190" i="2"/>
  <c r="Y226" i="2"/>
  <c r="Y262" i="2"/>
  <c r="Y298" i="2"/>
  <c r="Y334" i="2"/>
  <c r="Y370" i="2"/>
  <c r="AA3" i="2"/>
  <c r="AA21" i="2"/>
  <c r="AA39" i="2"/>
  <c r="AA57" i="2"/>
  <c r="AA75" i="2"/>
  <c r="AA93" i="2"/>
  <c r="AA111" i="2"/>
  <c r="AA129" i="2"/>
  <c r="AA147" i="2"/>
  <c r="AA165" i="2"/>
  <c r="AA183" i="2"/>
  <c r="AA201" i="2"/>
  <c r="AA222" i="2"/>
  <c r="AA246" i="2"/>
  <c r="AA267" i="2"/>
  <c r="AA288" i="2"/>
  <c r="AA309" i="2"/>
  <c r="AA330" i="2"/>
  <c r="AA354" i="2"/>
  <c r="B367" i="4"/>
  <c r="B354" i="4"/>
  <c r="B181" i="4"/>
  <c r="B14" i="4"/>
  <c r="B297" i="4"/>
  <c r="B124" i="4"/>
  <c r="B268" i="4"/>
  <c r="B95" i="4"/>
  <c r="B325" i="4"/>
  <c r="D339" i="4"/>
  <c r="D303" i="4"/>
  <c r="D267" i="4"/>
  <c r="D231" i="4"/>
  <c r="D195" i="4"/>
  <c r="D159" i="4"/>
  <c r="D131" i="4"/>
  <c r="D105" i="4"/>
  <c r="D77" i="4"/>
  <c r="D51" i="4"/>
  <c r="D23" i="4"/>
  <c r="D368" i="4"/>
  <c r="D332" i="4"/>
  <c r="D296" i="4"/>
  <c r="D260" i="4"/>
  <c r="D224" i="4"/>
  <c r="D188" i="4"/>
  <c r="D153" i="4"/>
  <c r="D125" i="4"/>
  <c r="D99" i="4"/>
  <c r="D71" i="4"/>
  <c r="D45" i="4"/>
  <c r="D17" i="4"/>
  <c r="D356" i="4"/>
  <c r="D320" i="4"/>
  <c r="D284" i="4"/>
  <c r="D248" i="4"/>
  <c r="D212" i="4"/>
  <c r="D176" i="4"/>
  <c r="D143" i="4"/>
  <c r="D117" i="4"/>
  <c r="D89" i="4"/>
  <c r="D63" i="4"/>
  <c r="D35" i="4"/>
  <c r="D9" i="4"/>
  <c r="D351" i="4"/>
  <c r="D315" i="4"/>
  <c r="D279" i="4"/>
  <c r="D243" i="4"/>
  <c r="D207" i="4"/>
  <c r="D171" i="4"/>
  <c r="D141" i="4"/>
  <c r="D113" i="4"/>
  <c r="D87" i="4"/>
  <c r="D59" i="4"/>
  <c r="D33" i="4"/>
  <c r="D5" i="4"/>
  <c r="D81" i="4"/>
  <c r="D164" i="4"/>
  <c r="D272" i="4"/>
  <c r="X102" i="2"/>
  <c r="X146" i="2"/>
  <c r="X208" i="2"/>
  <c r="X280" i="2"/>
  <c r="X352" i="2"/>
  <c r="Y16" i="2"/>
  <c r="Y52" i="2"/>
  <c r="Y88" i="2"/>
  <c r="Y124" i="2"/>
  <c r="Y160" i="2"/>
  <c r="Y196" i="2"/>
  <c r="Y232" i="2"/>
  <c r="Y268" i="2"/>
  <c r="Y304" i="2"/>
  <c r="Y340" i="2"/>
  <c r="AA6" i="2"/>
  <c r="AA24" i="2"/>
  <c r="AA42" i="2"/>
  <c r="AA60" i="2"/>
  <c r="AA78" i="2"/>
  <c r="AA96" i="2"/>
  <c r="AA114" i="2"/>
  <c r="AA132" i="2"/>
  <c r="AA150" i="2"/>
  <c r="AA168" i="2"/>
  <c r="AA186" i="2"/>
  <c r="AA204" i="2"/>
  <c r="AA228" i="2"/>
  <c r="AA249" i="2"/>
  <c r="AA270" i="2"/>
  <c r="AA291" i="2"/>
  <c r="AA312" i="2"/>
  <c r="AA336" i="2"/>
  <c r="AA357" i="2"/>
  <c r="A369" i="4"/>
  <c r="A352" i="4"/>
  <c r="A328" i="4"/>
  <c r="A304" i="4"/>
  <c r="A280" i="4"/>
  <c r="A256" i="4"/>
  <c r="A232" i="4"/>
  <c r="A208" i="4"/>
  <c r="A184" i="4"/>
  <c r="A160" i="4"/>
  <c r="A136" i="4"/>
  <c r="A112" i="4"/>
  <c r="A88" i="4"/>
  <c r="A64" i="4"/>
  <c r="A40" i="4"/>
  <c r="A16" i="4"/>
  <c r="A370" i="4"/>
  <c r="A346" i="4"/>
  <c r="A322" i="4"/>
  <c r="A298" i="4"/>
  <c r="A274" i="4"/>
  <c r="A250" i="4"/>
  <c r="A226" i="4"/>
  <c r="A202" i="4"/>
  <c r="A178" i="4"/>
  <c r="A154" i="4"/>
  <c r="A130" i="4"/>
  <c r="A106" i="4"/>
  <c r="A82" i="4"/>
  <c r="A58" i="4"/>
  <c r="A34" i="4"/>
  <c r="A10" i="4"/>
  <c r="A364" i="4"/>
  <c r="A340" i="4"/>
  <c r="A316" i="4"/>
  <c r="A292" i="4"/>
  <c r="A268" i="4"/>
  <c r="A244" i="4"/>
  <c r="A220" i="4"/>
  <c r="A196" i="4"/>
  <c r="A172" i="4"/>
  <c r="A148" i="4"/>
  <c r="A124" i="4"/>
  <c r="A100" i="4"/>
  <c r="A76" i="4"/>
  <c r="A52" i="4"/>
  <c r="A28" i="4"/>
  <c r="A4" i="4"/>
  <c r="A46" i="4"/>
  <c r="A94" i="4"/>
  <c r="A142" i="4"/>
  <c r="A190" i="4"/>
  <c r="A238" i="4"/>
  <c r="A286" i="4"/>
  <c r="A334" i="4"/>
  <c r="B38" i="4"/>
  <c r="D15" i="4"/>
  <c r="D95" i="4"/>
  <c r="D183" i="4"/>
  <c r="D291" i="4"/>
  <c r="X23" i="2"/>
  <c r="X47" i="2"/>
  <c r="X73" i="2"/>
  <c r="X105" i="2"/>
  <c r="X150" i="2"/>
  <c r="X214" i="2"/>
  <c r="X286" i="2"/>
  <c r="X358" i="2"/>
  <c r="Y22" i="2"/>
  <c r="Y58" i="2"/>
  <c r="Y94" i="2"/>
  <c r="Y130" i="2"/>
  <c r="Y166" i="2"/>
  <c r="Y202" i="2"/>
  <c r="Y238" i="2"/>
  <c r="Y274" i="2"/>
  <c r="Y310" i="2"/>
  <c r="Y346" i="2"/>
  <c r="Z66" i="2"/>
  <c r="AA9" i="2"/>
  <c r="AA27" i="2"/>
  <c r="AA45" i="2"/>
  <c r="AA63" i="2"/>
  <c r="AA81" i="2"/>
  <c r="AA99" i="2"/>
  <c r="AA117" i="2"/>
  <c r="AA135" i="2"/>
  <c r="AA153" i="2"/>
  <c r="AA171" i="2"/>
  <c r="AA189" i="2"/>
  <c r="AA210" i="2"/>
  <c r="AA231" i="2"/>
  <c r="AA252" i="2"/>
  <c r="AA273" i="2"/>
  <c r="AA294" i="2"/>
  <c r="AA318" i="2"/>
  <c r="AA339" i="2"/>
  <c r="AA360" i="2"/>
  <c r="A3" i="4"/>
  <c r="A51" i="4"/>
  <c r="A99" i="4"/>
  <c r="A147" i="4"/>
  <c r="A195" i="4"/>
  <c r="A243" i="4"/>
  <c r="A291" i="4"/>
  <c r="A339" i="4"/>
  <c r="B66" i="4"/>
  <c r="D27" i="4"/>
  <c r="D107" i="4"/>
  <c r="D200" i="4"/>
  <c r="D308" i="4"/>
  <c r="X78" i="2"/>
  <c r="X111" i="2"/>
  <c r="X158" i="2"/>
  <c r="X226" i="2"/>
  <c r="X298" i="2"/>
  <c r="X370" i="2"/>
  <c r="Y28" i="2"/>
  <c r="Y64" i="2"/>
  <c r="Y100" i="2"/>
  <c r="Y136" i="2"/>
  <c r="Y172" i="2"/>
  <c r="Y208" i="2"/>
  <c r="Y244" i="2"/>
  <c r="Y280" i="2"/>
  <c r="Y316" i="2"/>
  <c r="Y352" i="2"/>
  <c r="Z165" i="2"/>
  <c r="AA12" i="2"/>
  <c r="AA30" i="2"/>
  <c r="AA48" i="2"/>
  <c r="AA66" i="2"/>
  <c r="AA84" i="2"/>
  <c r="AA102" i="2"/>
  <c r="AA120" i="2"/>
  <c r="AA138" i="2"/>
  <c r="AA156" i="2"/>
  <c r="AA174" i="2"/>
  <c r="AA192" i="2"/>
  <c r="AA213" i="2"/>
  <c r="AA234" i="2"/>
  <c r="AA255" i="2"/>
  <c r="AA276" i="2"/>
  <c r="AA300" i="2"/>
  <c r="AA321" i="2"/>
  <c r="AA342" i="2"/>
  <c r="AA363" i="2"/>
  <c r="A15" i="4"/>
  <c r="A63" i="4"/>
  <c r="A111" i="4"/>
  <c r="A159" i="4"/>
  <c r="A207" i="4"/>
  <c r="A255" i="4"/>
  <c r="A303" i="4"/>
  <c r="A351" i="4"/>
  <c r="B153" i="4"/>
  <c r="D41" i="4"/>
  <c r="D123" i="4"/>
  <c r="D219" i="4"/>
  <c r="D327" i="4"/>
  <c r="X9" i="2"/>
  <c r="X33" i="2"/>
  <c r="X57" i="2"/>
  <c r="X85" i="2"/>
  <c r="X122" i="2"/>
  <c r="X172" i="2"/>
  <c r="X244" i="2"/>
  <c r="X316" i="2"/>
  <c r="Y34" i="2"/>
  <c r="Y70" i="2"/>
  <c r="Y106" i="2"/>
  <c r="Y142" i="2"/>
  <c r="Y178" i="2"/>
  <c r="Y214" i="2"/>
  <c r="Y250" i="2"/>
  <c r="Y286" i="2"/>
  <c r="Y322" i="2"/>
  <c r="Y358" i="2"/>
  <c r="AA15" i="2"/>
  <c r="AA33" i="2"/>
  <c r="AA51" i="2"/>
  <c r="AA69" i="2"/>
  <c r="AA87" i="2"/>
  <c r="AA105" i="2"/>
  <c r="AA123" i="2"/>
  <c r="AA141" i="2"/>
  <c r="AA159" i="2"/>
  <c r="AA177" i="2"/>
  <c r="AA195" i="2"/>
  <c r="AA216" i="2"/>
  <c r="AA237" i="2"/>
  <c r="AA258" i="2"/>
  <c r="AA282" i="2"/>
  <c r="AA303" i="2"/>
  <c r="AA324" i="2"/>
  <c r="AA345" i="2"/>
  <c r="A22" i="4"/>
  <c r="A70" i="4"/>
  <c r="A118" i="4"/>
  <c r="A166" i="4"/>
  <c r="A214" i="4"/>
  <c r="A262" i="4"/>
  <c r="A310" i="4"/>
  <c r="A358" i="4"/>
  <c r="B210" i="4"/>
  <c r="D53" i="4"/>
  <c r="D135" i="4"/>
  <c r="D236" i="4"/>
  <c r="D344" i="4"/>
  <c r="X87" i="2"/>
  <c r="X126" i="2"/>
  <c r="X178" i="2"/>
  <c r="X250" i="2"/>
  <c r="Y4" i="2"/>
  <c r="Y40" i="2"/>
  <c r="Y76" i="2"/>
  <c r="Y112" i="2"/>
  <c r="Y148" i="2"/>
  <c r="Y184" i="2"/>
  <c r="Y220" i="2"/>
  <c r="Y256" i="2"/>
  <c r="Y292" i="2"/>
  <c r="Y328" i="2"/>
  <c r="Y364" i="2"/>
  <c r="AA368" i="2"/>
  <c r="AA369" i="2"/>
  <c r="AA351" i="2"/>
  <c r="AA333" i="2"/>
  <c r="AA315" i="2"/>
  <c r="AA297" i="2"/>
  <c r="AA279" i="2"/>
  <c r="AA261" i="2"/>
  <c r="AA243" i="2"/>
  <c r="AA225" i="2"/>
  <c r="AA207" i="2"/>
  <c r="AA18" i="2"/>
  <c r="AA36" i="2"/>
  <c r="AA54" i="2"/>
  <c r="AA72" i="2"/>
  <c r="AA90" i="2"/>
  <c r="AA108" i="2"/>
  <c r="AA126" i="2"/>
  <c r="AA144" i="2"/>
  <c r="AA162" i="2"/>
  <c r="AA180" i="2"/>
  <c r="AA198" i="2"/>
  <c r="AA219" i="2"/>
  <c r="AA240" i="2"/>
  <c r="AA264" i="2"/>
  <c r="AA285" i="2"/>
  <c r="AA306" i="2"/>
  <c r="AA327" i="2"/>
  <c r="AA348" i="2"/>
  <c r="AA372" i="2"/>
  <c r="A27" i="4"/>
  <c r="A75" i="4"/>
  <c r="A123" i="4"/>
  <c r="A171" i="4"/>
  <c r="A219" i="4"/>
  <c r="A267" i="4"/>
  <c r="A315" i="4"/>
  <c r="A363" i="4"/>
  <c r="B239" i="4"/>
  <c r="D69" i="4"/>
  <c r="D149" i="4"/>
  <c r="D255" i="4"/>
  <c r="D363" i="4"/>
  <c r="C9" i="4"/>
  <c r="C55" i="4"/>
  <c r="C127" i="4"/>
  <c r="C199" i="4"/>
  <c r="C271" i="4"/>
  <c r="E6" i="4"/>
  <c r="E24" i="4"/>
  <c r="E42" i="4"/>
  <c r="E60" i="4"/>
  <c r="E78" i="4"/>
  <c r="E99" i="4"/>
  <c r="E121" i="4"/>
  <c r="E143" i="4"/>
  <c r="E164" i="4"/>
  <c r="E186" i="4"/>
  <c r="E207" i="4"/>
  <c r="E229" i="4"/>
  <c r="E255" i="4"/>
  <c r="E280" i="4"/>
  <c r="E306" i="4"/>
  <c r="E334" i="4"/>
  <c r="E366" i="4"/>
  <c r="F9" i="4"/>
  <c r="F25" i="4"/>
  <c r="F37" i="4"/>
  <c r="F51" i="4"/>
  <c r="F63" i="4"/>
  <c r="F79" i="4"/>
  <c r="F91" i="4"/>
  <c r="F105" i="4"/>
  <c r="F117" i="4"/>
  <c r="F133" i="4"/>
  <c r="F145" i="4"/>
  <c r="F159" i="4"/>
  <c r="F171" i="4"/>
  <c r="F187" i="4"/>
  <c r="F202" i="4"/>
  <c r="F220" i="4"/>
  <c r="F238" i="4"/>
  <c r="F256" i="4"/>
  <c r="F274" i="4"/>
  <c r="F292" i="4"/>
  <c r="F310" i="4"/>
  <c r="F328" i="4"/>
  <c r="F346" i="4"/>
  <c r="C22" i="4"/>
  <c r="C77" i="4"/>
  <c r="C149" i="4"/>
  <c r="C221" i="4"/>
  <c r="C293" i="4"/>
  <c r="E7" i="4"/>
  <c r="E25" i="4"/>
  <c r="E43" i="4"/>
  <c r="E61" i="4"/>
  <c r="E79" i="4"/>
  <c r="E101" i="4"/>
  <c r="E122" i="4"/>
  <c r="E144" i="4"/>
  <c r="E165" i="4"/>
  <c r="E187" i="4"/>
  <c r="E209" i="4"/>
  <c r="E230" i="4"/>
  <c r="E256" i="4"/>
  <c r="E281" i="4"/>
  <c r="E307" i="4"/>
  <c r="E336" i="4"/>
  <c r="F2" i="4"/>
  <c r="F14" i="4"/>
  <c r="F26" i="4"/>
  <c r="F40" i="4"/>
  <c r="F52" i="4"/>
  <c r="F68" i="4"/>
  <c r="F80" i="4"/>
  <c r="F94" i="4"/>
  <c r="F106" i="4"/>
  <c r="F122" i="4"/>
  <c r="F134" i="4"/>
  <c r="F148" i="4"/>
  <c r="F160" i="4"/>
  <c r="F176" i="4"/>
  <c r="F188" i="4"/>
  <c r="F205" i="4"/>
  <c r="F223" i="4"/>
  <c r="F241" i="4"/>
  <c r="F259" i="4"/>
  <c r="F277" i="4"/>
  <c r="F295" i="4"/>
  <c r="F313" i="4"/>
  <c r="F331" i="4"/>
  <c r="F351" i="4"/>
  <c r="F15" i="4"/>
  <c r="F27" i="4"/>
  <c r="F43" i="4"/>
  <c r="F55" i="4"/>
  <c r="F69" i="4"/>
  <c r="F81" i="4"/>
  <c r="F97" i="4"/>
  <c r="F109" i="4"/>
  <c r="F123" i="4"/>
  <c r="F135" i="4"/>
  <c r="F151" i="4"/>
  <c r="F163" i="4"/>
  <c r="F177" i="4"/>
  <c r="F189" i="4"/>
  <c r="F207" i="4"/>
  <c r="F225" i="4"/>
  <c r="F243" i="4"/>
  <c r="F261" i="4"/>
  <c r="F279" i="4"/>
  <c r="F297" i="4"/>
  <c r="F315" i="4"/>
  <c r="F333" i="4"/>
  <c r="F356" i="4"/>
  <c r="C37" i="4"/>
  <c r="C101" i="4"/>
  <c r="C173" i="4"/>
  <c r="C245" i="4"/>
  <c r="C325" i="4"/>
  <c r="E13" i="4"/>
  <c r="E31" i="4"/>
  <c r="E49" i="4"/>
  <c r="E67" i="4"/>
  <c r="E86" i="4"/>
  <c r="E108" i="4"/>
  <c r="E129" i="4"/>
  <c r="E151" i="4"/>
  <c r="E173" i="4"/>
  <c r="E194" i="4"/>
  <c r="E216" i="4"/>
  <c r="E238" i="4"/>
  <c r="E264" i="4"/>
  <c r="E291" i="4"/>
  <c r="E316" i="4"/>
  <c r="E347" i="4"/>
  <c r="F4" i="4"/>
  <c r="F16" i="4"/>
  <c r="F32" i="4"/>
  <c r="F44" i="4"/>
  <c r="F58" i="4"/>
  <c r="F70" i="4"/>
  <c r="F86" i="4"/>
  <c r="F98" i="4"/>
  <c r="F112" i="4"/>
  <c r="F124" i="4"/>
  <c r="F140" i="4"/>
  <c r="F152" i="4"/>
  <c r="F166" i="4"/>
  <c r="F178" i="4"/>
  <c r="F194" i="4"/>
  <c r="F212" i="4"/>
  <c r="F230" i="4"/>
  <c r="F248" i="4"/>
  <c r="F266" i="4"/>
  <c r="F284" i="4"/>
  <c r="F302" i="4"/>
  <c r="F320" i="4"/>
  <c r="F338" i="4"/>
  <c r="F361" i="4"/>
  <c r="C38" i="4"/>
  <c r="C103" i="4"/>
  <c r="C175" i="4"/>
  <c r="C247" i="4"/>
  <c r="C329" i="4"/>
  <c r="E2" i="4"/>
  <c r="E18" i="4"/>
  <c r="E36" i="4"/>
  <c r="E54" i="4"/>
  <c r="E72" i="4"/>
  <c r="E92" i="4"/>
  <c r="E114" i="4"/>
  <c r="E135" i="4"/>
  <c r="E157" i="4"/>
  <c r="E179" i="4"/>
  <c r="E200" i="4"/>
  <c r="E222" i="4"/>
  <c r="E245" i="4"/>
  <c r="E271" i="4"/>
  <c r="E298" i="4"/>
  <c r="E323" i="4"/>
  <c r="E357" i="4"/>
  <c r="F7" i="4"/>
  <c r="F19" i="4"/>
  <c r="F33" i="4"/>
  <c r="F45" i="4"/>
  <c r="F61" i="4"/>
  <c r="F73" i="4"/>
  <c r="F87" i="4"/>
  <c r="F99" i="4"/>
  <c r="F115" i="4"/>
  <c r="F127" i="4"/>
  <c r="F141" i="4"/>
  <c r="F153" i="4"/>
  <c r="F169" i="4"/>
  <c r="F181" i="4"/>
  <c r="F195" i="4"/>
  <c r="F213" i="4"/>
  <c r="F231" i="4"/>
  <c r="F249" i="4"/>
  <c r="F267" i="4"/>
  <c r="F285" i="4"/>
  <c r="F303" i="4"/>
  <c r="F321" i="4"/>
  <c r="F339" i="4"/>
  <c r="F364" i="4"/>
  <c r="E19" i="4"/>
  <c r="E37" i="4"/>
  <c r="E55" i="4"/>
  <c r="E73" i="4"/>
  <c r="E93" i="4"/>
  <c r="E115" i="4"/>
  <c r="E137" i="4"/>
  <c r="E158" i="4"/>
  <c r="E180" i="4"/>
  <c r="E201" i="4"/>
  <c r="E223" i="4"/>
  <c r="E247" i="4"/>
  <c r="E273" i="4"/>
  <c r="E299" i="4"/>
  <c r="E324" i="4"/>
  <c r="F8" i="4"/>
  <c r="F22" i="4"/>
  <c r="F34" i="4"/>
  <c r="F50" i="4"/>
  <c r="F62" i="4"/>
  <c r="F76" i="4"/>
  <c r="F88" i="4"/>
  <c r="F104" i="4"/>
  <c r="F116" i="4"/>
  <c r="F130" i="4"/>
  <c r="F142" i="4"/>
  <c r="F158" i="4"/>
  <c r="F170" i="4"/>
  <c r="F184" i="4"/>
  <c r="F199" i="4"/>
  <c r="F217" i="4"/>
  <c r="F235" i="4"/>
  <c r="F253" i="4"/>
  <c r="F271" i="4"/>
  <c r="F289" i="4"/>
  <c r="F307" i="4"/>
  <c r="F325" i="4"/>
  <c r="F343" i="4"/>
  <c r="F369" i="4"/>
  <c r="B369" i="2"/>
  <c r="B363" i="2"/>
  <c r="B357" i="2"/>
  <c r="B351" i="2"/>
  <c r="B345" i="2"/>
  <c r="B339" i="2"/>
  <c r="B333" i="2"/>
  <c r="B327" i="2"/>
  <c r="B321" i="2"/>
  <c r="B315" i="2"/>
  <c r="B309" i="2"/>
  <c r="B303" i="2"/>
  <c r="B297" i="2"/>
  <c r="B291" i="2"/>
  <c r="B285" i="2"/>
  <c r="B279" i="2"/>
  <c r="B273" i="2"/>
  <c r="B267" i="2"/>
  <c r="B261" i="2"/>
  <c r="B255" i="2"/>
  <c r="B249" i="2"/>
  <c r="B243" i="2"/>
  <c r="B237" i="2"/>
  <c r="B231" i="2"/>
  <c r="B225" i="2"/>
  <c r="B219" i="2"/>
  <c r="B213" i="2"/>
  <c r="B207" i="2"/>
  <c r="B201" i="2"/>
  <c r="B195" i="2"/>
  <c r="B189" i="2"/>
  <c r="B183" i="2"/>
  <c r="B177" i="2"/>
  <c r="B171" i="2"/>
  <c r="B165" i="2"/>
  <c r="B159" i="2"/>
  <c r="B153" i="2"/>
  <c r="B147" i="2"/>
  <c r="B141" i="2"/>
  <c r="B135" i="2"/>
  <c r="B129" i="2"/>
  <c r="B123" i="2"/>
  <c r="B117" i="2"/>
  <c r="B111" i="2"/>
  <c r="B105" i="2"/>
  <c r="B99" i="2"/>
  <c r="B93" i="2"/>
  <c r="B87" i="2"/>
  <c r="B81" i="2"/>
  <c r="B75" i="2"/>
  <c r="B69" i="2"/>
  <c r="B63" i="2"/>
  <c r="B57" i="2"/>
  <c r="B51" i="2"/>
  <c r="B45" i="2"/>
  <c r="B39" i="2"/>
  <c r="B33" i="2"/>
  <c r="B27" i="2"/>
  <c r="B21" i="2"/>
  <c r="B15" i="2"/>
  <c r="B9" i="2"/>
  <c r="B3" i="2"/>
  <c r="B10" i="2"/>
  <c r="B17" i="2"/>
  <c r="B24" i="2"/>
  <c r="B31" i="2"/>
  <c r="B38" i="2"/>
  <c r="B46" i="2"/>
  <c r="B53" i="2"/>
  <c r="B60" i="2"/>
  <c r="B67" i="2"/>
  <c r="B74" i="2"/>
  <c r="B82" i="2"/>
  <c r="B89" i="2"/>
  <c r="B96" i="2"/>
  <c r="B103" i="2"/>
  <c r="B110" i="2"/>
  <c r="B118" i="2"/>
  <c r="B125" i="2"/>
  <c r="B132" i="2"/>
  <c r="B139" i="2"/>
  <c r="B146" i="2"/>
  <c r="B154" i="2"/>
  <c r="B161" i="2"/>
  <c r="B168" i="2"/>
  <c r="B175" i="2"/>
  <c r="B182" i="2"/>
  <c r="B190" i="2"/>
  <c r="B197" i="2"/>
  <c r="B204" i="2"/>
  <c r="B211" i="2"/>
  <c r="B218" i="2"/>
  <c r="B226" i="2"/>
  <c r="B233" i="2"/>
  <c r="B240" i="2"/>
  <c r="B247" i="2"/>
  <c r="B254" i="2"/>
  <c r="B262" i="2"/>
  <c r="B269" i="2"/>
  <c r="B276" i="2"/>
  <c r="B283" i="2"/>
  <c r="B290" i="2"/>
  <c r="B298" i="2"/>
  <c r="B305" i="2"/>
  <c r="B312" i="2"/>
  <c r="B319" i="2"/>
  <c r="B326" i="2"/>
  <c r="B334" i="2"/>
  <c r="B341" i="2"/>
  <c r="B348" i="2"/>
  <c r="B355" i="2"/>
  <c r="B362" i="2"/>
  <c r="B370" i="2"/>
  <c r="A9" i="2"/>
  <c r="A24" i="2"/>
  <c r="A38" i="2"/>
  <c r="A52" i="2"/>
  <c r="A67" i="2"/>
  <c r="A81" i="2"/>
  <c r="A96" i="2"/>
  <c r="A110" i="2"/>
  <c r="A124" i="2"/>
  <c r="A139" i="2"/>
  <c r="A153" i="2"/>
  <c r="A168" i="2"/>
  <c r="A182" i="2"/>
  <c r="A196" i="2"/>
  <c r="A211" i="2"/>
  <c r="A225" i="2"/>
  <c r="A240" i="2"/>
  <c r="A254" i="2"/>
  <c r="A268" i="2"/>
  <c r="A283" i="2"/>
  <c r="A297" i="2"/>
  <c r="A312" i="2"/>
  <c r="A326" i="2"/>
  <c r="A340" i="2"/>
  <c r="A362" i="2"/>
  <c r="A3" i="2"/>
  <c r="A10" i="2"/>
  <c r="A18" i="2"/>
  <c r="A25" i="2"/>
  <c r="A32" i="2"/>
  <c r="A39" i="2"/>
  <c r="A46" i="2"/>
  <c r="A54" i="2"/>
  <c r="A61" i="2"/>
  <c r="A68" i="2"/>
  <c r="A75" i="2"/>
  <c r="A82" i="2"/>
  <c r="A90" i="2"/>
  <c r="A97" i="2"/>
  <c r="A104" i="2"/>
  <c r="A111" i="2"/>
  <c r="A118" i="2"/>
  <c r="A126" i="2"/>
  <c r="A133" i="2"/>
  <c r="A140" i="2"/>
  <c r="A147" i="2"/>
  <c r="A154" i="2"/>
  <c r="A162" i="2"/>
  <c r="A169" i="2"/>
  <c r="A176" i="2"/>
  <c r="A183" i="2"/>
  <c r="A190" i="2"/>
  <c r="A198" i="2"/>
  <c r="A205" i="2"/>
  <c r="A212" i="2"/>
  <c r="A219" i="2"/>
  <c r="A226" i="2"/>
  <c r="A234" i="2"/>
  <c r="A241" i="2"/>
  <c r="A248" i="2"/>
  <c r="A255" i="2"/>
  <c r="A262" i="2"/>
  <c r="A270" i="2"/>
  <c r="A277" i="2"/>
  <c r="A284" i="2"/>
  <c r="A291" i="2"/>
  <c r="A298" i="2"/>
  <c r="A306" i="2"/>
  <c r="A313" i="2"/>
  <c r="A320" i="2"/>
  <c r="A327" i="2"/>
  <c r="A334" i="2"/>
  <c r="A342" i="2"/>
  <c r="A349" i="2"/>
  <c r="A356" i="2"/>
  <c r="A363" i="2"/>
  <c r="B4" i="2"/>
  <c r="B11" i="2"/>
  <c r="B18" i="2"/>
  <c r="B25" i="2"/>
  <c r="B32" i="2"/>
  <c r="B40" i="2"/>
  <c r="B47" i="2"/>
  <c r="B54" i="2"/>
  <c r="B61" i="2"/>
  <c r="B68" i="2"/>
  <c r="B76" i="2"/>
  <c r="B83" i="2"/>
  <c r="B90" i="2"/>
  <c r="B97" i="2"/>
  <c r="B104" i="2"/>
  <c r="B112" i="2"/>
  <c r="B119" i="2"/>
  <c r="B126" i="2"/>
  <c r="B133" i="2"/>
  <c r="B140" i="2"/>
  <c r="B148" i="2"/>
  <c r="B155" i="2"/>
  <c r="B162" i="2"/>
  <c r="B169" i="2"/>
  <c r="B176" i="2"/>
  <c r="B184" i="2"/>
  <c r="B191" i="2"/>
  <c r="B198" i="2"/>
  <c r="B205" i="2"/>
  <c r="B212" i="2"/>
  <c r="B220" i="2"/>
  <c r="B227" i="2"/>
  <c r="B234" i="2"/>
  <c r="B241" i="2"/>
  <c r="B248" i="2"/>
  <c r="B256" i="2"/>
  <c r="B263" i="2"/>
  <c r="B270" i="2"/>
  <c r="B277" i="2"/>
  <c r="B284" i="2"/>
  <c r="B292" i="2"/>
  <c r="B299" i="2"/>
  <c r="B306" i="2"/>
  <c r="B313" i="2"/>
  <c r="B320" i="2"/>
  <c r="B328" i="2"/>
  <c r="B335" i="2"/>
  <c r="B342" i="2"/>
  <c r="B349" i="2"/>
  <c r="B356" i="2"/>
  <c r="B364" i="2"/>
  <c r="B371" i="2"/>
  <c r="A371" i="2"/>
  <c r="A365" i="2"/>
  <c r="A359" i="2"/>
  <c r="A353" i="2"/>
  <c r="A347" i="2"/>
  <c r="A341" i="2"/>
  <c r="A335" i="2"/>
  <c r="A329" i="2"/>
  <c r="A323" i="2"/>
  <c r="A317" i="2"/>
  <c r="A311" i="2"/>
  <c r="A305" i="2"/>
  <c r="A299" i="2"/>
  <c r="A293" i="2"/>
  <c r="A287" i="2"/>
  <c r="A281" i="2"/>
  <c r="A275" i="2"/>
  <c r="A269" i="2"/>
  <c r="A263" i="2"/>
  <c r="A257" i="2"/>
  <c r="A251" i="2"/>
  <c r="A245" i="2"/>
  <c r="A239" i="2"/>
  <c r="A233" i="2"/>
  <c r="A227" i="2"/>
  <c r="A221" i="2"/>
  <c r="A215" i="2"/>
  <c r="A209" i="2"/>
  <c r="A203" i="2"/>
  <c r="A197" i="2"/>
  <c r="A191" i="2"/>
  <c r="A185" i="2"/>
  <c r="A179" i="2"/>
  <c r="A173" i="2"/>
  <c r="A167" i="2"/>
  <c r="A161" i="2"/>
  <c r="A155" i="2"/>
  <c r="A149" i="2"/>
  <c r="A143" i="2"/>
  <c r="A137" i="2"/>
  <c r="A131" i="2"/>
  <c r="A125" i="2"/>
  <c r="A119" i="2"/>
  <c r="A113" i="2"/>
  <c r="A107" i="2"/>
  <c r="A101" i="2"/>
  <c r="A95" i="2"/>
  <c r="A89" i="2"/>
  <c r="A83" i="2"/>
  <c r="A77" i="2"/>
  <c r="A71" i="2"/>
  <c r="A65" i="2"/>
  <c r="A59" i="2"/>
  <c r="A53" i="2"/>
  <c r="A47" i="2"/>
  <c r="A41" i="2"/>
  <c r="A35" i="2"/>
  <c r="A29" i="2"/>
  <c r="A23" i="2"/>
  <c r="A17" i="2"/>
  <c r="A11" i="2"/>
  <c r="A5" i="2"/>
  <c r="A16" i="2"/>
  <c r="A31" i="2"/>
  <c r="A45" i="2"/>
  <c r="A60" i="2"/>
  <c r="A74" i="2"/>
  <c r="A88" i="2"/>
  <c r="A103" i="2"/>
  <c r="A117" i="2"/>
  <c r="A132" i="2"/>
  <c r="A146" i="2"/>
  <c r="A160" i="2"/>
  <c r="A175" i="2"/>
  <c r="A189" i="2"/>
  <c r="A204" i="2"/>
  <c r="A218" i="2"/>
  <c r="A232" i="2"/>
  <c r="A247" i="2"/>
  <c r="A261" i="2"/>
  <c r="A276" i="2"/>
  <c r="A290" i="2"/>
  <c r="A304" i="2"/>
  <c r="A319" i="2"/>
  <c r="A333" i="2"/>
  <c r="A348" i="2"/>
  <c r="A355" i="2"/>
  <c r="A369" i="2"/>
  <c r="A4" i="2"/>
  <c r="A12" i="2"/>
  <c r="A19" i="2"/>
  <c r="A26" i="2"/>
  <c r="A33" i="2"/>
  <c r="A40" i="2"/>
  <c r="A48" i="2"/>
  <c r="A55" i="2"/>
  <c r="A62" i="2"/>
  <c r="A69" i="2"/>
  <c r="A76" i="2"/>
  <c r="A84" i="2"/>
  <c r="A91" i="2"/>
  <c r="A98" i="2"/>
  <c r="A105" i="2"/>
  <c r="A112" i="2"/>
  <c r="A120" i="2"/>
  <c r="A127" i="2"/>
  <c r="A134" i="2"/>
  <c r="A141" i="2"/>
  <c r="A148" i="2"/>
  <c r="A156" i="2"/>
  <c r="A163" i="2"/>
  <c r="A170" i="2"/>
  <c r="A177" i="2"/>
  <c r="A184" i="2"/>
  <c r="A192" i="2"/>
  <c r="A199" i="2"/>
  <c r="A206" i="2"/>
  <c r="A213" i="2"/>
  <c r="A220" i="2"/>
  <c r="A228" i="2"/>
  <c r="A235" i="2"/>
  <c r="A242" i="2"/>
  <c r="A249" i="2"/>
  <c r="A256" i="2"/>
  <c r="A264" i="2"/>
  <c r="A271" i="2"/>
  <c r="A278" i="2"/>
  <c r="A285" i="2"/>
  <c r="A292" i="2"/>
  <c r="A300" i="2"/>
  <c r="A307" i="2"/>
  <c r="A314" i="2"/>
  <c r="A321" i="2"/>
  <c r="A328" i="2"/>
  <c r="A336" i="2"/>
  <c r="A343" i="2"/>
  <c r="A350" i="2"/>
  <c r="A357" i="2"/>
  <c r="A364" i="2"/>
  <c r="A372" i="2"/>
  <c r="B5" i="2"/>
  <c r="B12" i="2"/>
  <c r="B19" i="2"/>
  <c r="B26" i="2"/>
  <c r="B34" i="2"/>
  <c r="B41" i="2"/>
  <c r="B48" i="2"/>
  <c r="B55" i="2"/>
  <c r="B62" i="2"/>
  <c r="B70" i="2"/>
  <c r="B77" i="2"/>
  <c r="B84" i="2"/>
  <c r="B91" i="2"/>
  <c r="B98" i="2"/>
  <c r="B106" i="2"/>
  <c r="B113" i="2"/>
  <c r="B120" i="2"/>
  <c r="B127" i="2"/>
  <c r="B134" i="2"/>
  <c r="B142" i="2"/>
  <c r="B149" i="2"/>
  <c r="B156" i="2"/>
  <c r="B163" i="2"/>
  <c r="B170" i="2"/>
  <c r="B178" i="2"/>
  <c r="B185" i="2"/>
  <c r="B192" i="2"/>
  <c r="B199" i="2"/>
  <c r="B206" i="2"/>
  <c r="B214" i="2"/>
  <c r="B221" i="2"/>
  <c r="B228" i="2"/>
  <c r="B235" i="2"/>
  <c r="B242" i="2"/>
  <c r="B250" i="2"/>
  <c r="B257" i="2"/>
  <c r="B264" i="2"/>
  <c r="B271" i="2"/>
  <c r="B278" i="2"/>
  <c r="B286" i="2"/>
  <c r="B293" i="2"/>
  <c r="B300" i="2"/>
  <c r="B307" i="2"/>
  <c r="B314" i="2"/>
  <c r="B322" i="2"/>
  <c r="B329" i="2"/>
  <c r="B336" i="2"/>
  <c r="B343" i="2"/>
  <c r="B350" i="2"/>
  <c r="B358" i="2"/>
  <c r="B365" i="2"/>
  <c r="B372" i="2"/>
  <c r="A6" i="2"/>
  <c r="A13" i="2"/>
  <c r="A20" i="2"/>
  <c r="A27" i="2"/>
  <c r="A42" i="2"/>
  <c r="A49" i="2"/>
  <c r="A56" i="2"/>
  <c r="A63" i="2"/>
  <c r="A70" i="2"/>
  <c r="A78" i="2"/>
  <c r="A85" i="2"/>
  <c r="A92" i="2"/>
  <c r="A99" i="2"/>
  <c r="A106" i="2"/>
  <c r="A114" i="2"/>
  <c r="A121" i="2"/>
  <c r="A128" i="2"/>
  <c r="A135" i="2"/>
  <c r="A142" i="2"/>
  <c r="A150" i="2"/>
  <c r="A157" i="2"/>
  <c r="A164" i="2"/>
  <c r="A171" i="2"/>
  <c r="A178" i="2"/>
  <c r="A186" i="2"/>
  <c r="A193" i="2"/>
  <c r="A200" i="2"/>
  <c r="A207" i="2"/>
  <c r="A214" i="2"/>
  <c r="A222" i="2"/>
  <c r="A229" i="2"/>
  <c r="A236" i="2"/>
  <c r="A243" i="2"/>
  <c r="A250" i="2"/>
  <c r="A258" i="2"/>
  <c r="A265" i="2"/>
  <c r="A272" i="2"/>
  <c r="A279" i="2"/>
  <c r="A286" i="2"/>
  <c r="A294" i="2"/>
  <c r="A301" i="2"/>
  <c r="A308" i="2"/>
  <c r="A315" i="2"/>
  <c r="A322" i="2"/>
  <c r="A330" i="2"/>
  <c r="A337" i="2"/>
  <c r="A344" i="2"/>
  <c r="A351" i="2"/>
  <c r="A358" i="2"/>
  <c r="A366" i="2"/>
  <c r="A373" i="2"/>
  <c r="B6" i="2"/>
  <c r="B13" i="2"/>
  <c r="B20" i="2"/>
  <c r="B28" i="2"/>
  <c r="B35" i="2"/>
  <c r="B42" i="2"/>
  <c r="B49" i="2"/>
  <c r="B56" i="2"/>
  <c r="B64" i="2"/>
  <c r="B71" i="2"/>
  <c r="B78" i="2"/>
  <c r="B85" i="2"/>
  <c r="B92" i="2"/>
  <c r="B100" i="2"/>
  <c r="B107" i="2"/>
  <c r="B114" i="2"/>
  <c r="B121" i="2"/>
  <c r="B128" i="2"/>
  <c r="B136" i="2"/>
  <c r="B143" i="2"/>
  <c r="B150" i="2"/>
  <c r="B157" i="2"/>
  <c r="B164" i="2"/>
  <c r="B172" i="2"/>
  <c r="B179" i="2"/>
  <c r="B186" i="2"/>
  <c r="B193" i="2"/>
  <c r="B200" i="2"/>
  <c r="B208" i="2"/>
  <c r="B215" i="2"/>
  <c r="B222" i="2"/>
  <c r="B229" i="2"/>
  <c r="B236" i="2"/>
  <c r="B244" i="2"/>
  <c r="B251" i="2"/>
  <c r="B258" i="2"/>
  <c r="B265" i="2"/>
  <c r="B272" i="2"/>
  <c r="B280" i="2"/>
  <c r="B287" i="2"/>
  <c r="B294" i="2"/>
  <c r="B301" i="2"/>
  <c r="B316" i="2"/>
  <c r="B323" i="2"/>
  <c r="B330" i="2"/>
  <c r="B337" i="2"/>
  <c r="B344" i="2"/>
  <c r="B352" i="2"/>
  <c r="B359" i="2"/>
  <c r="B366" i="2"/>
  <c r="B373" i="2"/>
  <c r="A34" i="2"/>
  <c r="B308" i="2"/>
  <c r="A7" i="2"/>
  <c r="A14" i="2"/>
  <c r="A21" i="2"/>
  <c r="A28" i="2"/>
  <c r="A36" i="2"/>
  <c r="A43" i="2"/>
  <c r="A50" i="2"/>
  <c r="A57" i="2"/>
  <c r="A64" i="2"/>
  <c r="A72" i="2"/>
  <c r="A79" i="2"/>
  <c r="A86" i="2"/>
  <c r="A93" i="2"/>
  <c r="A100" i="2"/>
  <c r="A108" i="2"/>
  <c r="A115" i="2"/>
  <c r="A122" i="2"/>
  <c r="A129" i="2"/>
  <c r="A136" i="2"/>
  <c r="A144" i="2"/>
  <c r="A151" i="2"/>
  <c r="A158" i="2"/>
  <c r="A165" i="2"/>
  <c r="A172" i="2"/>
  <c r="A180" i="2"/>
  <c r="A187" i="2"/>
  <c r="A194" i="2"/>
  <c r="A201" i="2"/>
  <c r="A208" i="2"/>
  <c r="A216" i="2"/>
  <c r="A223" i="2"/>
  <c r="A230" i="2"/>
  <c r="A237" i="2"/>
  <c r="A244" i="2"/>
  <c r="A252" i="2"/>
  <c r="A259" i="2"/>
  <c r="A266" i="2"/>
  <c r="A273" i="2"/>
  <c r="A280" i="2"/>
  <c r="A288" i="2"/>
  <c r="A295" i="2"/>
  <c r="A302" i="2"/>
  <c r="A309" i="2"/>
  <c r="A316" i="2"/>
  <c r="A324" i="2"/>
  <c r="A331" i="2"/>
  <c r="A338" i="2"/>
  <c r="A345" i="2"/>
  <c r="A352" i="2"/>
  <c r="A360" i="2"/>
  <c r="A367" i="2"/>
  <c r="A374" i="2"/>
  <c r="B7" i="2"/>
  <c r="B14" i="2"/>
  <c r="B22" i="2"/>
  <c r="B29" i="2"/>
  <c r="B36" i="2"/>
  <c r="B43" i="2"/>
  <c r="B50" i="2"/>
  <c r="B58" i="2"/>
  <c r="B65" i="2"/>
  <c r="B72" i="2"/>
  <c r="B79" i="2"/>
  <c r="B86" i="2"/>
  <c r="B94" i="2"/>
  <c r="B101" i="2"/>
  <c r="B108" i="2"/>
  <c r="B115" i="2"/>
  <c r="B122" i="2"/>
  <c r="B130" i="2"/>
  <c r="B137" i="2"/>
  <c r="B144" i="2"/>
  <c r="B151" i="2"/>
  <c r="B158" i="2"/>
  <c r="B166" i="2"/>
  <c r="B173" i="2"/>
  <c r="B180" i="2"/>
  <c r="B187" i="2"/>
  <c r="B194" i="2"/>
  <c r="B202" i="2"/>
  <c r="B209" i="2"/>
  <c r="B216" i="2"/>
  <c r="B223" i="2"/>
  <c r="B230" i="2"/>
  <c r="B238" i="2"/>
  <c r="B245" i="2"/>
  <c r="B252" i="2"/>
  <c r="B259" i="2"/>
  <c r="B266" i="2"/>
  <c r="B274" i="2"/>
  <c r="B281" i="2"/>
  <c r="B288" i="2"/>
  <c r="B295" i="2"/>
  <c r="B302" i="2"/>
  <c r="B310" i="2"/>
  <c r="B317" i="2"/>
  <c r="B324" i="2"/>
  <c r="B331" i="2"/>
  <c r="B338" i="2"/>
  <c r="B346" i="2"/>
  <c r="B353" i="2"/>
  <c r="B360" i="2"/>
  <c r="B367" i="2"/>
  <c r="B374" i="2"/>
  <c r="C190" i="2"/>
  <c r="C196" i="2"/>
  <c r="C202" i="2"/>
  <c r="C208" i="2"/>
  <c r="C214" i="2"/>
  <c r="C220" i="2"/>
  <c r="C226" i="2"/>
  <c r="C232" i="2"/>
  <c r="C238" i="2"/>
  <c r="C244" i="2"/>
  <c r="C250" i="2"/>
  <c r="C256" i="2"/>
  <c r="C262" i="2"/>
  <c r="C268" i="2"/>
  <c r="C274" i="2"/>
  <c r="C280" i="2"/>
  <c r="C286" i="2"/>
  <c r="C292" i="2"/>
  <c r="C298" i="2"/>
  <c r="C304" i="2"/>
  <c r="C310" i="2"/>
  <c r="C316" i="2"/>
  <c r="C322" i="2"/>
  <c r="C328" i="2"/>
  <c r="C334" i="2"/>
  <c r="C340" i="2"/>
  <c r="C346" i="2"/>
  <c r="C352" i="2"/>
  <c r="C358" i="2"/>
  <c r="C364" i="2"/>
  <c r="C370" i="2"/>
  <c r="D8" i="2"/>
  <c r="D14" i="2"/>
  <c r="D20" i="2"/>
  <c r="D26" i="2"/>
  <c r="D32" i="2"/>
  <c r="D38" i="2"/>
  <c r="D44" i="2"/>
  <c r="D50" i="2"/>
  <c r="D56" i="2"/>
  <c r="D62" i="2"/>
  <c r="D68" i="2"/>
  <c r="D74" i="2"/>
  <c r="D80" i="2"/>
  <c r="D86" i="2"/>
  <c r="D92" i="2"/>
  <c r="D98" i="2"/>
  <c r="D104" i="2"/>
  <c r="D110" i="2"/>
  <c r="D116" i="2"/>
  <c r="D122" i="2"/>
  <c r="D128" i="2"/>
  <c r="D134" i="2"/>
  <c r="D140" i="2"/>
  <c r="D146" i="2"/>
  <c r="D152" i="2"/>
  <c r="D158" i="2"/>
  <c r="D164" i="2"/>
  <c r="D170" i="2"/>
  <c r="D176" i="2"/>
  <c r="D182" i="2"/>
  <c r="D188" i="2"/>
  <c r="D194" i="2"/>
  <c r="D200" i="2"/>
  <c r="D206" i="2"/>
  <c r="D212" i="2"/>
  <c r="D218" i="2"/>
  <c r="D224" i="2"/>
  <c r="D230" i="2"/>
  <c r="D236" i="2"/>
  <c r="D242" i="2"/>
  <c r="D248" i="2"/>
  <c r="D254" i="2"/>
  <c r="D260" i="2"/>
  <c r="D266" i="2"/>
  <c r="D272" i="2"/>
  <c r="D278" i="2"/>
  <c r="D284" i="2"/>
  <c r="D290" i="2"/>
  <c r="D296" i="2"/>
  <c r="D302" i="2"/>
  <c r="D308" i="2"/>
  <c r="D314" i="2"/>
  <c r="D320" i="2"/>
  <c r="D326" i="2"/>
  <c r="D332" i="2"/>
  <c r="D338" i="2"/>
  <c r="D344" i="2"/>
  <c r="D350" i="2"/>
  <c r="D356" i="2"/>
  <c r="D362" i="2"/>
  <c r="D368" i="2"/>
  <c r="D374" i="2"/>
  <c r="E6" i="2"/>
  <c r="E12" i="2"/>
  <c r="E18" i="2"/>
  <c r="E24" i="2"/>
  <c r="E30" i="2"/>
  <c r="E36" i="2"/>
  <c r="E42" i="2"/>
  <c r="E48" i="2"/>
  <c r="E54" i="2"/>
  <c r="E60" i="2"/>
  <c r="E66" i="2"/>
  <c r="E72" i="2"/>
  <c r="E78" i="2"/>
  <c r="E84" i="2"/>
  <c r="E90" i="2"/>
  <c r="E96" i="2"/>
  <c r="E102" i="2"/>
  <c r="E108" i="2"/>
  <c r="E114" i="2"/>
  <c r="E120" i="2"/>
  <c r="E126" i="2"/>
  <c r="E132" i="2"/>
  <c r="E138" i="2"/>
  <c r="E144" i="2"/>
  <c r="E150" i="2"/>
  <c r="E156" i="2"/>
  <c r="E162" i="2"/>
  <c r="E168" i="2"/>
  <c r="E174" i="2"/>
  <c r="E180" i="2"/>
  <c r="E186" i="2"/>
  <c r="E192" i="2"/>
  <c r="E198" i="2"/>
  <c r="E204" i="2"/>
  <c r="E210" i="2"/>
  <c r="E216" i="2"/>
  <c r="E222" i="2"/>
  <c r="E228" i="2"/>
  <c r="E234" i="2"/>
  <c r="E240" i="2"/>
  <c r="E246" i="2"/>
  <c r="E252" i="2"/>
  <c r="E258" i="2"/>
  <c r="E264" i="2"/>
  <c r="E270" i="2"/>
  <c r="E276" i="2"/>
  <c r="E282" i="2"/>
  <c r="E288" i="2"/>
  <c r="E294" i="2"/>
  <c r="E300" i="2"/>
  <c r="E306" i="2"/>
  <c r="E312" i="2"/>
  <c r="E318" i="2"/>
  <c r="E324" i="2"/>
  <c r="E332" i="2"/>
  <c r="E339" i="2"/>
  <c r="E346" i="2"/>
  <c r="E353" i="2"/>
  <c r="E360" i="2"/>
  <c r="F2" i="2"/>
  <c r="F8" i="2"/>
  <c r="F15" i="2"/>
  <c r="F22" i="2"/>
  <c r="F30" i="2"/>
  <c r="F37" i="2"/>
  <c r="F44" i="2"/>
  <c r="F51" i="2"/>
  <c r="F58" i="2"/>
  <c r="F66" i="2"/>
  <c r="F73" i="2"/>
  <c r="F80" i="2"/>
  <c r="F87" i="2"/>
  <c r="F94" i="2"/>
  <c r="F102" i="2"/>
  <c r="F109" i="2"/>
  <c r="F116" i="2"/>
  <c r="F123" i="2"/>
  <c r="F130" i="2"/>
  <c r="F138" i="2"/>
  <c r="F145" i="2"/>
  <c r="F152" i="2"/>
  <c r="F159" i="2"/>
  <c r="F166" i="2"/>
  <c r="F174" i="2"/>
  <c r="F181" i="2"/>
  <c r="F188" i="2"/>
  <c r="F195" i="2"/>
  <c r="F202" i="2"/>
  <c r="F210" i="2"/>
  <c r="F217" i="2"/>
  <c r="F224" i="2"/>
  <c r="F231" i="2"/>
  <c r="F238" i="2"/>
  <c r="F246" i="2"/>
  <c r="F253" i="2"/>
  <c r="F260" i="2"/>
  <c r="F267" i="2"/>
  <c r="F274" i="2"/>
  <c r="F282" i="2"/>
  <c r="F289" i="2"/>
  <c r="F296" i="2"/>
  <c r="F303" i="2"/>
  <c r="F310" i="2"/>
  <c r="F318" i="2"/>
  <c r="F325" i="2"/>
  <c r="F332" i="2"/>
  <c r="F339" i="2"/>
  <c r="F346" i="2"/>
  <c r="F354" i="2"/>
  <c r="F361" i="2"/>
  <c r="G7" i="2"/>
  <c r="G14" i="2"/>
  <c r="G22" i="2"/>
  <c r="G29" i="2"/>
  <c r="G36" i="2"/>
  <c r="G43" i="2"/>
  <c r="G50" i="2"/>
  <c r="G58" i="2"/>
  <c r="G65" i="2"/>
  <c r="G72" i="2"/>
  <c r="G79" i="2"/>
  <c r="G86" i="2"/>
  <c r="G94" i="2"/>
  <c r="G101" i="2"/>
  <c r="G108" i="2"/>
  <c r="G115" i="2"/>
  <c r="G122" i="2"/>
  <c r="G130" i="2"/>
  <c r="G137" i="2"/>
  <c r="G144" i="2"/>
  <c r="G151" i="2"/>
  <c r="G158" i="2"/>
  <c r="G166" i="2"/>
  <c r="G173" i="2"/>
  <c r="G180" i="2"/>
  <c r="G187" i="2"/>
  <c r="G194" i="2"/>
  <c r="G202" i="2"/>
  <c r="G209" i="2"/>
  <c r="G216" i="2"/>
  <c r="G223" i="2"/>
  <c r="G230" i="2"/>
  <c r="G238" i="2"/>
  <c r="G245" i="2"/>
  <c r="G252" i="2"/>
  <c r="G259" i="2"/>
  <c r="G266" i="2"/>
  <c r="G274" i="2"/>
  <c r="G281" i="2"/>
  <c r="G288" i="2"/>
  <c r="G295" i="2"/>
  <c r="G302" i="2"/>
  <c r="G310" i="2"/>
  <c r="G317" i="2"/>
  <c r="G324" i="2"/>
  <c r="G331" i="2"/>
  <c r="G338" i="2"/>
  <c r="G346" i="2"/>
  <c r="G353" i="2"/>
  <c r="G360" i="2"/>
  <c r="G367" i="2"/>
  <c r="H6" i="2"/>
  <c r="H14" i="2"/>
  <c r="H21" i="2"/>
  <c r="H28" i="2"/>
  <c r="H35" i="2"/>
  <c r="H42" i="2"/>
  <c r="H50" i="2"/>
  <c r="H57" i="2"/>
  <c r="H64" i="2"/>
  <c r="H71" i="2"/>
  <c r="H78" i="2"/>
  <c r="H86" i="2"/>
  <c r="H93" i="2"/>
  <c r="H100" i="2"/>
  <c r="H107" i="2"/>
  <c r="H114" i="2"/>
  <c r="H122" i="2"/>
  <c r="H129" i="2"/>
  <c r="H136" i="2"/>
  <c r="H143" i="2"/>
  <c r="H150" i="2"/>
  <c r="H158" i="2"/>
  <c r="H165" i="2"/>
  <c r="H172" i="2"/>
  <c r="H179" i="2"/>
  <c r="H186" i="2"/>
  <c r="H194" i="2"/>
  <c r="H201" i="2"/>
  <c r="H208" i="2"/>
  <c r="H215" i="2"/>
  <c r="H222" i="2"/>
  <c r="H230" i="2"/>
  <c r="H237" i="2"/>
  <c r="H244" i="2"/>
  <c r="H251" i="2"/>
  <c r="H258" i="2"/>
  <c r="H266" i="2"/>
  <c r="H273" i="2"/>
  <c r="H280" i="2"/>
  <c r="H287" i="2"/>
  <c r="H294" i="2"/>
  <c r="H302" i="2"/>
  <c r="H309" i="2"/>
  <c r="H316" i="2"/>
  <c r="H323" i="2"/>
  <c r="H330" i="2"/>
  <c r="H338" i="2"/>
  <c r="H345" i="2"/>
  <c r="H352" i="2"/>
  <c r="H359" i="2"/>
  <c r="H366" i="2"/>
  <c r="J2" i="2"/>
  <c r="J10" i="2"/>
  <c r="J19" i="2"/>
  <c r="J28" i="2"/>
  <c r="J37" i="2"/>
  <c r="J46" i="2"/>
  <c r="J55" i="2"/>
  <c r="J64" i="2"/>
  <c r="J73" i="2"/>
  <c r="J82" i="2"/>
  <c r="J91" i="2"/>
  <c r="J100" i="2"/>
  <c r="J109" i="2"/>
  <c r="J118" i="2"/>
  <c r="J127" i="2"/>
  <c r="J136" i="2"/>
  <c r="J146" i="2"/>
  <c r="J157" i="2"/>
  <c r="J167" i="2"/>
  <c r="J178" i="2"/>
  <c r="J193" i="2"/>
  <c r="J206" i="2"/>
  <c r="J219" i="2"/>
  <c r="J232" i="2"/>
  <c r="J247" i="2"/>
  <c r="J260" i="2"/>
  <c r="J273" i="2"/>
  <c r="J286" i="2"/>
  <c r="J301" i="2"/>
  <c r="J314" i="2"/>
  <c r="J327" i="2"/>
  <c r="J340" i="2"/>
  <c r="J355" i="2"/>
  <c r="F365" i="2"/>
  <c r="F359" i="2"/>
  <c r="F353" i="2"/>
  <c r="F347" i="2"/>
  <c r="F341" i="2"/>
  <c r="F335" i="2"/>
  <c r="F329" i="2"/>
  <c r="F323" i="2"/>
  <c r="F317" i="2"/>
  <c r="F311" i="2"/>
  <c r="F305" i="2"/>
  <c r="F299" i="2"/>
  <c r="F293" i="2"/>
  <c r="F287" i="2"/>
  <c r="F281" i="2"/>
  <c r="F275" i="2"/>
  <c r="F269" i="2"/>
  <c r="F263" i="2"/>
  <c r="F257" i="2"/>
  <c r="F251" i="2"/>
  <c r="F245" i="2"/>
  <c r="F239" i="2"/>
  <c r="F233" i="2"/>
  <c r="F227" i="2"/>
  <c r="F221" i="2"/>
  <c r="F215" i="2"/>
  <c r="F209" i="2"/>
  <c r="F203" i="2"/>
  <c r="F197" i="2"/>
  <c r="F191" i="2"/>
  <c r="F185" i="2"/>
  <c r="F179" i="2"/>
  <c r="F173" i="2"/>
  <c r="F167" i="2"/>
  <c r="F161" i="2"/>
  <c r="F155" i="2"/>
  <c r="F149" i="2"/>
  <c r="F143" i="2"/>
  <c r="F137" i="2"/>
  <c r="F131" i="2"/>
  <c r="F125" i="2"/>
  <c r="F119" i="2"/>
  <c r="F113" i="2"/>
  <c r="F107" i="2"/>
  <c r="F101" i="2"/>
  <c r="F95" i="2"/>
  <c r="F89" i="2"/>
  <c r="F83" i="2"/>
  <c r="F77" i="2"/>
  <c r="F71" i="2"/>
  <c r="F65" i="2"/>
  <c r="F59" i="2"/>
  <c r="F53" i="2"/>
  <c r="F47" i="2"/>
  <c r="F41" i="2"/>
  <c r="F35" i="2"/>
  <c r="F29" i="2"/>
  <c r="F23" i="2"/>
  <c r="F17" i="2"/>
  <c r="F11" i="2"/>
  <c r="F5" i="2"/>
  <c r="F9" i="2"/>
  <c r="F16" i="2"/>
  <c r="F24" i="2"/>
  <c r="F31" i="2"/>
  <c r="F38" i="2"/>
  <c r="F45" i="2"/>
  <c r="F52" i="2"/>
  <c r="F60" i="2"/>
  <c r="F67" i="2"/>
  <c r="F74" i="2"/>
  <c r="F81" i="2"/>
  <c r="F88" i="2"/>
  <c r="F96" i="2"/>
  <c r="F103" i="2"/>
  <c r="F110" i="2"/>
  <c r="F117" i="2"/>
  <c r="F124" i="2"/>
  <c r="F132" i="2"/>
  <c r="F139" i="2"/>
  <c r="F146" i="2"/>
  <c r="F153" i="2"/>
  <c r="F160" i="2"/>
  <c r="F168" i="2"/>
  <c r="F175" i="2"/>
  <c r="F182" i="2"/>
  <c r="F189" i="2"/>
  <c r="F196" i="2"/>
  <c r="F204" i="2"/>
  <c r="F211" i="2"/>
  <c r="F218" i="2"/>
  <c r="F225" i="2"/>
  <c r="F232" i="2"/>
  <c r="F240" i="2"/>
  <c r="F247" i="2"/>
  <c r="F254" i="2"/>
  <c r="F261" i="2"/>
  <c r="F268" i="2"/>
  <c r="F276" i="2"/>
  <c r="F283" i="2"/>
  <c r="F290" i="2"/>
  <c r="F297" i="2"/>
  <c r="F304" i="2"/>
  <c r="F312" i="2"/>
  <c r="F319" i="2"/>
  <c r="F326" i="2"/>
  <c r="F333" i="2"/>
  <c r="F340" i="2"/>
  <c r="F348" i="2"/>
  <c r="F355" i="2"/>
  <c r="F362" i="2"/>
  <c r="G2" i="2"/>
  <c r="G8" i="2"/>
  <c r="G16" i="2"/>
  <c r="G23" i="2"/>
  <c r="G30" i="2"/>
  <c r="G37" i="2"/>
  <c r="G44" i="2"/>
  <c r="G52" i="2"/>
  <c r="G59" i="2"/>
  <c r="G66" i="2"/>
  <c r="G73" i="2"/>
  <c r="G80" i="2"/>
  <c r="G88" i="2"/>
  <c r="G95" i="2"/>
  <c r="G102" i="2"/>
  <c r="G109" i="2"/>
  <c r="G116" i="2"/>
  <c r="G124" i="2"/>
  <c r="G131" i="2"/>
  <c r="G138" i="2"/>
  <c r="G145" i="2"/>
  <c r="G152" i="2"/>
  <c r="G160" i="2"/>
  <c r="G167" i="2"/>
  <c r="G174" i="2"/>
  <c r="G181" i="2"/>
  <c r="G188" i="2"/>
  <c r="G196" i="2"/>
  <c r="G203" i="2"/>
  <c r="G210" i="2"/>
  <c r="G217" i="2"/>
  <c r="G224" i="2"/>
  <c r="G232" i="2"/>
  <c r="G239" i="2"/>
  <c r="G246" i="2"/>
  <c r="G253" i="2"/>
  <c r="G260" i="2"/>
  <c r="G268" i="2"/>
  <c r="G275" i="2"/>
  <c r="G282" i="2"/>
  <c r="G289" i="2"/>
  <c r="G296" i="2"/>
  <c r="G304" i="2"/>
  <c r="G311" i="2"/>
  <c r="G318" i="2"/>
  <c r="G325" i="2"/>
  <c r="G332" i="2"/>
  <c r="G340" i="2"/>
  <c r="G347" i="2"/>
  <c r="G354" i="2"/>
  <c r="G361" i="2"/>
  <c r="H152" i="2"/>
  <c r="H159" i="2"/>
  <c r="H166" i="2"/>
  <c r="H173" i="2"/>
  <c r="H180" i="2"/>
  <c r="H188" i="2"/>
  <c r="H195" i="2"/>
  <c r="H202" i="2"/>
  <c r="H209" i="2"/>
  <c r="H216" i="2"/>
  <c r="H224" i="2"/>
  <c r="H231" i="2"/>
  <c r="H238" i="2"/>
  <c r="H245" i="2"/>
  <c r="H252" i="2"/>
  <c r="H260" i="2"/>
  <c r="H267" i="2"/>
  <c r="H274" i="2"/>
  <c r="H281" i="2"/>
  <c r="H288" i="2"/>
  <c r="H296" i="2"/>
  <c r="H303" i="2"/>
  <c r="H310" i="2"/>
  <c r="H317" i="2"/>
  <c r="H324" i="2"/>
  <c r="H332" i="2"/>
  <c r="H339" i="2"/>
  <c r="H346" i="2"/>
  <c r="H353" i="2"/>
  <c r="H360" i="2"/>
  <c r="J372" i="2"/>
  <c r="J366" i="2"/>
  <c r="J360" i="2"/>
  <c r="J354" i="2"/>
  <c r="J348" i="2"/>
  <c r="J342" i="2"/>
  <c r="J336" i="2"/>
  <c r="J330" i="2"/>
  <c r="J324" i="2"/>
  <c r="J318" i="2"/>
  <c r="J312" i="2"/>
  <c r="J306" i="2"/>
  <c r="J300" i="2"/>
  <c r="J294" i="2"/>
  <c r="J288" i="2"/>
  <c r="J282" i="2"/>
  <c r="J276" i="2"/>
  <c r="J270" i="2"/>
  <c r="J264" i="2"/>
  <c r="J258" i="2"/>
  <c r="J252" i="2"/>
  <c r="J246" i="2"/>
  <c r="J240" i="2"/>
  <c r="J234" i="2"/>
  <c r="J228" i="2"/>
  <c r="J222" i="2"/>
  <c r="J216" i="2"/>
  <c r="J210" i="2"/>
  <c r="J204" i="2"/>
  <c r="J198" i="2"/>
  <c r="J192" i="2"/>
  <c r="J186" i="2"/>
  <c r="J180" i="2"/>
  <c r="J174" i="2"/>
  <c r="J168" i="2"/>
  <c r="J162" i="2"/>
  <c r="J156" i="2"/>
  <c r="J150" i="2"/>
  <c r="J144" i="2"/>
  <c r="J371" i="2"/>
  <c r="J365" i="2"/>
  <c r="J359" i="2"/>
  <c r="J353" i="2"/>
  <c r="J347" i="2"/>
  <c r="J341" i="2"/>
  <c r="J335" i="2"/>
  <c r="J329" i="2"/>
  <c r="J323" i="2"/>
  <c r="J317" i="2"/>
  <c r="J311" i="2"/>
  <c r="J305" i="2"/>
  <c r="J299" i="2"/>
  <c r="J293" i="2"/>
  <c r="J287" i="2"/>
  <c r="J281" i="2"/>
  <c r="J275" i="2"/>
  <c r="J269" i="2"/>
  <c r="J263" i="2"/>
  <c r="J257" i="2"/>
  <c r="J251" i="2"/>
  <c r="J245" i="2"/>
  <c r="J239" i="2"/>
  <c r="J233" i="2"/>
  <c r="J227" i="2"/>
  <c r="J221" i="2"/>
  <c r="J215" i="2"/>
  <c r="J209" i="2"/>
  <c r="J203" i="2"/>
  <c r="J197" i="2"/>
  <c r="J191" i="2"/>
  <c r="J185" i="2"/>
  <c r="J179" i="2"/>
  <c r="J370" i="2"/>
  <c r="J362" i="2"/>
  <c r="J352" i="2"/>
  <c r="J344" i="2"/>
  <c r="J334" i="2"/>
  <c r="J326" i="2"/>
  <c r="J316" i="2"/>
  <c r="J308" i="2"/>
  <c r="J298" i="2"/>
  <c r="J290" i="2"/>
  <c r="J280" i="2"/>
  <c r="J272" i="2"/>
  <c r="J262" i="2"/>
  <c r="J254" i="2"/>
  <c r="J244" i="2"/>
  <c r="J236" i="2"/>
  <c r="J226" i="2"/>
  <c r="J218" i="2"/>
  <c r="J208" i="2"/>
  <c r="J200" i="2"/>
  <c r="J190" i="2"/>
  <c r="J182" i="2"/>
  <c r="J173" i="2"/>
  <c r="J166" i="2"/>
  <c r="J159" i="2"/>
  <c r="J152" i="2"/>
  <c r="J145" i="2"/>
  <c r="J138" i="2"/>
  <c r="J132" i="2"/>
  <c r="J126" i="2"/>
  <c r="J120" i="2"/>
  <c r="J114" i="2"/>
  <c r="J108" i="2"/>
  <c r="J102" i="2"/>
  <c r="J96" i="2"/>
  <c r="J90" i="2"/>
  <c r="J84" i="2"/>
  <c r="J78" i="2"/>
  <c r="J72" i="2"/>
  <c r="J66" i="2"/>
  <c r="J60" i="2"/>
  <c r="J54" i="2"/>
  <c r="J48" i="2"/>
  <c r="J42" i="2"/>
  <c r="J36" i="2"/>
  <c r="J30" i="2"/>
  <c r="J24" i="2"/>
  <c r="J18" i="2"/>
  <c r="J12" i="2"/>
  <c r="J6" i="2"/>
  <c r="J367" i="2"/>
  <c r="J357" i="2"/>
  <c r="J349" i="2"/>
  <c r="J339" i="2"/>
  <c r="J331" i="2"/>
  <c r="J321" i="2"/>
  <c r="J313" i="2"/>
  <c r="J303" i="2"/>
  <c r="J295" i="2"/>
  <c r="J285" i="2"/>
  <c r="J277" i="2"/>
  <c r="J267" i="2"/>
  <c r="J259" i="2"/>
  <c r="J249" i="2"/>
  <c r="J241" i="2"/>
  <c r="J231" i="2"/>
  <c r="J223" i="2"/>
  <c r="J213" i="2"/>
  <c r="J205" i="2"/>
  <c r="J195" i="2"/>
  <c r="J187" i="2"/>
  <c r="J177" i="2"/>
  <c r="J170" i="2"/>
  <c r="J163" i="2"/>
  <c r="J155" i="2"/>
  <c r="J148" i="2"/>
  <c r="J141" i="2"/>
  <c r="J135" i="2"/>
  <c r="J129" i="2"/>
  <c r="J123" i="2"/>
  <c r="J117" i="2"/>
  <c r="J111" i="2"/>
  <c r="J105" i="2"/>
  <c r="J99" i="2"/>
  <c r="J93" i="2"/>
  <c r="J87" i="2"/>
  <c r="J81" i="2"/>
  <c r="J75" i="2"/>
  <c r="J69" i="2"/>
  <c r="J63" i="2"/>
  <c r="J57" i="2"/>
  <c r="J51" i="2"/>
  <c r="J45" i="2"/>
  <c r="J39" i="2"/>
  <c r="J33" i="2"/>
  <c r="J27" i="2"/>
  <c r="J21" i="2"/>
  <c r="J15" i="2"/>
  <c r="J9" i="2"/>
  <c r="J3" i="2"/>
  <c r="J11" i="2"/>
  <c r="J20" i="2"/>
  <c r="J29" i="2"/>
  <c r="J38" i="2"/>
  <c r="J47" i="2"/>
  <c r="J56" i="2"/>
  <c r="J65" i="2"/>
  <c r="J74" i="2"/>
  <c r="J83" i="2"/>
  <c r="J92" i="2"/>
  <c r="J101" i="2"/>
  <c r="J110" i="2"/>
  <c r="J119" i="2"/>
  <c r="J128" i="2"/>
  <c r="J137" i="2"/>
  <c r="J147" i="2"/>
  <c r="J158" i="2"/>
  <c r="J169" i="2"/>
  <c r="J181" i="2"/>
  <c r="J194" i="2"/>
  <c r="J207" i="2"/>
  <c r="J220" i="2"/>
  <c r="J235" i="2"/>
  <c r="J248" i="2"/>
  <c r="J261" i="2"/>
  <c r="J274" i="2"/>
  <c r="J289" i="2"/>
  <c r="J302" i="2"/>
  <c r="J315" i="2"/>
  <c r="J328" i="2"/>
  <c r="J343" i="2"/>
  <c r="J356" i="2"/>
  <c r="J369" i="2"/>
  <c r="G363" i="2"/>
  <c r="G357" i="2"/>
  <c r="G351" i="2"/>
  <c r="G345" i="2"/>
  <c r="G339" i="2"/>
  <c r="G333" i="2"/>
  <c r="G327" i="2"/>
  <c r="G321" i="2"/>
  <c r="G315" i="2"/>
  <c r="G309" i="2"/>
  <c r="G303" i="2"/>
  <c r="G297" i="2"/>
  <c r="G291" i="2"/>
  <c r="G285" i="2"/>
  <c r="G279" i="2"/>
  <c r="G273" i="2"/>
  <c r="G267" i="2"/>
  <c r="G261" i="2"/>
  <c r="G255" i="2"/>
  <c r="G249" i="2"/>
  <c r="G243" i="2"/>
  <c r="G237" i="2"/>
  <c r="G231" i="2"/>
  <c r="G225" i="2"/>
  <c r="G219" i="2"/>
  <c r="G213" i="2"/>
  <c r="G207" i="2"/>
  <c r="G201" i="2"/>
  <c r="G195" i="2"/>
  <c r="G189" i="2"/>
  <c r="G183" i="2"/>
  <c r="G177" i="2"/>
  <c r="G171" i="2"/>
  <c r="G165" i="2"/>
  <c r="G159" i="2"/>
  <c r="G153" i="2"/>
  <c r="G147" i="2"/>
  <c r="G141" i="2"/>
  <c r="G135" i="2"/>
  <c r="G129" i="2"/>
  <c r="G123" i="2"/>
  <c r="G117" i="2"/>
  <c r="G111" i="2"/>
  <c r="G105" i="2"/>
  <c r="G99" i="2"/>
  <c r="G93" i="2"/>
  <c r="G87" i="2"/>
  <c r="G81" i="2"/>
  <c r="G75" i="2"/>
  <c r="G69" i="2"/>
  <c r="G63" i="2"/>
  <c r="G57" i="2"/>
  <c r="G51" i="2"/>
  <c r="G45" i="2"/>
  <c r="G39" i="2"/>
  <c r="G33" i="2"/>
  <c r="G27" i="2"/>
  <c r="G21" i="2"/>
  <c r="G15" i="2"/>
  <c r="G9" i="2"/>
  <c r="G3" i="2"/>
  <c r="G10" i="2"/>
  <c r="G17" i="2"/>
  <c r="G24" i="2"/>
  <c r="G31" i="2"/>
  <c r="G38" i="2"/>
  <c r="G46" i="2"/>
  <c r="G53" i="2"/>
  <c r="G60" i="2"/>
  <c r="G67" i="2"/>
  <c r="G74" i="2"/>
  <c r="G82" i="2"/>
  <c r="G89" i="2"/>
  <c r="G96" i="2"/>
  <c r="G103" i="2"/>
  <c r="G110" i="2"/>
  <c r="G118" i="2"/>
  <c r="G125" i="2"/>
  <c r="G132" i="2"/>
  <c r="G139" i="2"/>
  <c r="G146" i="2"/>
  <c r="G154" i="2"/>
  <c r="G161" i="2"/>
  <c r="G168" i="2"/>
  <c r="G175" i="2"/>
  <c r="G182" i="2"/>
  <c r="G190" i="2"/>
  <c r="G197" i="2"/>
  <c r="G204" i="2"/>
  <c r="G211" i="2"/>
  <c r="G218" i="2"/>
  <c r="G226" i="2"/>
  <c r="G233" i="2"/>
  <c r="G240" i="2"/>
  <c r="G247" i="2"/>
  <c r="G254" i="2"/>
  <c r="G262" i="2"/>
  <c r="G269" i="2"/>
  <c r="G276" i="2"/>
  <c r="G283" i="2"/>
  <c r="G290" i="2"/>
  <c r="G298" i="2"/>
  <c r="G305" i="2"/>
  <c r="G312" i="2"/>
  <c r="G319" i="2"/>
  <c r="G326" i="2"/>
  <c r="G334" i="2"/>
  <c r="G341" i="2"/>
  <c r="G348" i="2"/>
  <c r="G355" i="2"/>
  <c r="G362" i="2"/>
  <c r="H367" i="2"/>
  <c r="H361" i="2"/>
  <c r="H355" i="2"/>
  <c r="H349" i="2"/>
  <c r="H343" i="2"/>
  <c r="H337" i="2"/>
  <c r="H331" i="2"/>
  <c r="H325" i="2"/>
  <c r="H319" i="2"/>
  <c r="H313" i="2"/>
  <c r="H307" i="2"/>
  <c r="H301" i="2"/>
  <c r="H295" i="2"/>
  <c r="H289" i="2"/>
  <c r="H283" i="2"/>
  <c r="H277" i="2"/>
  <c r="H271" i="2"/>
  <c r="H265" i="2"/>
  <c r="H259" i="2"/>
  <c r="H253" i="2"/>
  <c r="H247" i="2"/>
  <c r="H241" i="2"/>
  <c r="H235" i="2"/>
  <c r="H229" i="2"/>
  <c r="H223" i="2"/>
  <c r="H217" i="2"/>
  <c r="H211" i="2"/>
  <c r="H205" i="2"/>
  <c r="H199" i="2"/>
  <c r="H193" i="2"/>
  <c r="H187" i="2"/>
  <c r="H181" i="2"/>
  <c r="H175" i="2"/>
  <c r="H169" i="2"/>
  <c r="H163" i="2"/>
  <c r="H157" i="2"/>
  <c r="H151" i="2"/>
  <c r="H145" i="2"/>
  <c r="H139" i="2"/>
  <c r="H133" i="2"/>
  <c r="H127" i="2"/>
  <c r="H121" i="2"/>
  <c r="H115" i="2"/>
  <c r="H109" i="2"/>
  <c r="H103" i="2"/>
  <c r="H97" i="2"/>
  <c r="H91" i="2"/>
  <c r="H85" i="2"/>
  <c r="H79" i="2"/>
  <c r="H73" i="2"/>
  <c r="H67" i="2"/>
  <c r="H61" i="2"/>
  <c r="H55" i="2"/>
  <c r="H49" i="2"/>
  <c r="H43" i="2"/>
  <c r="H37" i="2"/>
  <c r="H31" i="2"/>
  <c r="H25" i="2"/>
  <c r="H19" i="2"/>
  <c r="H13" i="2"/>
  <c r="H7" i="2"/>
  <c r="H2" i="2"/>
  <c r="H9" i="2"/>
  <c r="H16" i="2"/>
  <c r="H23" i="2"/>
  <c r="H30" i="2"/>
  <c r="H38" i="2"/>
  <c r="H45" i="2"/>
  <c r="H52" i="2"/>
  <c r="H59" i="2"/>
  <c r="H66" i="2"/>
  <c r="H74" i="2"/>
  <c r="H81" i="2"/>
  <c r="H88" i="2"/>
  <c r="H95" i="2"/>
  <c r="H102" i="2"/>
  <c r="H110" i="2"/>
  <c r="H117" i="2"/>
  <c r="H124" i="2"/>
  <c r="H131" i="2"/>
  <c r="H138" i="2"/>
  <c r="H146" i="2"/>
  <c r="H153" i="2"/>
  <c r="H160" i="2"/>
  <c r="H167" i="2"/>
  <c r="H174" i="2"/>
  <c r="H182" i="2"/>
  <c r="H189" i="2"/>
  <c r="H196" i="2"/>
  <c r="H203" i="2"/>
  <c r="H210" i="2"/>
  <c r="H218" i="2"/>
  <c r="H225" i="2"/>
  <c r="H232" i="2"/>
  <c r="H239" i="2"/>
  <c r="H246" i="2"/>
  <c r="H254" i="2"/>
  <c r="H261" i="2"/>
  <c r="H268" i="2"/>
  <c r="H275" i="2"/>
  <c r="H282" i="2"/>
  <c r="H290" i="2"/>
  <c r="H297" i="2"/>
  <c r="H304" i="2"/>
  <c r="H311" i="2"/>
  <c r="H318" i="2"/>
  <c r="H326" i="2"/>
  <c r="H333" i="2"/>
  <c r="H340" i="2"/>
  <c r="H347" i="2"/>
  <c r="H354" i="2"/>
  <c r="H362" i="2"/>
  <c r="J4" i="2"/>
  <c r="J13" i="2"/>
  <c r="J22" i="2"/>
  <c r="J31" i="2"/>
  <c r="J40" i="2"/>
  <c r="J49" i="2"/>
  <c r="J58" i="2"/>
  <c r="J67" i="2"/>
  <c r="J76" i="2"/>
  <c r="J85" i="2"/>
  <c r="J94" i="2"/>
  <c r="J103" i="2"/>
  <c r="J112" i="2"/>
  <c r="J121" i="2"/>
  <c r="J130" i="2"/>
  <c r="J139" i="2"/>
  <c r="J149" i="2"/>
  <c r="J160" i="2"/>
  <c r="J171" i="2"/>
  <c r="J183" i="2"/>
  <c r="J196" i="2"/>
  <c r="J211" i="2"/>
  <c r="J224" i="2"/>
  <c r="J237" i="2"/>
  <c r="J250" i="2"/>
  <c r="J265" i="2"/>
  <c r="J278" i="2"/>
  <c r="J291" i="2"/>
  <c r="J304" i="2"/>
  <c r="J319" i="2"/>
  <c r="J332" i="2"/>
  <c r="J345" i="2"/>
  <c r="J358" i="2"/>
  <c r="J373" i="2"/>
  <c r="E373" i="2"/>
  <c r="E367" i="2"/>
  <c r="E361" i="2"/>
  <c r="E355" i="2"/>
  <c r="E349" i="2"/>
  <c r="E343" i="2"/>
  <c r="E337" i="2"/>
  <c r="E331" i="2"/>
  <c r="E325" i="2"/>
  <c r="E8" i="2"/>
  <c r="E14" i="2"/>
  <c r="E20" i="2"/>
  <c r="E26" i="2"/>
  <c r="E32" i="2"/>
  <c r="E38" i="2"/>
  <c r="E44" i="2"/>
  <c r="E50" i="2"/>
  <c r="E56" i="2"/>
  <c r="E62" i="2"/>
  <c r="E68" i="2"/>
  <c r="E74" i="2"/>
  <c r="E80" i="2"/>
  <c r="E86" i="2"/>
  <c r="E92" i="2"/>
  <c r="E98" i="2"/>
  <c r="E104" i="2"/>
  <c r="E110" i="2"/>
  <c r="E116" i="2"/>
  <c r="E122" i="2"/>
  <c r="E128" i="2"/>
  <c r="E134" i="2"/>
  <c r="E140" i="2"/>
  <c r="E146" i="2"/>
  <c r="E152" i="2"/>
  <c r="E158" i="2"/>
  <c r="E164" i="2"/>
  <c r="E170" i="2"/>
  <c r="E176" i="2"/>
  <c r="E182" i="2"/>
  <c r="E188" i="2"/>
  <c r="E194" i="2"/>
  <c r="E200" i="2"/>
  <c r="E206" i="2"/>
  <c r="E212" i="2"/>
  <c r="E218" i="2"/>
  <c r="E224" i="2"/>
  <c r="E230" i="2"/>
  <c r="E236" i="2"/>
  <c r="E242" i="2"/>
  <c r="E248" i="2"/>
  <c r="E254" i="2"/>
  <c r="E260" i="2"/>
  <c r="E266" i="2"/>
  <c r="E272" i="2"/>
  <c r="E278" i="2"/>
  <c r="E284" i="2"/>
  <c r="E290" i="2"/>
  <c r="E296" i="2"/>
  <c r="E302" i="2"/>
  <c r="E308" i="2"/>
  <c r="E314" i="2"/>
  <c r="E320" i="2"/>
  <c r="E327" i="2"/>
  <c r="E334" i="2"/>
  <c r="E341" i="2"/>
  <c r="E348" i="2"/>
  <c r="E356" i="2"/>
  <c r="E363" i="2"/>
  <c r="E370" i="2"/>
  <c r="F3" i="2"/>
  <c r="F10" i="2"/>
  <c r="F18" i="2"/>
  <c r="F25" i="2"/>
  <c r="F32" i="2"/>
  <c r="F39" i="2"/>
  <c r="F46" i="2"/>
  <c r="F54" i="2"/>
  <c r="F61" i="2"/>
  <c r="F68" i="2"/>
  <c r="F75" i="2"/>
  <c r="F82" i="2"/>
  <c r="F90" i="2"/>
  <c r="F97" i="2"/>
  <c r="F104" i="2"/>
  <c r="F111" i="2"/>
  <c r="F118" i="2"/>
  <c r="F126" i="2"/>
  <c r="F133" i="2"/>
  <c r="F140" i="2"/>
  <c r="F147" i="2"/>
  <c r="F154" i="2"/>
  <c r="F162" i="2"/>
  <c r="F169" i="2"/>
  <c r="F176" i="2"/>
  <c r="F183" i="2"/>
  <c r="F190" i="2"/>
  <c r="F198" i="2"/>
  <c r="F205" i="2"/>
  <c r="F212" i="2"/>
  <c r="F219" i="2"/>
  <c r="F226" i="2"/>
  <c r="F234" i="2"/>
  <c r="F241" i="2"/>
  <c r="F248" i="2"/>
  <c r="F255" i="2"/>
  <c r="F262" i="2"/>
  <c r="F270" i="2"/>
  <c r="F277" i="2"/>
  <c r="F284" i="2"/>
  <c r="F291" i="2"/>
  <c r="F298" i="2"/>
  <c r="F306" i="2"/>
  <c r="F313" i="2"/>
  <c r="F320" i="2"/>
  <c r="F327" i="2"/>
  <c r="F334" i="2"/>
  <c r="F342" i="2"/>
  <c r="F349" i="2"/>
  <c r="F356" i="2"/>
  <c r="F363" i="2"/>
  <c r="C2" i="2"/>
  <c r="C7" i="2"/>
  <c r="C13" i="2"/>
  <c r="C19" i="2"/>
  <c r="C25" i="2"/>
  <c r="C31" i="2"/>
  <c r="C37" i="2"/>
  <c r="C43" i="2"/>
  <c r="C49" i="2"/>
  <c r="C55" i="2"/>
  <c r="C61" i="2"/>
  <c r="C67" i="2"/>
  <c r="C73" i="2"/>
  <c r="C79" i="2"/>
  <c r="C85" i="2"/>
  <c r="C91" i="2"/>
  <c r="C97" i="2"/>
  <c r="C103" i="2"/>
  <c r="C109" i="2"/>
  <c r="C115" i="2"/>
  <c r="C121" i="2"/>
  <c r="C127" i="2"/>
  <c r="C133" i="2"/>
  <c r="C139" i="2"/>
  <c r="C145" i="2"/>
  <c r="C151" i="2"/>
  <c r="C157" i="2"/>
  <c r="C163" i="2"/>
  <c r="C169" i="2"/>
  <c r="C175" i="2"/>
  <c r="C181" i="2"/>
  <c r="C187" i="2"/>
  <c r="C193" i="2"/>
  <c r="C199" i="2"/>
  <c r="C205" i="2"/>
  <c r="C211" i="2"/>
  <c r="C217" i="2"/>
  <c r="C223" i="2"/>
  <c r="C229" i="2"/>
  <c r="C235" i="2"/>
  <c r="C241" i="2"/>
  <c r="C247" i="2"/>
  <c r="C253" i="2"/>
  <c r="C259" i="2"/>
  <c r="C265" i="2"/>
  <c r="C271" i="2"/>
  <c r="C277" i="2"/>
  <c r="C283" i="2"/>
  <c r="C289" i="2"/>
  <c r="C295" i="2"/>
  <c r="C301" i="2"/>
  <c r="C307" i="2"/>
  <c r="C313" i="2"/>
  <c r="C319" i="2"/>
  <c r="C325" i="2"/>
  <c r="C331" i="2"/>
  <c r="C337" i="2"/>
  <c r="C343" i="2"/>
  <c r="C349" i="2"/>
  <c r="C355" i="2"/>
  <c r="C361" i="2"/>
  <c r="C367" i="2"/>
  <c r="C373" i="2"/>
  <c r="D5" i="2"/>
  <c r="D11" i="2"/>
  <c r="D17" i="2"/>
  <c r="D23" i="2"/>
  <c r="D29" i="2"/>
  <c r="D35" i="2"/>
  <c r="D41" i="2"/>
  <c r="D47" i="2"/>
  <c r="D53" i="2"/>
  <c r="D59" i="2"/>
  <c r="D65" i="2"/>
  <c r="D71" i="2"/>
  <c r="D77" i="2"/>
  <c r="D83" i="2"/>
  <c r="D89" i="2"/>
  <c r="D95" i="2"/>
  <c r="D101" i="2"/>
  <c r="D107" i="2"/>
  <c r="D113" i="2"/>
  <c r="D119" i="2"/>
  <c r="D125" i="2"/>
  <c r="D131" i="2"/>
  <c r="D137" i="2"/>
  <c r="D143" i="2"/>
  <c r="D149" i="2"/>
  <c r="D155" i="2"/>
  <c r="D161" i="2"/>
  <c r="D167" i="2"/>
  <c r="D173" i="2"/>
  <c r="D179" i="2"/>
  <c r="D185" i="2"/>
  <c r="D191" i="2"/>
  <c r="D197" i="2"/>
  <c r="D203" i="2"/>
  <c r="D209" i="2"/>
  <c r="D215" i="2"/>
  <c r="D221" i="2"/>
  <c r="D227" i="2"/>
  <c r="D233" i="2"/>
  <c r="D239" i="2"/>
  <c r="D245" i="2"/>
  <c r="D251" i="2"/>
  <c r="D257" i="2"/>
  <c r="D263" i="2"/>
  <c r="D269" i="2"/>
  <c r="D275" i="2"/>
  <c r="D281" i="2"/>
  <c r="D287" i="2"/>
  <c r="D293" i="2"/>
  <c r="D299" i="2"/>
  <c r="D305" i="2"/>
  <c r="D311" i="2"/>
  <c r="D317" i="2"/>
  <c r="D323" i="2"/>
  <c r="D329" i="2"/>
  <c r="D335" i="2"/>
  <c r="D341" i="2"/>
  <c r="D347" i="2"/>
  <c r="D353" i="2"/>
  <c r="D359" i="2"/>
  <c r="D365" i="2"/>
  <c r="D371" i="2"/>
  <c r="E3" i="2"/>
  <c r="E9" i="2"/>
  <c r="E15" i="2"/>
  <c r="E21" i="2"/>
  <c r="E27" i="2"/>
  <c r="E33" i="2"/>
  <c r="E39" i="2"/>
  <c r="E45" i="2"/>
  <c r="E51" i="2"/>
  <c r="E57" i="2"/>
  <c r="E63" i="2"/>
  <c r="E69" i="2"/>
  <c r="E75" i="2"/>
  <c r="E81" i="2"/>
  <c r="E87" i="2"/>
  <c r="E93" i="2"/>
  <c r="E99" i="2"/>
  <c r="E105" i="2"/>
  <c r="E111" i="2"/>
  <c r="E117" i="2"/>
  <c r="E123" i="2"/>
  <c r="E129" i="2"/>
  <c r="E135" i="2"/>
  <c r="E141" i="2"/>
  <c r="E147" i="2"/>
  <c r="E153" i="2"/>
  <c r="E159" i="2"/>
  <c r="E165" i="2"/>
  <c r="E171" i="2"/>
  <c r="E177" i="2"/>
  <c r="E183" i="2"/>
  <c r="E189" i="2"/>
  <c r="E195" i="2"/>
  <c r="E201" i="2"/>
  <c r="E207" i="2"/>
  <c r="E213" i="2"/>
  <c r="E219" i="2"/>
  <c r="E225" i="2"/>
  <c r="E231" i="2"/>
  <c r="E237" i="2"/>
  <c r="E243" i="2"/>
  <c r="E249" i="2"/>
  <c r="E255" i="2"/>
  <c r="E261" i="2"/>
  <c r="E267" i="2"/>
  <c r="E273" i="2"/>
  <c r="E279" i="2"/>
  <c r="E285" i="2"/>
  <c r="E291" i="2"/>
  <c r="E297" i="2"/>
  <c r="E303" i="2"/>
  <c r="E309" i="2"/>
  <c r="E315" i="2"/>
  <c r="E321" i="2"/>
  <c r="E328" i="2"/>
  <c r="E335" i="2"/>
  <c r="E342" i="2"/>
  <c r="E350" i="2"/>
  <c r="E357" i="2"/>
  <c r="E364" i="2"/>
  <c r="E371" i="2"/>
  <c r="F4" i="2"/>
  <c r="F12" i="2"/>
  <c r="F19" i="2"/>
  <c r="F26" i="2"/>
  <c r="F33" i="2"/>
  <c r="F40" i="2"/>
  <c r="F48" i="2"/>
  <c r="F55" i="2"/>
  <c r="F62" i="2"/>
  <c r="F69" i="2"/>
  <c r="F76" i="2"/>
  <c r="F84" i="2"/>
  <c r="F91" i="2"/>
  <c r="F98" i="2"/>
  <c r="F105" i="2"/>
  <c r="F112" i="2"/>
  <c r="F120" i="2"/>
  <c r="F127" i="2"/>
  <c r="F134" i="2"/>
  <c r="F141" i="2"/>
  <c r="F148" i="2"/>
  <c r="F156" i="2"/>
  <c r="F163" i="2"/>
  <c r="F170" i="2"/>
  <c r="F177" i="2"/>
  <c r="F184" i="2"/>
  <c r="F192" i="2"/>
  <c r="F199" i="2"/>
  <c r="F206" i="2"/>
  <c r="F213" i="2"/>
  <c r="F220" i="2"/>
  <c r="F228" i="2"/>
  <c r="F235" i="2"/>
  <c r="F242" i="2"/>
  <c r="F249" i="2"/>
  <c r="F256" i="2"/>
  <c r="F264" i="2"/>
  <c r="F271" i="2"/>
  <c r="F278" i="2"/>
  <c r="F285" i="2"/>
  <c r="F292" i="2"/>
  <c r="F300" i="2"/>
  <c r="F307" i="2"/>
  <c r="F314" i="2"/>
  <c r="F321" i="2"/>
  <c r="F328" i="2"/>
  <c r="F336" i="2"/>
  <c r="F343" i="2"/>
  <c r="F350" i="2"/>
  <c r="F357" i="2"/>
  <c r="F364" i="2"/>
  <c r="G4" i="2"/>
  <c r="G11" i="2"/>
  <c r="G18" i="2"/>
  <c r="G25" i="2"/>
  <c r="G32" i="2"/>
  <c r="G40" i="2"/>
  <c r="G47" i="2"/>
  <c r="G54" i="2"/>
  <c r="G61" i="2"/>
  <c r="G68" i="2"/>
  <c r="G76" i="2"/>
  <c r="G83" i="2"/>
  <c r="G90" i="2"/>
  <c r="G97" i="2"/>
  <c r="G104" i="2"/>
  <c r="G112" i="2"/>
  <c r="G119" i="2"/>
  <c r="G126" i="2"/>
  <c r="G133" i="2"/>
  <c r="G140" i="2"/>
  <c r="G148" i="2"/>
  <c r="G155" i="2"/>
  <c r="G162" i="2"/>
  <c r="G169" i="2"/>
  <c r="G176" i="2"/>
  <c r="G184" i="2"/>
  <c r="G191" i="2"/>
  <c r="G198" i="2"/>
  <c r="G205" i="2"/>
  <c r="G212" i="2"/>
  <c r="G220" i="2"/>
  <c r="G227" i="2"/>
  <c r="G234" i="2"/>
  <c r="G241" i="2"/>
  <c r="G248" i="2"/>
  <c r="G256" i="2"/>
  <c r="G263" i="2"/>
  <c r="G270" i="2"/>
  <c r="G277" i="2"/>
  <c r="G284" i="2"/>
  <c r="G292" i="2"/>
  <c r="G299" i="2"/>
  <c r="G306" i="2"/>
  <c r="G313" i="2"/>
  <c r="G320" i="2"/>
  <c r="G328" i="2"/>
  <c r="G335" i="2"/>
  <c r="G342" i="2"/>
  <c r="G349" i="2"/>
  <c r="G356" i="2"/>
  <c r="G364" i="2"/>
  <c r="H3" i="2"/>
  <c r="H10" i="2"/>
  <c r="H17" i="2"/>
  <c r="H24" i="2"/>
  <c r="H32" i="2"/>
  <c r="H39" i="2"/>
  <c r="H46" i="2"/>
  <c r="H53" i="2"/>
  <c r="H60" i="2"/>
  <c r="H68" i="2"/>
  <c r="H75" i="2"/>
  <c r="H82" i="2"/>
  <c r="H89" i="2"/>
  <c r="H96" i="2"/>
  <c r="H104" i="2"/>
  <c r="H111" i="2"/>
  <c r="H118" i="2"/>
  <c r="H125" i="2"/>
  <c r="H132" i="2"/>
  <c r="H140" i="2"/>
  <c r="H147" i="2"/>
  <c r="H154" i="2"/>
  <c r="H161" i="2"/>
  <c r="H168" i="2"/>
  <c r="H176" i="2"/>
  <c r="H183" i="2"/>
  <c r="H190" i="2"/>
  <c r="H197" i="2"/>
  <c r="H204" i="2"/>
  <c r="H212" i="2"/>
  <c r="H219" i="2"/>
  <c r="H226" i="2"/>
  <c r="H233" i="2"/>
  <c r="H240" i="2"/>
  <c r="H248" i="2"/>
  <c r="H255" i="2"/>
  <c r="H262" i="2"/>
  <c r="H269" i="2"/>
  <c r="H276" i="2"/>
  <c r="H284" i="2"/>
  <c r="H291" i="2"/>
  <c r="H298" i="2"/>
  <c r="H305" i="2"/>
  <c r="H312" i="2"/>
  <c r="H320" i="2"/>
  <c r="H327" i="2"/>
  <c r="H334" i="2"/>
  <c r="H341" i="2"/>
  <c r="H348" i="2"/>
  <c r="H356" i="2"/>
  <c r="H363" i="2"/>
  <c r="J5" i="2"/>
  <c r="J14" i="2"/>
  <c r="J23" i="2"/>
  <c r="J32" i="2"/>
  <c r="J41" i="2"/>
  <c r="J50" i="2"/>
  <c r="J59" i="2"/>
  <c r="J68" i="2"/>
  <c r="J77" i="2"/>
  <c r="J86" i="2"/>
  <c r="J95" i="2"/>
  <c r="J104" i="2"/>
  <c r="J113" i="2"/>
  <c r="J122" i="2"/>
  <c r="J131" i="2"/>
  <c r="J140" i="2"/>
  <c r="J151" i="2"/>
  <c r="J161" i="2"/>
  <c r="J172" i="2"/>
  <c r="J184" i="2"/>
  <c r="J199" i="2"/>
  <c r="J212" i="2"/>
  <c r="J225" i="2"/>
  <c r="J238" i="2"/>
  <c r="J253" i="2"/>
  <c r="J266" i="2"/>
  <c r="J279" i="2"/>
  <c r="J292" i="2"/>
  <c r="J307" i="2"/>
  <c r="J320" i="2"/>
  <c r="J333" i="2"/>
  <c r="J346" i="2"/>
  <c r="J361" i="2"/>
  <c r="J374" i="2"/>
  <c r="C8" i="2"/>
  <c r="C14" i="2"/>
  <c r="C20" i="2"/>
  <c r="C26" i="2"/>
  <c r="C32" i="2"/>
  <c r="C38" i="2"/>
  <c r="C44" i="2"/>
  <c r="C50" i="2"/>
  <c r="C56" i="2"/>
  <c r="C62" i="2"/>
  <c r="C68" i="2"/>
  <c r="C74" i="2"/>
  <c r="C80" i="2"/>
  <c r="C86" i="2"/>
  <c r="C92" i="2"/>
  <c r="C98" i="2"/>
  <c r="C104" i="2"/>
  <c r="C110" i="2"/>
  <c r="C116" i="2"/>
  <c r="C122" i="2"/>
  <c r="C128" i="2"/>
  <c r="C134" i="2"/>
  <c r="C140" i="2"/>
  <c r="C146" i="2"/>
  <c r="C152" i="2"/>
  <c r="C158" i="2"/>
  <c r="C164" i="2"/>
  <c r="C170" i="2"/>
  <c r="C176" i="2"/>
  <c r="C182" i="2"/>
  <c r="C188" i="2"/>
  <c r="C194" i="2"/>
  <c r="C200" i="2"/>
  <c r="C206" i="2"/>
  <c r="C212" i="2"/>
  <c r="C218" i="2"/>
  <c r="C224" i="2"/>
  <c r="C230" i="2"/>
  <c r="C236" i="2"/>
  <c r="C242" i="2"/>
  <c r="C248" i="2"/>
  <c r="C254" i="2"/>
  <c r="C260" i="2"/>
  <c r="C266" i="2"/>
  <c r="C272" i="2"/>
  <c r="C278" i="2"/>
  <c r="C284" i="2"/>
  <c r="C290" i="2"/>
  <c r="C296" i="2"/>
  <c r="C302" i="2"/>
  <c r="C308" i="2"/>
  <c r="C314" i="2"/>
  <c r="C320" i="2"/>
  <c r="C326" i="2"/>
  <c r="C332" i="2"/>
  <c r="C338" i="2"/>
  <c r="C344" i="2"/>
  <c r="C350" i="2"/>
  <c r="C356" i="2"/>
  <c r="C362" i="2"/>
  <c r="C368" i="2"/>
  <c r="D6" i="2"/>
  <c r="D12" i="2"/>
  <c r="D18" i="2"/>
  <c r="D24" i="2"/>
  <c r="D30" i="2"/>
  <c r="D36" i="2"/>
  <c r="D42" i="2"/>
  <c r="D48" i="2"/>
  <c r="D54" i="2"/>
  <c r="D60" i="2"/>
  <c r="D66" i="2"/>
  <c r="D72" i="2"/>
  <c r="D78" i="2"/>
  <c r="D84" i="2"/>
  <c r="D90" i="2"/>
  <c r="D96" i="2"/>
  <c r="D102" i="2"/>
  <c r="D108" i="2"/>
  <c r="D114" i="2"/>
  <c r="D120" i="2"/>
  <c r="D126" i="2"/>
  <c r="D132" i="2"/>
  <c r="D138" i="2"/>
  <c r="D144" i="2"/>
  <c r="D150" i="2"/>
  <c r="D156" i="2"/>
  <c r="D162" i="2"/>
  <c r="D168" i="2"/>
  <c r="D174" i="2"/>
  <c r="D180" i="2"/>
  <c r="D186" i="2"/>
  <c r="D192" i="2"/>
  <c r="D198" i="2"/>
  <c r="D204" i="2"/>
  <c r="D210" i="2"/>
  <c r="D216" i="2"/>
  <c r="D222" i="2"/>
  <c r="D228" i="2"/>
  <c r="D234" i="2"/>
  <c r="D240" i="2"/>
  <c r="D246" i="2"/>
  <c r="D252" i="2"/>
  <c r="D258" i="2"/>
  <c r="D264" i="2"/>
  <c r="D270" i="2"/>
  <c r="D276" i="2"/>
  <c r="D282" i="2"/>
  <c r="D288" i="2"/>
  <c r="D294" i="2"/>
  <c r="D300" i="2"/>
  <c r="D306" i="2"/>
  <c r="D312" i="2"/>
  <c r="D318" i="2"/>
  <c r="D324" i="2"/>
  <c r="D330" i="2"/>
  <c r="D336" i="2"/>
  <c r="D342" i="2"/>
  <c r="D348" i="2"/>
  <c r="D354" i="2"/>
  <c r="D360" i="2"/>
  <c r="D366" i="2"/>
  <c r="E4" i="2"/>
  <c r="E10" i="2"/>
  <c r="E16" i="2"/>
  <c r="E22" i="2"/>
  <c r="E28" i="2"/>
  <c r="E34" i="2"/>
  <c r="E40" i="2"/>
  <c r="E46" i="2"/>
  <c r="E52" i="2"/>
  <c r="E58" i="2"/>
  <c r="E64" i="2"/>
  <c r="E70" i="2"/>
  <c r="E76" i="2"/>
  <c r="E82" i="2"/>
  <c r="E88" i="2"/>
  <c r="E94" i="2"/>
  <c r="E100" i="2"/>
  <c r="E106" i="2"/>
  <c r="E112" i="2"/>
  <c r="E118" i="2"/>
  <c r="E124" i="2"/>
  <c r="E130" i="2"/>
  <c r="E136" i="2"/>
  <c r="E142" i="2"/>
  <c r="E148" i="2"/>
  <c r="E154" i="2"/>
  <c r="E160" i="2"/>
  <c r="E166" i="2"/>
  <c r="E172" i="2"/>
  <c r="E178" i="2"/>
  <c r="E184" i="2"/>
  <c r="E190" i="2"/>
  <c r="E196" i="2"/>
  <c r="E202" i="2"/>
  <c r="E208" i="2"/>
  <c r="E214" i="2"/>
  <c r="E220" i="2"/>
  <c r="E226" i="2"/>
  <c r="E232" i="2"/>
  <c r="E238" i="2"/>
  <c r="E244" i="2"/>
  <c r="E250" i="2"/>
  <c r="E256" i="2"/>
  <c r="E262" i="2"/>
  <c r="E268" i="2"/>
  <c r="E274" i="2"/>
  <c r="E280" i="2"/>
  <c r="E286" i="2"/>
  <c r="E292" i="2"/>
  <c r="E298" i="2"/>
  <c r="E304" i="2"/>
  <c r="E310" i="2"/>
  <c r="E316" i="2"/>
  <c r="E322" i="2"/>
  <c r="E329" i="2"/>
  <c r="E336" i="2"/>
  <c r="E344" i="2"/>
  <c r="E351" i="2"/>
  <c r="E358" i="2"/>
  <c r="E365" i="2"/>
  <c r="E372" i="2"/>
  <c r="F6" i="2"/>
  <c r="F13" i="2"/>
  <c r="F20" i="2"/>
  <c r="F27" i="2"/>
  <c r="F34" i="2"/>
  <c r="F42" i="2"/>
  <c r="F49" i="2"/>
  <c r="F56" i="2"/>
  <c r="F63" i="2"/>
  <c r="F70" i="2"/>
  <c r="F78" i="2"/>
  <c r="F85" i="2"/>
  <c r="F92" i="2"/>
  <c r="F99" i="2"/>
  <c r="F106" i="2"/>
  <c r="F114" i="2"/>
  <c r="F121" i="2"/>
  <c r="F128" i="2"/>
  <c r="F135" i="2"/>
  <c r="F142" i="2"/>
  <c r="F150" i="2"/>
  <c r="F157" i="2"/>
  <c r="F164" i="2"/>
  <c r="F171" i="2"/>
  <c r="F178" i="2"/>
  <c r="F186" i="2"/>
  <c r="F193" i="2"/>
  <c r="F200" i="2"/>
  <c r="F207" i="2"/>
  <c r="F214" i="2"/>
  <c r="F222" i="2"/>
  <c r="F229" i="2"/>
  <c r="F236" i="2"/>
  <c r="F243" i="2"/>
  <c r="F250" i="2"/>
  <c r="F258" i="2"/>
  <c r="F265" i="2"/>
  <c r="F272" i="2"/>
  <c r="F279" i="2"/>
  <c r="F286" i="2"/>
  <c r="F294" i="2"/>
  <c r="F301" i="2"/>
  <c r="F308" i="2"/>
  <c r="F315" i="2"/>
  <c r="F322" i="2"/>
  <c r="F330" i="2"/>
  <c r="F337" i="2"/>
  <c r="F344" i="2"/>
  <c r="F351" i="2"/>
  <c r="F358" i="2"/>
  <c r="F366" i="2"/>
  <c r="G5" i="2"/>
  <c r="G12" i="2"/>
  <c r="G19" i="2"/>
  <c r="G26" i="2"/>
  <c r="G34" i="2"/>
  <c r="G41" i="2"/>
  <c r="G48" i="2"/>
  <c r="G55" i="2"/>
  <c r="G62" i="2"/>
  <c r="G70" i="2"/>
  <c r="G77" i="2"/>
  <c r="G84" i="2"/>
  <c r="G91" i="2"/>
  <c r="G98" i="2"/>
  <c r="G106" i="2"/>
  <c r="G113" i="2"/>
  <c r="G120" i="2"/>
  <c r="G127" i="2"/>
  <c r="G134" i="2"/>
  <c r="G142" i="2"/>
  <c r="G149" i="2"/>
  <c r="G156" i="2"/>
  <c r="G163" i="2"/>
  <c r="G170" i="2"/>
  <c r="G178" i="2"/>
  <c r="G185" i="2"/>
  <c r="G192" i="2"/>
  <c r="G199" i="2"/>
  <c r="G206" i="2"/>
  <c r="G214" i="2"/>
  <c r="G221" i="2"/>
  <c r="G228" i="2"/>
  <c r="G235" i="2"/>
  <c r="G242" i="2"/>
  <c r="G250" i="2"/>
  <c r="G257" i="2"/>
  <c r="G264" i="2"/>
  <c r="G271" i="2"/>
  <c r="G278" i="2"/>
  <c r="G286" i="2"/>
  <c r="G293" i="2"/>
  <c r="G300" i="2"/>
  <c r="G307" i="2"/>
  <c r="G314" i="2"/>
  <c r="G322" i="2"/>
  <c r="G329" i="2"/>
  <c r="G336" i="2"/>
  <c r="G343" i="2"/>
  <c r="G350" i="2"/>
  <c r="G358" i="2"/>
  <c r="G365" i="2"/>
  <c r="H4" i="2"/>
  <c r="H11" i="2"/>
  <c r="H18" i="2"/>
  <c r="H26" i="2"/>
  <c r="H33" i="2"/>
  <c r="H40" i="2"/>
  <c r="H47" i="2"/>
  <c r="H54" i="2"/>
  <c r="H62" i="2"/>
  <c r="H69" i="2"/>
  <c r="H76" i="2"/>
  <c r="H83" i="2"/>
  <c r="H90" i="2"/>
  <c r="H98" i="2"/>
  <c r="H105" i="2"/>
  <c r="H112" i="2"/>
  <c r="H119" i="2"/>
  <c r="H126" i="2"/>
  <c r="H134" i="2"/>
  <c r="H141" i="2"/>
  <c r="H148" i="2"/>
  <c r="H155" i="2"/>
  <c r="H162" i="2"/>
  <c r="H170" i="2"/>
  <c r="H177" i="2"/>
  <c r="H184" i="2"/>
  <c r="H191" i="2"/>
  <c r="H198" i="2"/>
  <c r="H206" i="2"/>
  <c r="H213" i="2"/>
  <c r="H220" i="2"/>
  <c r="H227" i="2"/>
  <c r="H234" i="2"/>
  <c r="H242" i="2"/>
  <c r="H249" i="2"/>
  <c r="H256" i="2"/>
  <c r="H263" i="2"/>
  <c r="H270" i="2"/>
  <c r="H278" i="2"/>
  <c r="H285" i="2"/>
  <c r="H292" i="2"/>
  <c r="H299" i="2"/>
  <c r="H306" i="2"/>
  <c r="H314" i="2"/>
  <c r="H321" i="2"/>
  <c r="H328" i="2"/>
  <c r="H335" i="2"/>
  <c r="H342" i="2"/>
  <c r="H350" i="2"/>
  <c r="H357" i="2"/>
  <c r="H364" i="2"/>
  <c r="J7" i="2"/>
  <c r="J16" i="2"/>
  <c r="J25" i="2"/>
  <c r="J34" i="2"/>
  <c r="J43" i="2"/>
  <c r="J52" i="2"/>
  <c r="J61" i="2"/>
  <c r="J70" i="2"/>
  <c r="J79" i="2"/>
  <c r="J88" i="2"/>
  <c r="J97" i="2"/>
  <c r="J106" i="2"/>
  <c r="J115" i="2"/>
  <c r="J124" i="2"/>
  <c r="J133" i="2"/>
  <c r="J142" i="2"/>
  <c r="J153" i="2"/>
  <c r="J164" i="2"/>
  <c r="J175" i="2"/>
  <c r="J188" i="2"/>
  <c r="J201" i="2"/>
  <c r="J214" i="2"/>
  <c r="J229" i="2"/>
  <c r="J242" i="2"/>
  <c r="J255" i="2"/>
  <c r="J268" i="2"/>
  <c r="J283" i="2"/>
  <c r="J296" i="2"/>
  <c r="J309" i="2"/>
  <c r="J322" i="2"/>
  <c r="J337" i="2"/>
  <c r="J350" i="2"/>
  <c r="J363" i="2"/>
  <c r="I5" i="2"/>
  <c r="I11" i="2"/>
  <c r="I17" i="2"/>
  <c r="I23" i="2"/>
  <c r="I29" i="2"/>
  <c r="I35" i="2"/>
  <c r="I41" i="2"/>
  <c r="I47" i="2"/>
  <c r="I53" i="2"/>
  <c r="I59" i="2"/>
  <c r="I65" i="2"/>
  <c r="I71" i="2"/>
  <c r="I77" i="2"/>
  <c r="I83" i="2"/>
  <c r="I89" i="2"/>
  <c r="I95" i="2"/>
  <c r="I101" i="2"/>
  <c r="I107" i="2"/>
  <c r="I113" i="2"/>
  <c r="I119" i="2"/>
  <c r="I125" i="2"/>
  <c r="I131" i="2"/>
  <c r="I137" i="2"/>
  <c r="I143" i="2"/>
  <c r="I149" i="2"/>
  <c r="I155" i="2"/>
  <c r="I161" i="2"/>
  <c r="I167" i="2"/>
  <c r="I173" i="2"/>
  <c r="I179" i="2"/>
  <c r="I185" i="2"/>
  <c r="I191" i="2"/>
  <c r="I197" i="2"/>
  <c r="I203" i="2"/>
  <c r="I209" i="2"/>
  <c r="I215" i="2"/>
  <c r="I221" i="2"/>
  <c r="I227" i="2"/>
  <c r="I233" i="2"/>
  <c r="I239" i="2"/>
  <c r="I245" i="2"/>
  <c r="I251" i="2"/>
  <c r="I257" i="2"/>
  <c r="I263" i="2"/>
  <c r="I269" i="2"/>
  <c r="I275" i="2"/>
  <c r="I281" i="2"/>
  <c r="I287" i="2"/>
  <c r="I293" i="2"/>
  <c r="I299" i="2"/>
  <c r="I305" i="2"/>
  <c r="I311" i="2"/>
  <c r="I317" i="2"/>
  <c r="I323" i="2"/>
  <c r="I329" i="2"/>
  <c r="I335" i="2"/>
  <c r="I341" i="2"/>
  <c r="I347" i="2"/>
  <c r="I353" i="2"/>
  <c r="I359" i="2"/>
  <c r="I365" i="2"/>
  <c r="I371" i="2"/>
  <c r="K2" i="2"/>
  <c r="K11" i="2"/>
  <c r="K19" i="2"/>
  <c r="K29" i="2"/>
  <c r="K37" i="2"/>
  <c r="K49" i="2"/>
  <c r="K59" i="2"/>
  <c r="K71" i="2"/>
  <c r="K80" i="2"/>
  <c r="K92" i="2"/>
  <c r="K102" i="2"/>
  <c r="K114" i="2"/>
  <c r="K124" i="2"/>
  <c r="K136" i="2"/>
  <c r="K145" i="2"/>
  <c r="K157" i="2"/>
  <c r="K167" i="2"/>
  <c r="K179" i="2"/>
  <c r="K188" i="2"/>
  <c r="K200" i="2"/>
  <c r="K210" i="2"/>
  <c r="K222" i="2"/>
  <c r="K232" i="2"/>
  <c r="K244" i="2"/>
  <c r="K253" i="2"/>
  <c r="K265" i="2"/>
  <c r="K275" i="2"/>
  <c r="K287" i="2"/>
  <c r="K296" i="2"/>
  <c r="K308" i="2"/>
  <c r="K318" i="2"/>
  <c r="K330" i="2"/>
  <c r="K340" i="2"/>
  <c r="K352" i="2"/>
  <c r="K361" i="2"/>
  <c r="K369" i="2"/>
  <c r="K363" i="2"/>
  <c r="K357" i="2"/>
  <c r="K351" i="2"/>
  <c r="K345" i="2"/>
  <c r="K339" i="2"/>
  <c r="K333" i="2"/>
  <c r="K327" i="2"/>
  <c r="K321" i="2"/>
  <c r="K315" i="2"/>
  <c r="K309" i="2"/>
  <c r="K303" i="2"/>
  <c r="K297" i="2"/>
  <c r="K291" i="2"/>
  <c r="K285" i="2"/>
  <c r="K279" i="2"/>
  <c r="K273" i="2"/>
  <c r="K267" i="2"/>
  <c r="K261" i="2"/>
  <c r="K255" i="2"/>
  <c r="K249" i="2"/>
  <c r="K243" i="2"/>
  <c r="K237" i="2"/>
  <c r="K231" i="2"/>
  <c r="K225" i="2"/>
  <c r="K219" i="2"/>
  <c r="K213" i="2"/>
  <c r="K207" i="2"/>
  <c r="K201" i="2"/>
  <c r="K195" i="2"/>
  <c r="K189" i="2"/>
  <c r="K183" i="2"/>
  <c r="K177" i="2"/>
  <c r="K171" i="2"/>
  <c r="K165" i="2"/>
  <c r="K159" i="2"/>
  <c r="K153" i="2"/>
  <c r="K147" i="2"/>
  <c r="K141" i="2"/>
  <c r="K135" i="2"/>
  <c r="K129" i="2"/>
  <c r="K123" i="2"/>
  <c r="K117" i="2"/>
  <c r="K111" i="2"/>
  <c r="K105" i="2"/>
  <c r="K99" i="2"/>
  <c r="K93" i="2"/>
  <c r="K87" i="2"/>
  <c r="K81" i="2"/>
  <c r="K75" i="2"/>
  <c r="K69" i="2"/>
  <c r="K63" i="2"/>
  <c r="K57" i="2"/>
  <c r="K51" i="2"/>
  <c r="K45" i="2"/>
  <c r="K39" i="2"/>
  <c r="K372" i="2"/>
  <c r="K365" i="2"/>
  <c r="K358" i="2"/>
  <c r="K350" i="2"/>
  <c r="K343" i="2"/>
  <c r="K336" i="2"/>
  <c r="K329" i="2"/>
  <c r="K322" i="2"/>
  <c r="K314" i="2"/>
  <c r="K307" i="2"/>
  <c r="K300" i="2"/>
  <c r="K293" i="2"/>
  <c r="K286" i="2"/>
  <c r="K278" i="2"/>
  <c r="K271" i="2"/>
  <c r="K264" i="2"/>
  <c r="K257" i="2"/>
  <c r="K250" i="2"/>
  <c r="K242" i="2"/>
  <c r="K235" i="2"/>
  <c r="K228" i="2"/>
  <c r="K221" i="2"/>
  <c r="K214" i="2"/>
  <c r="K206" i="2"/>
  <c r="K199" i="2"/>
  <c r="K192" i="2"/>
  <c r="K185" i="2"/>
  <c r="K178" i="2"/>
  <c r="K170" i="2"/>
  <c r="K163" i="2"/>
  <c r="K156" i="2"/>
  <c r="K149" i="2"/>
  <c r="K142" i="2"/>
  <c r="K134" i="2"/>
  <c r="K127" i="2"/>
  <c r="K120" i="2"/>
  <c r="K113" i="2"/>
  <c r="K106" i="2"/>
  <c r="K98" i="2"/>
  <c r="K91" i="2"/>
  <c r="K84" i="2"/>
  <c r="K77" i="2"/>
  <c r="K70" i="2"/>
  <c r="K62" i="2"/>
  <c r="K55" i="2"/>
  <c r="K48" i="2"/>
  <c r="K41" i="2"/>
  <c r="K34" i="2"/>
  <c r="K28" i="2"/>
  <c r="K22" i="2"/>
  <c r="K16" i="2"/>
  <c r="K10" i="2"/>
  <c r="K4" i="2"/>
  <c r="K371" i="2"/>
  <c r="K364" i="2"/>
  <c r="K356" i="2"/>
  <c r="K349" i="2"/>
  <c r="K342" i="2"/>
  <c r="K335" i="2"/>
  <c r="K328" i="2"/>
  <c r="K320" i="2"/>
  <c r="K313" i="2"/>
  <c r="K306" i="2"/>
  <c r="K299" i="2"/>
  <c r="K292" i="2"/>
  <c r="K284" i="2"/>
  <c r="K277" i="2"/>
  <c r="K270" i="2"/>
  <c r="K263" i="2"/>
  <c r="K256" i="2"/>
  <c r="K248" i="2"/>
  <c r="K241" i="2"/>
  <c r="K234" i="2"/>
  <c r="K227" i="2"/>
  <c r="K220" i="2"/>
  <c r="K212" i="2"/>
  <c r="K205" i="2"/>
  <c r="K198" i="2"/>
  <c r="K191" i="2"/>
  <c r="K184" i="2"/>
  <c r="K176" i="2"/>
  <c r="K169" i="2"/>
  <c r="K162" i="2"/>
  <c r="K155" i="2"/>
  <c r="K148" i="2"/>
  <c r="K140" i="2"/>
  <c r="K133" i="2"/>
  <c r="K126" i="2"/>
  <c r="K119" i="2"/>
  <c r="K112" i="2"/>
  <c r="K104" i="2"/>
  <c r="K97" i="2"/>
  <c r="K90" i="2"/>
  <c r="K83" i="2"/>
  <c r="K76" i="2"/>
  <c r="K68" i="2"/>
  <c r="K61" i="2"/>
  <c r="K54" i="2"/>
  <c r="K47" i="2"/>
  <c r="K40" i="2"/>
  <c r="K33" i="2"/>
  <c r="K27" i="2"/>
  <c r="K21" i="2"/>
  <c r="K15" i="2"/>
  <c r="K9" i="2"/>
  <c r="K3" i="2"/>
  <c r="K12" i="2"/>
  <c r="K20" i="2"/>
  <c r="K30" i="2"/>
  <c r="K38" i="2"/>
  <c r="K50" i="2"/>
  <c r="K60" i="2"/>
  <c r="K72" i="2"/>
  <c r="K82" i="2"/>
  <c r="K94" i="2"/>
  <c r="K103" i="2"/>
  <c r="K115" i="2"/>
  <c r="K125" i="2"/>
  <c r="K137" i="2"/>
  <c r="K146" i="2"/>
  <c r="K158" i="2"/>
  <c r="K168" i="2"/>
  <c r="K180" i="2"/>
  <c r="K190" i="2"/>
  <c r="K202" i="2"/>
  <c r="K211" i="2"/>
  <c r="K223" i="2"/>
  <c r="K233" i="2"/>
  <c r="K245" i="2"/>
  <c r="K254" i="2"/>
  <c r="K266" i="2"/>
  <c r="K276" i="2"/>
  <c r="K288" i="2"/>
  <c r="K298" i="2"/>
  <c r="K310" i="2"/>
  <c r="K319" i="2"/>
  <c r="K331" i="2"/>
  <c r="K341" i="2"/>
  <c r="K353" i="2"/>
  <c r="K362" i="2"/>
  <c r="K374" i="2"/>
  <c r="K128" i="2"/>
  <c r="K138" i="2"/>
  <c r="K150" i="2"/>
  <c r="K160" i="2"/>
  <c r="K172" i="2"/>
  <c r="K181" i="2"/>
  <c r="K193" i="2"/>
  <c r="K203" i="2"/>
  <c r="K215" i="2"/>
  <c r="K224" i="2"/>
  <c r="K236" i="2"/>
  <c r="K246" i="2"/>
  <c r="K258" i="2"/>
  <c r="K268" i="2"/>
  <c r="K280" i="2"/>
  <c r="K289" i="2"/>
  <c r="K301" i="2"/>
  <c r="K311" i="2"/>
  <c r="K323" i="2"/>
  <c r="K332" i="2"/>
  <c r="K344" i="2"/>
  <c r="K354" i="2"/>
  <c r="K366" i="2"/>
  <c r="I8" i="2"/>
  <c r="I14" i="2"/>
  <c r="I20" i="2"/>
  <c r="I26" i="2"/>
  <c r="I32" i="2"/>
  <c r="I38" i="2"/>
  <c r="I44" i="2"/>
  <c r="I50" i="2"/>
  <c r="I56" i="2"/>
  <c r="I62" i="2"/>
  <c r="I68" i="2"/>
  <c r="I74" i="2"/>
  <c r="I80" i="2"/>
  <c r="I86" i="2"/>
  <c r="I92" i="2"/>
  <c r="I98" i="2"/>
  <c r="I104" i="2"/>
  <c r="I110" i="2"/>
  <c r="I116" i="2"/>
  <c r="I122" i="2"/>
  <c r="I128" i="2"/>
  <c r="I134" i="2"/>
  <c r="I140" i="2"/>
  <c r="I146" i="2"/>
  <c r="I152" i="2"/>
  <c r="I158" i="2"/>
  <c r="I164" i="2"/>
  <c r="I170" i="2"/>
  <c r="I176" i="2"/>
  <c r="I182" i="2"/>
  <c r="I188" i="2"/>
  <c r="I194" i="2"/>
  <c r="I200" i="2"/>
  <c r="I206" i="2"/>
  <c r="I212" i="2"/>
  <c r="I218" i="2"/>
  <c r="I224" i="2"/>
  <c r="I230" i="2"/>
  <c r="I236" i="2"/>
  <c r="I242" i="2"/>
  <c r="I248" i="2"/>
  <c r="I254" i="2"/>
  <c r="I260" i="2"/>
  <c r="I266" i="2"/>
  <c r="I272" i="2"/>
  <c r="I278" i="2"/>
  <c r="I284" i="2"/>
  <c r="I290" i="2"/>
  <c r="I296" i="2"/>
  <c r="I302" i="2"/>
  <c r="I308" i="2"/>
  <c r="I314" i="2"/>
  <c r="I320" i="2"/>
  <c r="I326" i="2"/>
  <c r="I332" i="2"/>
  <c r="I338" i="2"/>
  <c r="I344" i="2"/>
  <c r="I350" i="2"/>
  <c r="I356" i="2"/>
  <c r="I362" i="2"/>
  <c r="I368" i="2"/>
  <c r="K6" i="2"/>
  <c r="K14" i="2"/>
  <c r="K24" i="2"/>
  <c r="K32" i="2"/>
  <c r="K43" i="2"/>
  <c r="K53" i="2"/>
  <c r="K65" i="2"/>
  <c r="K74" i="2"/>
  <c r="K86" i="2"/>
  <c r="K96" i="2"/>
  <c r="K108" i="2"/>
  <c r="K118" i="2"/>
  <c r="K130" i="2"/>
  <c r="K139" i="2"/>
  <c r="K151" i="2"/>
  <c r="K161" i="2"/>
  <c r="K173" i="2"/>
  <c r="K182" i="2"/>
  <c r="K194" i="2"/>
  <c r="K204" i="2"/>
  <c r="K216" i="2"/>
  <c r="K226" i="2"/>
  <c r="K238" i="2"/>
  <c r="K247" i="2"/>
  <c r="K259" i="2"/>
  <c r="K269" i="2"/>
  <c r="K281" i="2"/>
  <c r="K290" i="2"/>
  <c r="K302" i="2"/>
  <c r="K312" i="2"/>
  <c r="K324" i="2"/>
  <c r="K334" i="2"/>
  <c r="K346" i="2"/>
  <c r="K355" i="2"/>
  <c r="K367" i="2"/>
  <c r="L60" i="2"/>
  <c r="L68" i="2"/>
  <c r="L75" i="2"/>
  <c r="L82" i="2"/>
  <c r="L89" i="2"/>
  <c r="L96" i="2"/>
  <c r="L104" i="2"/>
  <c r="L111" i="2"/>
  <c r="L118" i="2"/>
  <c r="L125" i="2"/>
  <c r="L132" i="2"/>
  <c r="L140" i="2"/>
  <c r="L147" i="2"/>
  <c r="L154" i="2"/>
  <c r="L161" i="2"/>
  <c r="L168" i="2"/>
  <c r="L176" i="2"/>
  <c r="L183" i="2"/>
  <c r="L190" i="2"/>
  <c r="L197" i="2"/>
  <c r="L204" i="2"/>
  <c r="L212" i="2"/>
  <c r="L219" i="2"/>
  <c r="L226" i="2"/>
  <c r="L233" i="2"/>
  <c r="L240" i="2"/>
  <c r="L248" i="2"/>
  <c r="L255" i="2"/>
  <c r="L262" i="2"/>
  <c r="L269" i="2"/>
  <c r="L276" i="2"/>
  <c r="L284" i="2"/>
  <c r="L291" i="2"/>
  <c r="L298" i="2"/>
  <c r="L305" i="2"/>
  <c r="L312" i="2"/>
  <c r="L320" i="2"/>
  <c r="L327" i="2"/>
  <c r="L334" i="2"/>
  <c r="L341" i="2"/>
  <c r="L348" i="2"/>
  <c r="L356" i="2"/>
  <c r="L363" i="2"/>
  <c r="L370" i="2"/>
  <c r="N7" i="2"/>
  <c r="N16" i="2"/>
  <c r="N25" i="2"/>
  <c r="N34" i="2"/>
  <c r="N43" i="2"/>
  <c r="N52" i="2"/>
  <c r="N61" i="2"/>
  <c r="N70" i="2"/>
  <c r="N79" i="2"/>
  <c r="N88" i="2"/>
  <c r="N97" i="2"/>
  <c r="N106" i="2"/>
  <c r="N115" i="2"/>
  <c r="N124" i="2"/>
  <c r="N133" i="2"/>
  <c r="N142" i="2"/>
  <c r="N151" i="2"/>
  <c r="N160" i="2"/>
  <c r="N169" i="2"/>
  <c r="N178" i="2"/>
  <c r="N187" i="2"/>
  <c r="N196" i="2"/>
  <c r="N205" i="2"/>
  <c r="N214" i="2"/>
  <c r="N223" i="2"/>
  <c r="N232" i="2"/>
  <c r="N241" i="2"/>
  <c r="N250" i="2"/>
  <c r="N259" i="2"/>
  <c r="N268" i="2"/>
  <c r="N277" i="2"/>
  <c r="N286" i="2"/>
  <c r="N295" i="2"/>
  <c r="N304" i="2"/>
  <c r="N313" i="2"/>
  <c r="N322" i="2"/>
  <c r="N331" i="2"/>
  <c r="N340" i="2"/>
  <c r="N349" i="2"/>
  <c r="N358" i="2"/>
  <c r="N367" i="2"/>
  <c r="L4" i="2"/>
  <c r="L11" i="2"/>
  <c r="L18" i="2"/>
  <c r="L26" i="2"/>
  <c r="L33" i="2"/>
  <c r="L40" i="2"/>
  <c r="L47" i="2"/>
  <c r="L54" i="2"/>
  <c r="L62" i="2"/>
  <c r="L69" i="2"/>
  <c r="L76" i="2"/>
  <c r="L83" i="2"/>
  <c r="L90" i="2"/>
  <c r="L98" i="2"/>
  <c r="L105" i="2"/>
  <c r="L112" i="2"/>
  <c r="L119" i="2"/>
  <c r="L126" i="2"/>
  <c r="L134" i="2"/>
  <c r="L141" i="2"/>
  <c r="L148" i="2"/>
  <c r="L155" i="2"/>
  <c r="L162" i="2"/>
  <c r="L170" i="2"/>
  <c r="L177" i="2"/>
  <c r="L184" i="2"/>
  <c r="L191" i="2"/>
  <c r="L198" i="2"/>
  <c r="L206" i="2"/>
  <c r="L213" i="2"/>
  <c r="L220" i="2"/>
  <c r="L227" i="2"/>
  <c r="L234" i="2"/>
  <c r="L242" i="2"/>
  <c r="L249" i="2"/>
  <c r="L256" i="2"/>
  <c r="L263" i="2"/>
  <c r="L270" i="2"/>
  <c r="L278" i="2"/>
  <c r="L285" i="2"/>
  <c r="L292" i="2"/>
  <c r="L299" i="2"/>
  <c r="L306" i="2"/>
  <c r="L314" i="2"/>
  <c r="L321" i="2"/>
  <c r="L328" i="2"/>
  <c r="L335" i="2"/>
  <c r="L342" i="2"/>
  <c r="L350" i="2"/>
  <c r="L357" i="2"/>
  <c r="L364" i="2"/>
  <c r="L371" i="2"/>
  <c r="N8" i="2"/>
  <c r="N17" i="2"/>
  <c r="N26" i="2"/>
  <c r="N35" i="2"/>
  <c r="N44" i="2"/>
  <c r="N53" i="2"/>
  <c r="N62" i="2"/>
  <c r="N71" i="2"/>
  <c r="N80" i="2"/>
  <c r="N89" i="2"/>
  <c r="N98" i="2"/>
  <c r="N107" i="2"/>
  <c r="N116" i="2"/>
  <c r="N125" i="2"/>
  <c r="N134" i="2"/>
  <c r="N143" i="2"/>
  <c r="N152" i="2"/>
  <c r="N161" i="2"/>
  <c r="N170" i="2"/>
  <c r="N179" i="2"/>
  <c r="N188" i="2"/>
  <c r="N197" i="2"/>
  <c r="N206" i="2"/>
  <c r="N215" i="2"/>
  <c r="N224" i="2"/>
  <c r="N233" i="2"/>
  <c r="N242" i="2"/>
  <c r="N251" i="2"/>
  <c r="N260" i="2"/>
  <c r="N269" i="2"/>
  <c r="N278" i="2"/>
  <c r="N287" i="2"/>
  <c r="N296" i="2"/>
  <c r="N305" i="2"/>
  <c r="N314" i="2"/>
  <c r="N323" i="2"/>
  <c r="N332" i="2"/>
  <c r="N341" i="2"/>
  <c r="N350" i="2"/>
  <c r="N359" i="2"/>
  <c r="N368" i="2"/>
  <c r="L5" i="2"/>
  <c r="L12" i="2"/>
  <c r="L20" i="2"/>
  <c r="L27" i="2"/>
  <c r="L34" i="2"/>
  <c r="L41" i="2"/>
  <c r="L48" i="2"/>
  <c r="L56" i="2"/>
  <c r="L63" i="2"/>
  <c r="L70" i="2"/>
  <c r="L77" i="2"/>
  <c r="L84" i="2"/>
  <c r="L92" i="2"/>
  <c r="L99" i="2"/>
  <c r="L106" i="2"/>
  <c r="L113" i="2"/>
  <c r="L120" i="2"/>
  <c r="L128" i="2"/>
  <c r="L135" i="2"/>
  <c r="L142" i="2"/>
  <c r="L149" i="2"/>
  <c r="L156" i="2"/>
  <c r="L164" i="2"/>
  <c r="L171" i="2"/>
  <c r="L178" i="2"/>
  <c r="L185" i="2"/>
  <c r="L192" i="2"/>
  <c r="L200" i="2"/>
  <c r="L207" i="2"/>
  <c r="L214" i="2"/>
  <c r="L221" i="2"/>
  <c r="L228" i="2"/>
  <c r="L236" i="2"/>
  <c r="L243" i="2"/>
  <c r="L250" i="2"/>
  <c r="L257" i="2"/>
  <c r="L264" i="2"/>
  <c r="L272" i="2"/>
  <c r="L279" i="2"/>
  <c r="L286" i="2"/>
  <c r="L293" i="2"/>
  <c r="L300" i="2"/>
  <c r="L308" i="2"/>
  <c r="L315" i="2"/>
  <c r="L322" i="2"/>
  <c r="L329" i="2"/>
  <c r="L336" i="2"/>
  <c r="L344" i="2"/>
  <c r="L351" i="2"/>
  <c r="L358" i="2"/>
  <c r="L365" i="2"/>
  <c r="N2" i="2"/>
  <c r="N10" i="2"/>
  <c r="N19" i="2"/>
  <c r="N28" i="2"/>
  <c r="N37" i="2"/>
  <c r="N46" i="2"/>
  <c r="N55" i="2"/>
  <c r="N64" i="2"/>
  <c r="N73" i="2"/>
  <c r="N82" i="2"/>
  <c r="N91" i="2"/>
  <c r="N100" i="2"/>
  <c r="N109" i="2"/>
  <c r="N118" i="2"/>
  <c r="N127" i="2"/>
  <c r="N136" i="2"/>
  <c r="N145" i="2"/>
  <c r="N154" i="2"/>
  <c r="N163" i="2"/>
  <c r="N172" i="2"/>
  <c r="N181" i="2"/>
  <c r="N190" i="2"/>
  <c r="N199" i="2"/>
  <c r="N208" i="2"/>
  <c r="N217" i="2"/>
  <c r="N226" i="2"/>
  <c r="N235" i="2"/>
  <c r="N244" i="2"/>
  <c r="N253" i="2"/>
  <c r="N262" i="2"/>
  <c r="N271" i="2"/>
  <c r="N280" i="2"/>
  <c r="N289" i="2"/>
  <c r="N298" i="2"/>
  <c r="N307" i="2"/>
  <c r="N316" i="2"/>
  <c r="N325" i="2"/>
  <c r="N334" i="2"/>
  <c r="N343" i="2"/>
  <c r="N352" i="2"/>
  <c r="N361" i="2"/>
  <c r="N369" i="2"/>
  <c r="N363" i="2"/>
  <c r="N357" i="2"/>
  <c r="N351" i="2"/>
  <c r="N345" i="2"/>
  <c r="N339" i="2"/>
  <c r="N333" i="2"/>
  <c r="N327" i="2"/>
  <c r="N321" i="2"/>
  <c r="N315" i="2"/>
  <c r="N309" i="2"/>
  <c r="N303" i="2"/>
  <c r="N297" i="2"/>
  <c r="N291" i="2"/>
  <c r="N285" i="2"/>
  <c r="N279" i="2"/>
  <c r="N273" i="2"/>
  <c r="N267" i="2"/>
  <c r="N261" i="2"/>
  <c r="N255" i="2"/>
  <c r="N249" i="2"/>
  <c r="N243" i="2"/>
  <c r="N237" i="2"/>
  <c r="N231" i="2"/>
  <c r="N225" i="2"/>
  <c r="N219" i="2"/>
  <c r="N213" i="2"/>
  <c r="N207" i="2"/>
  <c r="N201" i="2"/>
  <c r="N195" i="2"/>
  <c r="N189" i="2"/>
  <c r="N183" i="2"/>
  <c r="N177" i="2"/>
  <c r="N171" i="2"/>
  <c r="N165" i="2"/>
  <c r="N159" i="2"/>
  <c r="N153" i="2"/>
  <c r="N147" i="2"/>
  <c r="N141" i="2"/>
  <c r="N135" i="2"/>
  <c r="N129" i="2"/>
  <c r="N123" i="2"/>
  <c r="N117" i="2"/>
  <c r="N111" i="2"/>
  <c r="N105" i="2"/>
  <c r="N99" i="2"/>
  <c r="N93" i="2"/>
  <c r="N87" i="2"/>
  <c r="N81" i="2"/>
  <c r="N75" i="2"/>
  <c r="N69" i="2"/>
  <c r="N63" i="2"/>
  <c r="N57" i="2"/>
  <c r="N51" i="2"/>
  <c r="N45" i="2"/>
  <c r="N39" i="2"/>
  <c r="N33" i="2"/>
  <c r="N27" i="2"/>
  <c r="N21" i="2"/>
  <c r="N15" i="2"/>
  <c r="N9" i="2"/>
  <c r="N3" i="2"/>
  <c r="N372" i="2"/>
  <c r="N366" i="2"/>
  <c r="N360" i="2"/>
  <c r="N354" i="2"/>
  <c r="N348" i="2"/>
  <c r="N342" i="2"/>
  <c r="N336" i="2"/>
  <c r="N330" i="2"/>
  <c r="N324" i="2"/>
  <c r="N318" i="2"/>
  <c r="N312" i="2"/>
  <c r="N306" i="2"/>
  <c r="N300" i="2"/>
  <c r="N294" i="2"/>
  <c r="N288" i="2"/>
  <c r="N282" i="2"/>
  <c r="N276" i="2"/>
  <c r="N270" i="2"/>
  <c r="N264" i="2"/>
  <c r="N258" i="2"/>
  <c r="N252" i="2"/>
  <c r="N246" i="2"/>
  <c r="N240" i="2"/>
  <c r="N234" i="2"/>
  <c r="N228" i="2"/>
  <c r="N222" i="2"/>
  <c r="N216" i="2"/>
  <c r="N210" i="2"/>
  <c r="N204" i="2"/>
  <c r="N198" i="2"/>
  <c r="N192" i="2"/>
  <c r="N186" i="2"/>
  <c r="N180" i="2"/>
  <c r="N174" i="2"/>
  <c r="N168" i="2"/>
  <c r="N162" i="2"/>
  <c r="N156" i="2"/>
  <c r="N150" i="2"/>
  <c r="N144" i="2"/>
  <c r="N138" i="2"/>
  <c r="N132" i="2"/>
  <c r="N126" i="2"/>
  <c r="N120" i="2"/>
  <c r="N114" i="2"/>
  <c r="N108" i="2"/>
  <c r="N102" i="2"/>
  <c r="N96" i="2"/>
  <c r="N90" i="2"/>
  <c r="N84" i="2"/>
  <c r="N78" i="2"/>
  <c r="N72" i="2"/>
  <c r="N66" i="2"/>
  <c r="N60" i="2"/>
  <c r="N54" i="2"/>
  <c r="N48" i="2"/>
  <c r="N42" i="2"/>
  <c r="N36" i="2"/>
  <c r="N30" i="2"/>
  <c r="N24" i="2"/>
  <c r="N18" i="2"/>
  <c r="N12" i="2"/>
  <c r="N6" i="2"/>
  <c r="N11" i="2"/>
  <c r="N20" i="2"/>
  <c r="N29" i="2"/>
  <c r="N38" i="2"/>
  <c r="N47" i="2"/>
  <c r="N56" i="2"/>
  <c r="N65" i="2"/>
  <c r="N74" i="2"/>
  <c r="N83" i="2"/>
  <c r="N92" i="2"/>
  <c r="N101" i="2"/>
  <c r="N110" i="2"/>
  <c r="N119" i="2"/>
  <c r="N128" i="2"/>
  <c r="N137" i="2"/>
  <c r="N146" i="2"/>
  <c r="N155" i="2"/>
  <c r="N164" i="2"/>
  <c r="N173" i="2"/>
  <c r="N182" i="2"/>
  <c r="N191" i="2"/>
  <c r="N200" i="2"/>
  <c r="N209" i="2"/>
  <c r="N218" i="2"/>
  <c r="N227" i="2"/>
  <c r="N236" i="2"/>
  <c r="N245" i="2"/>
  <c r="N254" i="2"/>
  <c r="N263" i="2"/>
  <c r="N272" i="2"/>
  <c r="N281" i="2"/>
  <c r="N290" i="2"/>
  <c r="N299" i="2"/>
  <c r="N308" i="2"/>
  <c r="N317" i="2"/>
  <c r="N326" i="2"/>
  <c r="N335" i="2"/>
  <c r="N344" i="2"/>
  <c r="N353" i="2"/>
  <c r="N362" i="2"/>
  <c r="N371" i="2"/>
  <c r="N373" i="2"/>
  <c r="L373" i="2"/>
  <c r="L367" i="2"/>
  <c r="L361" i="2"/>
  <c r="L355" i="2"/>
  <c r="L349" i="2"/>
  <c r="L343" i="2"/>
  <c r="L337" i="2"/>
  <c r="L331" i="2"/>
  <c r="L325" i="2"/>
  <c r="L319" i="2"/>
  <c r="L313" i="2"/>
  <c r="L307" i="2"/>
  <c r="L301" i="2"/>
  <c r="L295" i="2"/>
  <c r="L289" i="2"/>
  <c r="L283" i="2"/>
  <c r="L277" i="2"/>
  <c r="L271" i="2"/>
  <c r="L265" i="2"/>
  <c r="L259" i="2"/>
  <c r="L253" i="2"/>
  <c r="L247" i="2"/>
  <c r="L241" i="2"/>
  <c r="L235" i="2"/>
  <c r="L229" i="2"/>
  <c r="L223" i="2"/>
  <c r="L217" i="2"/>
  <c r="L211" i="2"/>
  <c r="L205" i="2"/>
  <c r="L199" i="2"/>
  <c r="L193" i="2"/>
  <c r="L187" i="2"/>
  <c r="L181" i="2"/>
  <c r="L175" i="2"/>
  <c r="L169" i="2"/>
  <c r="L163" i="2"/>
  <c r="L157" i="2"/>
  <c r="L151" i="2"/>
  <c r="L145" i="2"/>
  <c r="L139" i="2"/>
  <c r="L133" i="2"/>
  <c r="L127" i="2"/>
  <c r="L121" i="2"/>
  <c r="L115" i="2"/>
  <c r="L109" i="2"/>
  <c r="L103" i="2"/>
  <c r="L97" i="2"/>
  <c r="L91" i="2"/>
  <c r="L85" i="2"/>
  <c r="L79" i="2"/>
  <c r="L73" i="2"/>
  <c r="L67" i="2"/>
  <c r="L61" i="2"/>
  <c r="L55" i="2"/>
  <c r="L49" i="2"/>
  <c r="L43" i="2"/>
  <c r="L37" i="2"/>
  <c r="L31" i="2"/>
  <c r="L25" i="2"/>
  <c r="L19" i="2"/>
  <c r="L13" i="2"/>
  <c r="L7" i="2"/>
  <c r="L2" i="2"/>
  <c r="L9" i="2"/>
  <c r="L16" i="2"/>
  <c r="L23" i="2"/>
  <c r="L30" i="2"/>
  <c r="L38" i="2"/>
  <c r="L45" i="2"/>
  <c r="L52" i="2"/>
  <c r="L59" i="2"/>
  <c r="L66" i="2"/>
  <c r="L74" i="2"/>
  <c r="L81" i="2"/>
  <c r="L88" i="2"/>
  <c r="L95" i="2"/>
  <c r="L102" i="2"/>
  <c r="L110" i="2"/>
  <c r="L117" i="2"/>
  <c r="L124" i="2"/>
  <c r="L131" i="2"/>
  <c r="L138" i="2"/>
  <c r="L146" i="2"/>
  <c r="L153" i="2"/>
  <c r="L160" i="2"/>
  <c r="L167" i="2"/>
  <c r="L174" i="2"/>
  <c r="L182" i="2"/>
  <c r="L189" i="2"/>
  <c r="L196" i="2"/>
  <c r="L203" i="2"/>
  <c r="L210" i="2"/>
  <c r="L218" i="2"/>
  <c r="L225" i="2"/>
  <c r="L232" i="2"/>
  <c r="L239" i="2"/>
  <c r="L246" i="2"/>
  <c r="L254" i="2"/>
  <c r="L261" i="2"/>
  <c r="L268" i="2"/>
  <c r="L275" i="2"/>
  <c r="L282" i="2"/>
  <c r="L290" i="2"/>
  <c r="L297" i="2"/>
  <c r="L304" i="2"/>
  <c r="L311" i="2"/>
  <c r="L318" i="2"/>
  <c r="L326" i="2"/>
  <c r="L333" i="2"/>
  <c r="L340" i="2"/>
  <c r="L347" i="2"/>
  <c r="L354" i="2"/>
  <c r="L362" i="2"/>
  <c r="L369" i="2"/>
  <c r="N5" i="2"/>
  <c r="N14" i="2"/>
  <c r="N23" i="2"/>
  <c r="N32" i="2"/>
  <c r="N41" i="2"/>
  <c r="N50" i="2"/>
  <c r="N59" i="2"/>
  <c r="N68" i="2"/>
  <c r="N77" i="2"/>
  <c r="N86" i="2"/>
  <c r="N95" i="2"/>
  <c r="N104" i="2"/>
  <c r="N113" i="2"/>
  <c r="N122" i="2"/>
  <c r="N131" i="2"/>
  <c r="N140" i="2"/>
  <c r="N149" i="2"/>
  <c r="N158" i="2"/>
  <c r="N167" i="2"/>
  <c r="N176" i="2"/>
  <c r="N185" i="2"/>
  <c r="N194" i="2"/>
  <c r="N203" i="2"/>
  <c r="N212" i="2"/>
  <c r="N221" i="2"/>
  <c r="N230" i="2"/>
  <c r="N239" i="2"/>
  <c r="N248" i="2"/>
  <c r="N257" i="2"/>
  <c r="N266" i="2"/>
  <c r="N275" i="2"/>
  <c r="N284" i="2"/>
  <c r="N293" i="2"/>
  <c r="N302" i="2"/>
  <c r="N311" i="2"/>
  <c r="N320" i="2"/>
  <c r="N329" i="2"/>
  <c r="N338" i="2"/>
  <c r="N347" i="2"/>
  <c r="N356" i="2"/>
  <c r="N365" i="2"/>
  <c r="N374" i="2"/>
  <c r="M8" i="2"/>
  <c r="M14" i="2"/>
  <c r="M20" i="2"/>
  <c r="M26" i="2"/>
  <c r="M32" i="2"/>
  <c r="M38" i="2"/>
  <c r="M44" i="2"/>
  <c r="M50" i="2"/>
  <c r="M56" i="2"/>
  <c r="M62" i="2"/>
  <c r="M68" i="2"/>
  <c r="M74" i="2"/>
  <c r="M80" i="2"/>
  <c r="M86" i="2"/>
  <c r="M92" i="2"/>
  <c r="M98" i="2"/>
  <c r="M104" i="2"/>
  <c r="M110" i="2"/>
  <c r="M116" i="2"/>
  <c r="M122" i="2"/>
  <c r="M128" i="2"/>
  <c r="M134" i="2"/>
  <c r="M140" i="2"/>
  <c r="M146" i="2"/>
  <c r="M152" i="2"/>
  <c r="M158" i="2"/>
  <c r="M164" i="2"/>
  <c r="M170" i="2"/>
  <c r="M176" i="2"/>
  <c r="M182" i="2"/>
  <c r="M188" i="2"/>
  <c r="M194" i="2"/>
  <c r="M200" i="2"/>
  <c r="M206" i="2"/>
  <c r="M212" i="2"/>
  <c r="M218" i="2"/>
  <c r="M224" i="2"/>
  <c r="M230" i="2"/>
  <c r="M236" i="2"/>
  <c r="M242" i="2"/>
  <c r="M248" i="2"/>
  <c r="M254" i="2"/>
  <c r="M260" i="2"/>
  <c r="M266" i="2"/>
  <c r="M272" i="2"/>
  <c r="M278" i="2"/>
  <c r="M284" i="2"/>
  <c r="M290" i="2"/>
  <c r="M296" i="2"/>
  <c r="M302" i="2"/>
  <c r="M308" i="2"/>
  <c r="M314" i="2"/>
  <c r="M320" i="2"/>
  <c r="M326" i="2"/>
  <c r="M332" i="2"/>
  <c r="M338" i="2"/>
  <c r="M344" i="2"/>
  <c r="M350" i="2"/>
  <c r="M356" i="2"/>
  <c r="M362" i="2"/>
  <c r="M368" i="2"/>
  <c r="M374" i="2"/>
  <c r="O4" i="2"/>
  <c r="O10" i="2"/>
  <c r="O16" i="2"/>
  <c r="O22" i="2"/>
  <c r="O28" i="2"/>
  <c r="O34" i="2"/>
  <c r="O40" i="2"/>
  <c r="O46" i="2"/>
  <c r="O52" i="2"/>
  <c r="O58" i="2"/>
  <c r="O64" i="2"/>
  <c r="O70" i="2"/>
  <c r="O76" i="2"/>
  <c r="O82" i="2"/>
  <c r="O88" i="2"/>
  <c r="O94" i="2"/>
  <c r="O100" i="2"/>
  <c r="O106" i="2"/>
  <c r="O112" i="2"/>
  <c r="O118" i="2"/>
  <c r="O124" i="2"/>
  <c r="O130" i="2"/>
  <c r="O136" i="2"/>
  <c r="O142" i="2"/>
  <c r="O148" i="2"/>
  <c r="O154" i="2"/>
  <c r="O160" i="2"/>
  <c r="O166" i="2"/>
  <c r="O172" i="2"/>
  <c r="O178" i="2"/>
  <c r="O184" i="2"/>
  <c r="O190" i="2"/>
  <c r="O196" i="2"/>
  <c r="O202" i="2"/>
  <c r="O208" i="2"/>
  <c r="O214" i="2"/>
  <c r="O220" i="2"/>
  <c r="O226" i="2"/>
  <c r="O232" i="2"/>
  <c r="O238" i="2"/>
  <c r="O244" i="2"/>
  <c r="O250" i="2"/>
  <c r="O257" i="2"/>
  <c r="O267" i="2"/>
  <c r="O275" i="2"/>
  <c r="O285" i="2"/>
  <c r="O293" i="2"/>
  <c r="O303" i="2"/>
  <c r="O311" i="2"/>
  <c r="O321" i="2"/>
  <c r="O329" i="2"/>
  <c r="O339" i="2"/>
  <c r="O347" i="2"/>
  <c r="O357" i="2"/>
  <c r="O365" i="2"/>
  <c r="P2" i="2"/>
  <c r="P9" i="2"/>
  <c r="P19" i="2"/>
  <c r="P27" i="2"/>
  <c r="P37" i="2"/>
  <c r="P45" i="2"/>
  <c r="P55" i="2"/>
  <c r="P63" i="2"/>
  <c r="P73" i="2"/>
  <c r="P81" i="2"/>
  <c r="P91" i="2"/>
  <c r="P99" i="2"/>
  <c r="P109" i="2"/>
  <c r="P117" i="2"/>
  <c r="P127" i="2"/>
  <c r="P135" i="2"/>
  <c r="P145" i="2"/>
  <c r="P153" i="2"/>
  <c r="P163" i="2"/>
  <c r="P171" i="2"/>
  <c r="P181" i="2"/>
  <c r="P189" i="2"/>
  <c r="P199" i="2"/>
  <c r="P207" i="2"/>
  <c r="P217" i="2"/>
  <c r="P225" i="2"/>
  <c r="P235" i="2"/>
  <c r="P243" i="2"/>
  <c r="P253" i="2"/>
  <c r="P261" i="2"/>
  <c r="P271" i="2"/>
  <c r="P279" i="2"/>
  <c r="P289" i="2"/>
  <c r="P297" i="2"/>
  <c r="P307" i="2"/>
  <c r="P315" i="2"/>
  <c r="P325" i="2"/>
  <c r="P333" i="2"/>
  <c r="P343" i="2"/>
  <c r="P351" i="2"/>
  <c r="P361" i="2"/>
  <c r="P372" i="2"/>
  <c r="P366" i="2"/>
  <c r="P360" i="2"/>
  <c r="P354" i="2"/>
  <c r="P348" i="2"/>
  <c r="P342" i="2"/>
  <c r="P336" i="2"/>
  <c r="P330" i="2"/>
  <c r="P324" i="2"/>
  <c r="P318" i="2"/>
  <c r="P312" i="2"/>
  <c r="P306" i="2"/>
  <c r="P300" i="2"/>
  <c r="P294" i="2"/>
  <c r="P288" i="2"/>
  <c r="P282" i="2"/>
  <c r="P276" i="2"/>
  <c r="P270" i="2"/>
  <c r="P264" i="2"/>
  <c r="P258" i="2"/>
  <c r="P252" i="2"/>
  <c r="P246" i="2"/>
  <c r="P240" i="2"/>
  <c r="P234" i="2"/>
  <c r="P228" i="2"/>
  <c r="P222" i="2"/>
  <c r="P216" i="2"/>
  <c r="P210" i="2"/>
  <c r="P204" i="2"/>
  <c r="P198" i="2"/>
  <c r="P192" i="2"/>
  <c r="P186" i="2"/>
  <c r="P180" i="2"/>
  <c r="P174" i="2"/>
  <c r="P168" i="2"/>
  <c r="P162" i="2"/>
  <c r="P156" i="2"/>
  <c r="P150" i="2"/>
  <c r="P144" i="2"/>
  <c r="P138" i="2"/>
  <c r="P132" i="2"/>
  <c r="P126" i="2"/>
  <c r="P120" i="2"/>
  <c r="P114" i="2"/>
  <c r="P108" i="2"/>
  <c r="P102" i="2"/>
  <c r="P96" i="2"/>
  <c r="P90" i="2"/>
  <c r="P84" i="2"/>
  <c r="P78" i="2"/>
  <c r="P72" i="2"/>
  <c r="P66" i="2"/>
  <c r="P60" i="2"/>
  <c r="P54" i="2"/>
  <c r="P48" i="2"/>
  <c r="P42" i="2"/>
  <c r="P36" i="2"/>
  <c r="P30" i="2"/>
  <c r="P24" i="2"/>
  <c r="P18" i="2"/>
  <c r="P12" i="2"/>
  <c r="P6" i="2"/>
  <c r="P371" i="2"/>
  <c r="P365" i="2"/>
  <c r="P359" i="2"/>
  <c r="P353" i="2"/>
  <c r="P347" i="2"/>
  <c r="P341" i="2"/>
  <c r="P335" i="2"/>
  <c r="P329" i="2"/>
  <c r="P323" i="2"/>
  <c r="P317" i="2"/>
  <c r="P311" i="2"/>
  <c r="P305" i="2"/>
  <c r="P299" i="2"/>
  <c r="P293" i="2"/>
  <c r="P287" i="2"/>
  <c r="P281" i="2"/>
  <c r="P275" i="2"/>
  <c r="P269" i="2"/>
  <c r="P263" i="2"/>
  <c r="P257" i="2"/>
  <c r="P251" i="2"/>
  <c r="P245" i="2"/>
  <c r="P239" i="2"/>
  <c r="P233" i="2"/>
  <c r="P227" i="2"/>
  <c r="P221" i="2"/>
  <c r="P215" i="2"/>
  <c r="P209" i="2"/>
  <c r="P203" i="2"/>
  <c r="P197" i="2"/>
  <c r="P191" i="2"/>
  <c r="P185" i="2"/>
  <c r="P179" i="2"/>
  <c r="P173" i="2"/>
  <c r="P167" i="2"/>
  <c r="P161" i="2"/>
  <c r="P155" i="2"/>
  <c r="P149" i="2"/>
  <c r="P143" i="2"/>
  <c r="P137" i="2"/>
  <c r="P131" i="2"/>
  <c r="P125" i="2"/>
  <c r="P119" i="2"/>
  <c r="P113" i="2"/>
  <c r="P107" i="2"/>
  <c r="P101" i="2"/>
  <c r="P95" i="2"/>
  <c r="P89" i="2"/>
  <c r="P83" i="2"/>
  <c r="P77" i="2"/>
  <c r="P71" i="2"/>
  <c r="P65" i="2"/>
  <c r="P59" i="2"/>
  <c r="P53" i="2"/>
  <c r="P47" i="2"/>
  <c r="P41" i="2"/>
  <c r="P35" i="2"/>
  <c r="P29" i="2"/>
  <c r="P23" i="2"/>
  <c r="P17" i="2"/>
  <c r="P11" i="2"/>
  <c r="P5" i="2"/>
  <c r="P10" i="2"/>
  <c r="P20" i="2"/>
  <c r="P28" i="2"/>
  <c r="P38" i="2"/>
  <c r="P46" i="2"/>
  <c r="P56" i="2"/>
  <c r="P64" i="2"/>
  <c r="P74" i="2"/>
  <c r="P82" i="2"/>
  <c r="P92" i="2"/>
  <c r="P100" i="2"/>
  <c r="P110" i="2"/>
  <c r="P118" i="2"/>
  <c r="P128" i="2"/>
  <c r="P136" i="2"/>
  <c r="P146" i="2"/>
  <c r="P154" i="2"/>
  <c r="P164" i="2"/>
  <c r="P172" i="2"/>
  <c r="P182" i="2"/>
  <c r="P190" i="2"/>
  <c r="P200" i="2"/>
  <c r="P208" i="2"/>
  <c r="P218" i="2"/>
  <c r="P226" i="2"/>
  <c r="P236" i="2"/>
  <c r="P244" i="2"/>
  <c r="P254" i="2"/>
  <c r="P262" i="2"/>
  <c r="P272" i="2"/>
  <c r="P280" i="2"/>
  <c r="P290" i="2"/>
  <c r="P298" i="2"/>
  <c r="P308" i="2"/>
  <c r="P316" i="2"/>
  <c r="P326" i="2"/>
  <c r="P334" i="2"/>
  <c r="P344" i="2"/>
  <c r="P352" i="2"/>
  <c r="P362" i="2"/>
  <c r="P370" i="2"/>
  <c r="M5" i="2"/>
  <c r="M11" i="2"/>
  <c r="M17" i="2"/>
  <c r="M23" i="2"/>
  <c r="M29" i="2"/>
  <c r="M35" i="2"/>
  <c r="M41" i="2"/>
  <c r="M47" i="2"/>
  <c r="M53" i="2"/>
  <c r="M59" i="2"/>
  <c r="M65" i="2"/>
  <c r="M71" i="2"/>
  <c r="M77" i="2"/>
  <c r="M83" i="2"/>
  <c r="M89" i="2"/>
  <c r="M95" i="2"/>
  <c r="M101" i="2"/>
  <c r="M107" i="2"/>
  <c r="M113" i="2"/>
  <c r="M119" i="2"/>
  <c r="M125" i="2"/>
  <c r="M131" i="2"/>
  <c r="M137" i="2"/>
  <c r="M143" i="2"/>
  <c r="M149" i="2"/>
  <c r="M155" i="2"/>
  <c r="M161" i="2"/>
  <c r="M167" i="2"/>
  <c r="M173" i="2"/>
  <c r="M179" i="2"/>
  <c r="M185" i="2"/>
  <c r="M191" i="2"/>
  <c r="M197" i="2"/>
  <c r="M203" i="2"/>
  <c r="M209" i="2"/>
  <c r="M215" i="2"/>
  <c r="M221" i="2"/>
  <c r="M227" i="2"/>
  <c r="M233" i="2"/>
  <c r="M239" i="2"/>
  <c r="M245" i="2"/>
  <c r="M251" i="2"/>
  <c r="M257" i="2"/>
  <c r="M263" i="2"/>
  <c r="M269" i="2"/>
  <c r="M275" i="2"/>
  <c r="M281" i="2"/>
  <c r="M287" i="2"/>
  <c r="M293" i="2"/>
  <c r="M299" i="2"/>
  <c r="M305" i="2"/>
  <c r="M311" i="2"/>
  <c r="M317" i="2"/>
  <c r="M323" i="2"/>
  <c r="M329" i="2"/>
  <c r="M335" i="2"/>
  <c r="M341" i="2"/>
  <c r="M347" i="2"/>
  <c r="M353" i="2"/>
  <c r="M359" i="2"/>
  <c r="M365" i="2"/>
  <c r="O2" i="2"/>
  <c r="O7" i="2"/>
  <c r="O13" i="2"/>
  <c r="O19" i="2"/>
  <c r="O25" i="2"/>
  <c r="O31" i="2"/>
  <c r="O37" i="2"/>
  <c r="O43" i="2"/>
  <c r="O49" i="2"/>
  <c r="O55" i="2"/>
  <c r="O61" i="2"/>
  <c r="O67" i="2"/>
  <c r="O73" i="2"/>
  <c r="O79" i="2"/>
  <c r="O85" i="2"/>
  <c r="O91" i="2"/>
  <c r="O97" i="2"/>
  <c r="O103" i="2"/>
  <c r="O109" i="2"/>
  <c r="O115" i="2"/>
  <c r="O121" i="2"/>
  <c r="O127" i="2"/>
  <c r="O133" i="2"/>
  <c r="O139" i="2"/>
  <c r="O145" i="2"/>
  <c r="O151" i="2"/>
  <c r="O157" i="2"/>
  <c r="O163" i="2"/>
  <c r="O169" i="2"/>
  <c r="O175" i="2"/>
  <c r="O181" i="2"/>
  <c r="O187" i="2"/>
  <c r="O193" i="2"/>
  <c r="O199" i="2"/>
  <c r="O205" i="2"/>
  <c r="O211" i="2"/>
  <c r="O217" i="2"/>
  <c r="O223" i="2"/>
  <c r="O229" i="2"/>
  <c r="O235" i="2"/>
  <c r="O241" i="2"/>
  <c r="O247" i="2"/>
  <c r="O253" i="2"/>
  <c r="O262" i="2"/>
  <c r="O270" i="2"/>
  <c r="O280" i="2"/>
  <c r="O288" i="2"/>
  <c r="O298" i="2"/>
  <c r="O306" i="2"/>
  <c r="O316" i="2"/>
  <c r="O324" i="2"/>
  <c r="O334" i="2"/>
  <c r="O342" i="2"/>
  <c r="O352" i="2"/>
  <c r="O360" i="2"/>
  <c r="P4" i="2"/>
  <c r="P14" i="2"/>
  <c r="P22" i="2"/>
  <c r="P32" i="2"/>
  <c r="P40" i="2"/>
  <c r="P50" i="2"/>
  <c r="P58" i="2"/>
  <c r="P68" i="2"/>
  <c r="P76" i="2"/>
  <c r="P86" i="2"/>
  <c r="P94" i="2"/>
  <c r="P104" i="2"/>
  <c r="P112" i="2"/>
  <c r="P122" i="2"/>
  <c r="P130" i="2"/>
  <c r="P140" i="2"/>
  <c r="P148" i="2"/>
  <c r="P158" i="2"/>
  <c r="P166" i="2"/>
  <c r="P176" i="2"/>
  <c r="P184" i="2"/>
  <c r="P194" i="2"/>
  <c r="P202" i="2"/>
  <c r="P212" i="2"/>
  <c r="P220" i="2"/>
  <c r="P230" i="2"/>
  <c r="P238" i="2"/>
  <c r="P248" i="2"/>
  <c r="P256" i="2"/>
  <c r="P266" i="2"/>
  <c r="P274" i="2"/>
  <c r="P284" i="2"/>
  <c r="P292" i="2"/>
  <c r="P302" i="2"/>
  <c r="P310" i="2"/>
  <c r="P320" i="2"/>
  <c r="P328" i="2"/>
  <c r="P338" i="2"/>
  <c r="P346" i="2"/>
  <c r="P356" i="2"/>
  <c r="P364" i="2"/>
  <c r="P374" i="2"/>
  <c r="O374" i="2"/>
  <c r="O368" i="2"/>
  <c r="O362" i="2"/>
  <c r="O356" i="2"/>
  <c r="O350" i="2"/>
  <c r="O344" i="2"/>
  <c r="O338" i="2"/>
  <c r="O332" i="2"/>
  <c r="O326" i="2"/>
  <c r="O320" i="2"/>
  <c r="O314" i="2"/>
  <c r="O308" i="2"/>
  <c r="O302" i="2"/>
  <c r="O296" i="2"/>
  <c r="O290" i="2"/>
  <c r="O284" i="2"/>
  <c r="O278" i="2"/>
  <c r="O272" i="2"/>
  <c r="O266" i="2"/>
  <c r="O260" i="2"/>
  <c r="O254" i="2"/>
  <c r="O373" i="2"/>
  <c r="O367" i="2"/>
  <c r="O361" i="2"/>
  <c r="O355" i="2"/>
  <c r="O349" i="2"/>
  <c r="O343" i="2"/>
  <c r="O337" i="2"/>
  <c r="O331" i="2"/>
  <c r="O325" i="2"/>
  <c r="O319" i="2"/>
  <c r="O313" i="2"/>
  <c r="O307" i="2"/>
  <c r="O301" i="2"/>
  <c r="O295" i="2"/>
  <c r="O289" i="2"/>
  <c r="O283" i="2"/>
  <c r="O277" i="2"/>
  <c r="O271" i="2"/>
  <c r="O265" i="2"/>
  <c r="O259" i="2"/>
  <c r="O8" i="2"/>
  <c r="O14" i="2"/>
  <c r="O20" i="2"/>
  <c r="O26" i="2"/>
  <c r="O32" i="2"/>
  <c r="O38" i="2"/>
  <c r="O44" i="2"/>
  <c r="O50" i="2"/>
  <c r="O56" i="2"/>
  <c r="O62" i="2"/>
  <c r="O68" i="2"/>
  <c r="O74" i="2"/>
  <c r="O80" i="2"/>
  <c r="O86" i="2"/>
  <c r="O92" i="2"/>
  <c r="O98" i="2"/>
  <c r="O104" i="2"/>
  <c r="O110" i="2"/>
  <c r="O116" i="2"/>
  <c r="O122" i="2"/>
  <c r="O128" i="2"/>
  <c r="O134" i="2"/>
  <c r="O140" i="2"/>
  <c r="O146" i="2"/>
  <c r="O152" i="2"/>
  <c r="O158" i="2"/>
  <c r="O164" i="2"/>
  <c r="O170" i="2"/>
  <c r="O176" i="2"/>
  <c r="O182" i="2"/>
  <c r="O188" i="2"/>
  <c r="O194" i="2"/>
  <c r="O200" i="2"/>
  <c r="O206" i="2"/>
  <c r="O212" i="2"/>
  <c r="O218" i="2"/>
  <c r="O224" i="2"/>
  <c r="O230" i="2"/>
  <c r="O236" i="2"/>
  <c r="O242" i="2"/>
  <c r="O248" i="2"/>
  <c r="O255" i="2"/>
  <c r="O263" i="2"/>
  <c r="O273" i="2"/>
  <c r="O281" i="2"/>
  <c r="O291" i="2"/>
  <c r="O299" i="2"/>
  <c r="O309" i="2"/>
  <c r="O317" i="2"/>
  <c r="O327" i="2"/>
  <c r="O335" i="2"/>
  <c r="O345" i="2"/>
  <c r="O353" i="2"/>
  <c r="O363" i="2"/>
  <c r="O371" i="2"/>
  <c r="P7" i="2"/>
  <c r="P15" i="2"/>
  <c r="P25" i="2"/>
  <c r="P33" i="2"/>
  <c r="P43" i="2"/>
  <c r="P51" i="2"/>
  <c r="P61" i="2"/>
  <c r="P69" i="2"/>
  <c r="P79" i="2"/>
  <c r="P87" i="2"/>
  <c r="P97" i="2"/>
  <c r="P105" i="2"/>
  <c r="P115" i="2"/>
  <c r="P123" i="2"/>
  <c r="P133" i="2"/>
  <c r="P141" i="2"/>
  <c r="P151" i="2"/>
  <c r="P159" i="2"/>
  <c r="P169" i="2"/>
  <c r="P177" i="2"/>
  <c r="P187" i="2"/>
  <c r="P195" i="2"/>
  <c r="P205" i="2"/>
  <c r="P213" i="2"/>
  <c r="P223" i="2"/>
  <c r="P231" i="2"/>
  <c r="P241" i="2"/>
  <c r="P249" i="2"/>
  <c r="P259" i="2"/>
  <c r="P267" i="2"/>
  <c r="P277" i="2"/>
  <c r="P285" i="2"/>
  <c r="P295" i="2"/>
  <c r="P303" i="2"/>
  <c r="P313" i="2"/>
  <c r="P321" i="2"/>
  <c r="P331" i="2"/>
  <c r="P339" i="2"/>
  <c r="P349" i="2"/>
  <c r="P357" i="2"/>
  <c r="P367" i="2"/>
  <c r="Q8" i="2"/>
  <c r="Q14" i="2"/>
  <c r="Q20" i="2"/>
  <c r="Q26" i="2"/>
  <c r="Q32" i="2"/>
  <c r="Q38" i="2"/>
  <c r="Q44" i="2"/>
  <c r="Q50" i="2"/>
  <c r="Q56" i="2"/>
  <c r="Q62" i="2"/>
  <c r="Q68" i="2"/>
  <c r="Q74" i="2"/>
  <c r="Q80" i="2"/>
  <c r="Q86" i="2"/>
  <c r="Q92" i="2"/>
  <c r="Q98" i="2"/>
  <c r="Q104" i="2"/>
  <c r="Q110" i="2"/>
  <c r="Q116" i="2"/>
  <c r="Q122" i="2"/>
  <c r="Q128" i="2"/>
  <c r="Q134" i="2"/>
  <c r="Q140" i="2"/>
  <c r="Q146" i="2"/>
  <c r="Q152" i="2"/>
  <c r="Q158" i="2"/>
  <c r="Q164" i="2"/>
  <c r="Q170" i="2"/>
  <c r="Q176" i="2"/>
  <c r="Q182" i="2"/>
  <c r="Q188" i="2"/>
  <c r="Q194" i="2"/>
  <c r="Q200" i="2"/>
  <c r="Q206" i="2"/>
  <c r="Q212" i="2"/>
  <c r="Q218" i="2"/>
  <c r="Q224" i="2"/>
  <c r="Q230" i="2"/>
  <c r="Q236" i="2"/>
  <c r="Q242" i="2"/>
  <c r="Q248" i="2"/>
  <c r="Q254" i="2"/>
  <c r="Q260" i="2"/>
  <c r="Q266" i="2"/>
  <c r="Q272" i="2"/>
  <c r="Q278" i="2"/>
  <c r="Q284" i="2"/>
  <c r="Q290" i="2"/>
  <c r="Q296" i="2"/>
  <c r="Q302" i="2"/>
  <c r="Q308" i="2"/>
  <c r="Q314" i="2"/>
  <c r="Q320" i="2"/>
  <c r="Q326" i="2"/>
  <c r="Q332" i="2"/>
  <c r="Q338" i="2"/>
  <c r="Q344" i="2"/>
  <c r="Q350" i="2"/>
  <c r="Q356" i="2"/>
  <c r="Q362" i="2"/>
  <c r="Q368" i="2"/>
  <c r="Q374" i="2"/>
  <c r="S8" i="2"/>
  <c r="S20" i="2"/>
  <c r="S32" i="2"/>
  <c r="S44" i="2"/>
  <c r="S56" i="2"/>
  <c r="S70" i="2"/>
  <c r="S85" i="2"/>
  <c r="S99" i="2"/>
  <c r="S114" i="2"/>
  <c r="S128" i="2"/>
  <c r="S142" i="2"/>
  <c r="S157" i="2"/>
  <c r="S171" i="2"/>
  <c r="S186" i="2"/>
  <c r="S200" i="2"/>
  <c r="S214" i="2"/>
  <c r="S229" i="2"/>
  <c r="S243" i="2"/>
  <c r="S258" i="2"/>
  <c r="S272" i="2"/>
  <c r="S286" i="2"/>
  <c r="S301" i="2"/>
  <c r="S315" i="2"/>
  <c r="S330" i="2"/>
  <c r="S344" i="2"/>
  <c r="S358" i="2"/>
  <c r="S373" i="2"/>
  <c r="Q3" i="2"/>
  <c r="Q9" i="2"/>
  <c r="Q15" i="2"/>
  <c r="Q21" i="2"/>
  <c r="Q27" i="2"/>
  <c r="Q33" i="2"/>
  <c r="Q39" i="2"/>
  <c r="Q45" i="2"/>
  <c r="Q51" i="2"/>
  <c r="Q57" i="2"/>
  <c r="Q63" i="2"/>
  <c r="Q69" i="2"/>
  <c r="Q75" i="2"/>
  <c r="Q81" i="2"/>
  <c r="Q87" i="2"/>
  <c r="Q93" i="2"/>
  <c r="Q99" i="2"/>
  <c r="Q105" i="2"/>
  <c r="Q111" i="2"/>
  <c r="Q117" i="2"/>
  <c r="Q123" i="2"/>
  <c r="Q129" i="2"/>
  <c r="Q135" i="2"/>
  <c r="Q141" i="2"/>
  <c r="Q147" i="2"/>
  <c r="Q153" i="2"/>
  <c r="Q159" i="2"/>
  <c r="Q165" i="2"/>
  <c r="Q171" i="2"/>
  <c r="Q177" i="2"/>
  <c r="Q183" i="2"/>
  <c r="Q189" i="2"/>
  <c r="Q195" i="2"/>
  <c r="Q201" i="2"/>
  <c r="Q207" i="2"/>
  <c r="Q213" i="2"/>
  <c r="Q219" i="2"/>
  <c r="Q225" i="2"/>
  <c r="Q231" i="2"/>
  <c r="Q237" i="2"/>
  <c r="Q243" i="2"/>
  <c r="Q249" i="2"/>
  <c r="Q255" i="2"/>
  <c r="Q261" i="2"/>
  <c r="Q267" i="2"/>
  <c r="Q273" i="2"/>
  <c r="Q279" i="2"/>
  <c r="Q285" i="2"/>
  <c r="Q291" i="2"/>
  <c r="Q297" i="2"/>
  <c r="Q303" i="2"/>
  <c r="Q309" i="2"/>
  <c r="Q315" i="2"/>
  <c r="Q321" i="2"/>
  <c r="Q327" i="2"/>
  <c r="Q333" i="2"/>
  <c r="Q339" i="2"/>
  <c r="Q345" i="2"/>
  <c r="Q351" i="2"/>
  <c r="Q357" i="2"/>
  <c r="Q363" i="2"/>
  <c r="Q369" i="2"/>
  <c r="S10" i="2"/>
  <c r="S22" i="2"/>
  <c r="S34" i="2"/>
  <c r="S46" i="2"/>
  <c r="S58" i="2"/>
  <c r="S73" i="2"/>
  <c r="S87" i="2"/>
  <c r="S102" i="2"/>
  <c r="S116" i="2"/>
  <c r="S130" i="2"/>
  <c r="S145" i="2"/>
  <c r="S159" i="2"/>
  <c r="S174" i="2"/>
  <c r="S188" i="2"/>
  <c r="S202" i="2"/>
  <c r="S217" i="2"/>
  <c r="S231" i="2"/>
  <c r="S246" i="2"/>
  <c r="S260" i="2"/>
  <c r="S274" i="2"/>
  <c r="S289" i="2"/>
  <c r="S303" i="2"/>
  <c r="S318" i="2"/>
  <c r="S332" i="2"/>
  <c r="S346" i="2"/>
  <c r="S361" i="2"/>
  <c r="Q4" i="2"/>
  <c r="Q10" i="2"/>
  <c r="Q16" i="2"/>
  <c r="Q22" i="2"/>
  <c r="Q28" i="2"/>
  <c r="Q34" i="2"/>
  <c r="Q40" i="2"/>
  <c r="Q46" i="2"/>
  <c r="Q52" i="2"/>
  <c r="Q58" i="2"/>
  <c r="Q64" i="2"/>
  <c r="Q70" i="2"/>
  <c r="Q76" i="2"/>
  <c r="Q82" i="2"/>
  <c r="Q88" i="2"/>
  <c r="Q94" i="2"/>
  <c r="Q100" i="2"/>
  <c r="Q106" i="2"/>
  <c r="Q112" i="2"/>
  <c r="Q118" i="2"/>
  <c r="Q124" i="2"/>
  <c r="Q130" i="2"/>
  <c r="Q136" i="2"/>
  <c r="Q142" i="2"/>
  <c r="Q148" i="2"/>
  <c r="Q154" i="2"/>
  <c r="Q160" i="2"/>
  <c r="Q166" i="2"/>
  <c r="Q172" i="2"/>
  <c r="Q178" i="2"/>
  <c r="Q184" i="2"/>
  <c r="Q190" i="2"/>
  <c r="Q196" i="2"/>
  <c r="Q202" i="2"/>
  <c r="Q208" i="2"/>
  <c r="Q214" i="2"/>
  <c r="Q220" i="2"/>
  <c r="Q226" i="2"/>
  <c r="Q232" i="2"/>
  <c r="Q238" i="2"/>
  <c r="Q244" i="2"/>
  <c r="Q250" i="2"/>
  <c r="Q256" i="2"/>
  <c r="Q262" i="2"/>
  <c r="Q268" i="2"/>
  <c r="Q274" i="2"/>
  <c r="Q280" i="2"/>
  <c r="Q286" i="2"/>
  <c r="Q292" i="2"/>
  <c r="Q298" i="2"/>
  <c r="Q304" i="2"/>
  <c r="Q310" i="2"/>
  <c r="Q316" i="2"/>
  <c r="Q322" i="2"/>
  <c r="Q328" i="2"/>
  <c r="Q334" i="2"/>
  <c r="Q340" i="2"/>
  <c r="Q346" i="2"/>
  <c r="Q352" i="2"/>
  <c r="Q358" i="2"/>
  <c r="Q364" i="2"/>
  <c r="S2" i="2"/>
  <c r="S13" i="2"/>
  <c r="S25" i="2"/>
  <c r="S37" i="2"/>
  <c r="S49" i="2"/>
  <c r="S62" i="2"/>
  <c r="S76" i="2"/>
  <c r="S91" i="2"/>
  <c r="S105" i="2"/>
  <c r="S120" i="2"/>
  <c r="S134" i="2"/>
  <c r="S148" i="2"/>
  <c r="S163" i="2"/>
  <c r="S177" i="2"/>
  <c r="S192" i="2"/>
  <c r="S206" i="2"/>
  <c r="S220" i="2"/>
  <c r="S235" i="2"/>
  <c r="S249" i="2"/>
  <c r="S264" i="2"/>
  <c r="S278" i="2"/>
  <c r="S292" i="2"/>
  <c r="S307" i="2"/>
  <c r="S321" i="2"/>
  <c r="S336" i="2"/>
  <c r="S350" i="2"/>
  <c r="S371" i="2"/>
  <c r="S365" i="2"/>
  <c r="S359" i="2"/>
  <c r="S353" i="2"/>
  <c r="S347" i="2"/>
  <c r="S341" i="2"/>
  <c r="S335" i="2"/>
  <c r="S329" i="2"/>
  <c r="S323" i="2"/>
  <c r="S317" i="2"/>
  <c r="S311" i="2"/>
  <c r="S305" i="2"/>
  <c r="S299" i="2"/>
  <c r="S293" i="2"/>
  <c r="S287" i="2"/>
  <c r="S281" i="2"/>
  <c r="S275" i="2"/>
  <c r="S269" i="2"/>
  <c r="S263" i="2"/>
  <c r="S257" i="2"/>
  <c r="S251" i="2"/>
  <c r="S245" i="2"/>
  <c r="S239" i="2"/>
  <c r="S233" i="2"/>
  <c r="S227" i="2"/>
  <c r="S221" i="2"/>
  <c r="S215" i="2"/>
  <c r="S209" i="2"/>
  <c r="S203" i="2"/>
  <c r="S197" i="2"/>
  <c r="S191" i="2"/>
  <c r="S185" i="2"/>
  <c r="S179" i="2"/>
  <c r="S173" i="2"/>
  <c r="S167" i="2"/>
  <c r="S161" i="2"/>
  <c r="S155" i="2"/>
  <c r="S149" i="2"/>
  <c r="S143" i="2"/>
  <c r="S137" i="2"/>
  <c r="S131" i="2"/>
  <c r="S125" i="2"/>
  <c r="S119" i="2"/>
  <c r="S113" i="2"/>
  <c r="S107" i="2"/>
  <c r="S101" i="2"/>
  <c r="S95" i="2"/>
  <c r="S89" i="2"/>
  <c r="S83" i="2"/>
  <c r="S77" i="2"/>
  <c r="S71" i="2"/>
  <c r="S65" i="2"/>
  <c r="S59" i="2"/>
  <c r="S370" i="2"/>
  <c r="S363" i="2"/>
  <c r="S356" i="2"/>
  <c r="S349" i="2"/>
  <c r="S342" i="2"/>
  <c r="S334" i="2"/>
  <c r="S327" i="2"/>
  <c r="S320" i="2"/>
  <c r="S313" i="2"/>
  <c r="S306" i="2"/>
  <c r="S298" i="2"/>
  <c r="S291" i="2"/>
  <c r="S284" i="2"/>
  <c r="S277" i="2"/>
  <c r="S270" i="2"/>
  <c r="S262" i="2"/>
  <c r="S255" i="2"/>
  <c r="S248" i="2"/>
  <c r="S241" i="2"/>
  <c r="S234" i="2"/>
  <c r="S226" i="2"/>
  <c r="S219" i="2"/>
  <c r="S212" i="2"/>
  <c r="S205" i="2"/>
  <c r="S198" i="2"/>
  <c r="S190" i="2"/>
  <c r="S183" i="2"/>
  <c r="S176" i="2"/>
  <c r="S169" i="2"/>
  <c r="S162" i="2"/>
  <c r="S154" i="2"/>
  <c r="S147" i="2"/>
  <c r="S140" i="2"/>
  <c r="S133" i="2"/>
  <c r="S126" i="2"/>
  <c r="S118" i="2"/>
  <c r="S111" i="2"/>
  <c r="S104" i="2"/>
  <c r="S97" i="2"/>
  <c r="S90" i="2"/>
  <c r="S82" i="2"/>
  <c r="S75" i="2"/>
  <c r="S68" i="2"/>
  <c r="S61" i="2"/>
  <c r="S54" i="2"/>
  <c r="S48" i="2"/>
  <c r="S42" i="2"/>
  <c r="S36" i="2"/>
  <c r="S30" i="2"/>
  <c r="S24" i="2"/>
  <c r="S18" i="2"/>
  <c r="S12" i="2"/>
  <c r="S6" i="2"/>
  <c r="S369" i="2"/>
  <c r="S362" i="2"/>
  <c r="S355" i="2"/>
  <c r="S348" i="2"/>
  <c r="S340" i="2"/>
  <c r="S333" i="2"/>
  <c r="S326" i="2"/>
  <c r="S319" i="2"/>
  <c r="S312" i="2"/>
  <c r="S304" i="2"/>
  <c r="S297" i="2"/>
  <c r="S290" i="2"/>
  <c r="S283" i="2"/>
  <c r="S276" i="2"/>
  <c r="S268" i="2"/>
  <c r="S261" i="2"/>
  <c r="S254" i="2"/>
  <c r="S247" i="2"/>
  <c r="S240" i="2"/>
  <c r="S232" i="2"/>
  <c r="S225" i="2"/>
  <c r="S218" i="2"/>
  <c r="S211" i="2"/>
  <c r="S204" i="2"/>
  <c r="S196" i="2"/>
  <c r="S189" i="2"/>
  <c r="S182" i="2"/>
  <c r="S175" i="2"/>
  <c r="S168" i="2"/>
  <c r="S160" i="2"/>
  <c r="S153" i="2"/>
  <c r="S146" i="2"/>
  <c r="S139" i="2"/>
  <c r="S132" i="2"/>
  <c r="S124" i="2"/>
  <c r="S117" i="2"/>
  <c r="S110" i="2"/>
  <c r="S103" i="2"/>
  <c r="S96" i="2"/>
  <c r="S88" i="2"/>
  <c r="S81" i="2"/>
  <c r="S74" i="2"/>
  <c r="S67" i="2"/>
  <c r="S60" i="2"/>
  <c r="S53" i="2"/>
  <c r="S47" i="2"/>
  <c r="S41" i="2"/>
  <c r="S35" i="2"/>
  <c r="S29" i="2"/>
  <c r="S23" i="2"/>
  <c r="S17" i="2"/>
  <c r="S11" i="2"/>
  <c r="S5" i="2"/>
  <c r="S374" i="2"/>
  <c r="S367" i="2"/>
  <c r="S360" i="2"/>
  <c r="S352" i="2"/>
  <c r="S345" i="2"/>
  <c r="S338" i="2"/>
  <c r="S331" i="2"/>
  <c r="S324" i="2"/>
  <c r="S316" i="2"/>
  <c r="S309" i="2"/>
  <c r="S302" i="2"/>
  <c r="S295" i="2"/>
  <c r="S288" i="2"/>
  <c r="S280" i="2"/>
  <c r="S273" i="2"/>
  <c r="S266" i="2"/>
  <c r="S259" i="2"/>
  <c r="S252" i="2"/>
  <c r="S244" i="2"/>
  <c r="S237" i="2"/>
  <c r="S230" i="2"/>
  <c r="S223" i="2"/>
  <c r="S216" i="2"/>
  <c r="S208" i="2"/>
  <c r="S201" i="2"/>
  <c r="S194" i="2"/>
  <c r="S187" i="2"/>
  <c r="S180" i="2"/>
  <c r="S172" i="2"/>
  <c r="S165" i="2"/>
  <c r="S158" i="2"/>
  <c r="S151" i="2"/>
  <c r="S144" i="2"/>
  <c r="S136" i="2"/>
  <c r="S129" i="2"/>
  <c r="S122" i="2"/>
  <c r="S115" i="2"/>
  <c r="S108" i="2"/>
  <c r="S100" i="2"/>
  <c r="S93" i="2"/>
  <c r="S86" i="2"/>
  <c r="S79" i="2"/>
  <c r="S72" i="2"/>
  <c r="S64" i="2"/>
  <c r="S57" i="2"/>
  <c r="S51" i="2"/>
  <c r="S45" i="2"/>
  <c r="S39" i="2"/>
  <c r="S33" i="2"/>
  <c r="S27" i="2"/>
  <c r="S21" i="2"/>
  <c r="S15" i="2"/>
  <c r="S9" i="2"/>
  <c r="S3" i="2"/>
  <c r="S14" i="2"/>
  <c r="S26" i="2"/>
  <c r="S38" i="2"/>
  <c r="S50" i="2"/>
  <c r="S63" i="2"/>
  <c r="S78" i="2"/>
  <c r="S92" i="2"/>
  <c r="S106" i="2"/>
  <c r="S121" i="2"/>
  <c r="S135" i="2"/>
  <c r="S150" i="2"/>
  <c r="S164" i="2"/>
  <c r="S178" i="2"/>
  <c r="S193" i="2"/>
  <c r="S207" i="2"/>
  <c r="S222" i="2"/>
  <c r="S236" i="2"/>
  <c r="S250" i="2"/>
  <c r="S265" i="2"/>
  <c r="S279" i="2"/>
  <c r="S294" i="2"/>
  <c r="S308" i="2"/>
  <c r="S322" i="2"/>
  <c r="S337" i="2"/>
  <c r="S351" i="2"/>
  <c r="S366" i="2"/>
  <c r="Z368" i="2"/>
  <c r="Z362" i="2"/>
  <c r="Z356" i="2"/>
  <c r="Z350" i="2"/>
  <c r="Z344" i="2"/>
  <c r="Z338" i="2"/>
  <c r="Z332" i="2"/>
  <c r="Z326" i="2"/>
  <c r="Z320" i="2"/>
  <c r="Z314" i="2"/>
  <c r="Z308" i="2"/>
  <c r="Z302" i="2"/>
  <c r="Z296" i="2"/>
  <c r="Z290" i="2"/>
  <c r="Z284" i="2"/>
  <c r="Z278" i="2"/>
  <c r="Z272" i="2"/>
  <c r="Z266" i="2"/>
  <c r="Z260" i="2"/>
  <c r="Z254" i="2"/>
  <c r="Z248" i="2"/>
  <c r="Z242" i="2"/>
  <c r="Z236" i="2"/>
  <c r="Z230" i="2"/>
  <c r="Z224" i="2"/>
  <c r="Z218" i="2"/>
  <c r="Z212" i="2"/>
  <c r="Z206" i="2"/>
  <c r="Z200" i="2"/>
  <c r="Z194" i="2"/>
  <c r="Z188" i="2"/>
  <c r="Z182" i="2"/>
  <c r="Z176" i="2"/>
  <c r="Z170" i="2"/>
  <c r="Z164" i="2"/>
  <c r="Z158" i="2"/>
  <c r="Z152" i="2"/>
  <c r="Z146" i="2"/>
  <c r="Z140" i="2"/>
  <c r="Z134" i="2"/>
  <c r="Z128" i="2"/>
  <c r="Z122" i="2"/>
  <c r="Z116" i="2"/>
  <c r="Z110" i="2"/>
  <c r="Z104" i="2"/>
  <c r="Z98" i="2"/>
  <c r="Z92" i="2"/>
  <c r="Z86" i="2"/>
  <c r="Z80" i="2"/>
  <c r="Z74" i="2"/>
  <c r="Z68" i="2"/>
  <c r="Z62" i="2"/>
  <c r="Z56" i="2"/>
  <c r="Z50" i="2"/>
  <c r="Z44" i="2"/>
  <c r="Z38" i="2"/>
  <c r="Z32" i="2"/>
  <c r="Z26" i="2"/>
  <c r="Z20" i="2"/>
  <c r="Z14" i="2"/>
  <c r="Z8" i="2"/>
  <c r="Z372" i="2"/>
  <c r="Z366" i="2"/>
  <c r="Z360" i="2"/>
  <c r="Z354" i="2"/>
  <c r="Z348" i="2"/>
  <c r="Z342" i="2"/>
  <c r="Z336" i="2"/>
  <c r="Z330" i="2"/>
  <c r="Z324" i="2"/>
  <c r="Z318" i="2"/>
  <c r="Z312" i="2"/>
  <c r="Z306" i="2"/>
  <c r="Z300" i="2"/>
  <c r="Z294" i="2"/>
  <c r="Z288" i="2"/>
  <c r="Z282" i="2"/>
  <c r="Z276" i="2"/>
  <c r="Z270" i="2"/>
  <c r="Z264" i="2"/>
  <c r="Z258" i="2"/>
  <c r="Z252" i="2"/>
  <c r="Z246" i="2"/>
  <c r="Z240" i="2"/>
  <c r="Z234" i="2"/>
  <c r="Z228" i="2"/>
  <c r="Z222" i="2"/>
  <c r="Z216" i="2"/>
  <c r="Z210" i="2"/>
  <c r="Z204" i="2"/>
  <c r="Z198" i="2"/>
  <c r="Z192" i="2"/>
  <c r="Z371" i="2"/>
  <c r="Z365" i="2"/>
  <c r="Z359" i="2"/>
  <c r="Z353" i="2"/>
  <c r="Z347" i="2"/>
  <c r="Z341" i="2"/>
  <c r="Z335" i="2"/>
  <c r="Z329" i="2"/>
  <c r="Z323" i="2"/>
  <c r="Z317" i="2"/>
  <c r="Z311" i="2"/>
  <c r="Z305" i="2"/>
  <c r="Z299" i="2"/>
  <c r="Z293" i="2"/>
  <c r="Z287" i="2"/>
  <c r="Z281" i="2"/>
  <c r="Z275" i="2"/>
  <c r="Z269" i="2"/>
  <c r="Z263" i="2"/>
  <c r="Z257" i="2"/>
  <c r="Z251" i="2"/>
  <c r="Z245" i="2"/>
  <c r="Z239" i="2"/>
  <c r="Z233" i="2"/>
  <c r="Z227" i="2"/>
  <c r="Z221" i="2"/>
  <c r="Z215" i="2"/>
  <c r="Z209" i="2"/>
  <c r="Z203" i="2"/>
  <c r="Z197" i="2"/>
  <c r="Z191" i="2"/>
  <c r="Z185" i="2"/>
  <c r="Z179" i="2"/>
  <c r="Z173" i="2"/>
  <c r="Z167" i="2"/>
  <c r="Z161" i="2"/>
  <c r="Z155" i="2"/>
  <c r="Z149" i="2"/>
  <c r="Z143" i="2"/>
  <c r="Z137" i="2"/>
  <c r="Z131" i="2"/>
  <c r="Z125" i="2"/>
  <c r="Z119" i="2"/>
  <c r="Z113" i="2"/>
  <c r="Z107" i="2"/>
  <c r="Z370" i="2"/>
  <c r="Z358" i="2"/>
  <c r="Z346" i="2"/>
  <c r="Z334" i="2"/>
  <c r="Z322" i="2"/>
  <c r="Z310" i="2"/>
  <c r="Z298" i="2"/>
  <c r="Z286" i="2"/>
  <c r="Z274" i="2"/>
  <c r="Z262" i="2"/>
  <c r="Z250" i="2"/>
  <c r="Z238" i="2"/>
  <c r="Z226" i="2"/>
  <c r="Z214" i="2"/>
  <c r="Z202" i="2"/>
  <c r="Z190" i="2"/>
  <c r="Z181" i="2"/>
  <c r="Z172" i="2"/>
  <c r="Z163" i="2"/>
  <c r="Z154" i="2"/>
  <c r="Z145" i="2"/>
  <c r="Z136" i="2"/>
  <c r="Z127" i="2"/>
  <c r="Z118" i="2"/>
  <c r="Z109" i="2"/>
  <c r="Z101" i="2"/>
  <c r="Z94" i="2"/>
  <c r="Z87" i="2"/>
  <c r="Z79" i="2"/>
  <c r="Z72" i="2"/>
  <c r="Z65" i="2"/>
  <c r="Z58" i="2"/>
  <c r="Z51" i="2"/>
  <c r="Z43" i="2"/>
  <c r="Z36" i="2"/>
  <c r="Z29" i="2"/>
  <c r="Z22" i="2"/>
  <c r="Z15" i="2"/>
  <c r="Z7" i="2"/>
  <c r="Z2" i="2"/>
  <c r="Z369" i="2"/>
  <c r="Z357" i="2"/>
  <c r="Z345" i="2"/>
  <c r="Z333" i="2"/>
  <c r="Z321" i="2"/>
  <c r="Z309" i="2"/>
  <c r="Z297" i="2"/>
  <c r="Z285" i="2"/>
  <c r="Z273" i="2"/>
  <c r="Z261" i="2"/>
  <c r="Z249" i="2"/>
  <c r="Z237" i="2"/>
  <c r="Z225" i="2"/>
  <c r="Z213" i="2"/>
  <c r="Z201" i="2"/>
  <c r="Z189" i="2"/>
  <c r="Z180" i="2"/>
  <c r="Z171" i="2"/>
  <c r="Z162" i="2"/>
  <c r="Z153" i="2"/>
  <c r="Z144" i="2"/>
  <c r="Z135" i="2"/>
  <c r="Z126" i="2"/>
  <c r="Z117" i="2"/>
  <c r="Z108" i="2"/>
  <c r="Z100" i="2"/>
  <c r="Z93" i="2"/>
  <c r="Z85" i="2"/>
  <c r="Z78" i="2"/>
  <c r="Z71" i="2"/>
  <c r="Z64" i="2"/>
  <c r="Z57" i="2"/>
  <c r="Z49" i="2"/>
  <c r="Z42" i="2"/>
  <c r="Z35" i="2"/>
  <c r="Z28" i="2"/>
  <c r="Z21" i="2"/>
  <c r="Z13" i="2"/>
  <c r="Z6" i="2"/>
  <c r="Z367" i="2"/>
  <c r="Z355" i="2"/>
  <c r="Z343" i="2"/>
  <c r="Z331" i="2"/>
  <c r="Z319" i="2"/>
  <c r="Z307" i="2"/>
  <c r="Z295" i="2"/>
  <c r="Z283" i="2"/>
  <c r="Z271" i="2"/>
  <c r="Z259" i="2"/>
  <c r="Z247" i="2"/>
  <c r="Z235" i="2"/>
  <c r="Z223" i="2"/>
  <c r="Z211" i="2"/>
  <c r="Z199" i="2"/>
  <c r="Z187" i="2"/>
  <c r="Z178" i="2"/>
  <c r="Z169" i="2"/>
  <c r="Z160" i="2"/>
  <c r="Z151" i="2"/>
  <c r="Z142" i="2"/>
  <c r="Z133" i="2"/>
  <c r="Z124" i="2"/>
  <c r="Z115" i="2"/>
  <c r="Z106" i="2"/>
  <c r="Z99" i="2"/>
  <c r="Z91" i="2"/>
  <c r="Z84" i="2"/>
  <c r="Z77" i="2"/>
  <c r="Z70" i="2"/>
  <c r="Z63" i="2"/>
  <c r="Z55" i="2"/>
  <c r="Z48" i="2"/>
  <c r="Z41" i="2"/>
  <c r="Z34" i="2"/>
  <c r="Z27" i="2"/>
  <c r="Z19" i="2"/>
  <c r="Z12" i="2"/>
  <c r="Z5" i="2"/>
  <c r="Z364" i="2"/>
  <c r="Z352" i="2"/>
  <c r="Z340" i="2"/>
  <c r="Z328" i="2"/>
  <c r="Z316" i="2"/>
  <c r="Z304" i="2"/>
  <c r="Z292" i="2"/>
  <c r="Z280" i="2"/>
  <c r="Z268" i="2"/>
  <c r="Z256" i="2"/>
  <c r="Z244" i="2"/>
  <c r="Z232" i="2"/>
  <c r="Z220" i="2"/>
  <c r="Z208" i="2"/>
  <c r="Z196" i="2"/>
  <c r="Z186" i="2"/>
  <c r="Z177" i="2"/>
  <c r="Z168" i="2"/>
  <c r="Z159" i="2"/>
  <c r="Z150" i="2"/>
  <c r="Z141" i="2"/>
  <c r="Z132" i="2"/>
  <c r="Z123" i="2"/>
  <c r="Z114" i="2"/>
  <c r="Z105" i="2"/>
  <c r="Z97" i="2"/>
  <c r="Z90" i="2"/>
  <c r="Z83" i="2"/>
  <c r="Z76" i="2"/>
  <c r="Z69" i="2"/>
  <c r="Z61" i="2"/>
  <c r="Z54" i="2"/>
  <c r="Z47" i="2"/>
  <c r="Z40" i="2"/>
  <c r="Z33" i="2"/>
  <c r="Z25" i="2"/>
  <c r="Z18" i="2"/>
  <c r="Z11" i="2"/>
  <c r="Z4" i="2"/>
  <c r="Z363" i="2"/>
  <c r="Z351" i="2"/>
  <c r="Z339" i="2"/>
  <c r="Z327" i="2"/>
  <c r="Z315" i="2"/>
  <c r="Z303" i="2"/>
  <c r="Z291" i="2"/>
  <c r="Z279" i="2"/>
  <c r="Z267" i="2"/>
  <c r="Z255" i="2"/>
  <c r="Z243" i="2"/>
  <c r="Z231" i="2"/>
  <c r="Z219" i="2"/>
  <c r="Z207" i="2"/>
  <c r="Z195" i="2"/>
  <c r="Z184" i="2"/>
  <c r="Z175" i="2"/>
  <c r="Z166" i="2"/>
  <c r="Z157" i="2"/>
  <c r="Z148" i="2"/>
  <c r="Z139" i="2"/>
  <c r="Z130" i="2"/>
  <c r="Z121" i="2"/>
  <c r="Z112" i="2"/>
  <c r="Z103" i="2"/>
  <c r="Z96" i="2"/>
  <c r="Z89" i="2"/>
  <c r="Z82" i="2"/>
  <c r="Z75" i="2"/>
  <c r="Z67" i="2"/>
  <c r="Z60" i="2"/>
  <c r="Z53" i="2"/>
  <c r="Z46" i="2"/>
  <c r="Z39" i="2"/>
  <c r="Z31" i="2"/>
  <c r="Z24" i="2"/>
  <c r="Z17" i="2"/>
  <c r="Z10" i="2"/>
  <c r="Z3" i="2"/>
  <c r="Z325" i="2"/>
  <c r="Z253" i="2"/>
  <c r="Z183" i="2"/>
  <c r="Z129" i="2"/>
  <c r="Z81" i="2"/>
  <c r="Z37" i="2"/>
  <c r="Z313" i="2"/>
  <c r="Z241" i="2"/>
  <c r="Z174" i="2"/>
  <c r="Z120" i="2"/>
  <c r="Z73" i="2"/>
  <c r="Z30" i="2"/>
  <c r="Z361" i="2"/>
  <c r="Z289" i="2"/>
  <c r="Z217" i="2"/>
  <c r="Z156" i="2"/>
  <c r="Z102" i="2"/>
  <c r="Z59" i="2"/>
  <c r="Z16" i="2"/>
  <c r="Z88" i="2"/>
  <c r="Z193" i="2"/>
  <c r="Z337" i="2"/>
  <c r="R131" i="2"/>
  <c r="R137" i="2"/>
  <c r="R143" i="2"/>
  <c r="R149" i="2"/>
  <c r="R155" i="2"/>
  <c r="R161" i="2"/>
  <c r="R167" i="2"/>
  <c r="R173" i="2"/>
  <c r="R179" i="2"/>
  <c r="R185" i="2"/>
  <c r="R191" i="2"/>
  <c r="R197" i="2"/>
  <c r="R203" i="2"/>
  <c r="R209" i="2"/>
  <c r="R215" i="2"/>
  <c r="R221" i="2"/>
  <c r="R227" i="2"/>
  <c r="R233" i="2"/>
  <c r="R239" i="2"/>
  <c r="R245" i="2"/>
  <c r="R251" i="2"/>
  <c r="R257" i="2"/>
  <c r="R263" i="2"/>
  <c r="R269" i="2"/>
  <c r="R275" i="2"/>
  <c r="R281" i="2"/>
  <c r="R287" i="2"/>
  <c r="R293" i="2"/>
  <c r="R299" i="2"/>
  <c r="R305" i="2"/>
  <c r="R311" i="2"/>
  <c r="R317" i="2"/>
  <c r="R323" i="2"/>
  <c r="R329" i="2"/>
  <c r="R335" i="2"/>
  <c r="R341" i="2"/>
  <c r="R347" i="2"/>
  <c r="R353" i="2"/>
  <c r="R359" i="2"/>
  <c r="R365" i="2"/>
  <c r="R371" i="2"/>
  <c r="T353" i="2"/>
  <c r="T360" i="2"/>
  <c r="T367" i="2"/>
  <c r="U8" i="2"/>
  <c r="U15" i="2"/>
  <c r="U22" i="2"/>
  <c r="U29" i="2"/>
  <c r="U36" i="2"/>
  <c r="U44" i="2"/>
  <c r="U51" i="2"/>
  <c r="U58" i="2"/>
  <c r="U65" i="2"/>
  <c r="U72" i="2"/>
  <c r="U80" i="2"/>
  <c r="U87" i="2"/>
  <c r="U94" i="2"/>
  <c r="U101" i="2"/>
  <c r="U108" i="2"/>
  <c r="U116" i="2"/>
  <c r="U123" i="2"/>
  <c r="U130" i="2"/>
  <c r="U137" i="2"/>
  <c r="U144" i="2"/>
  <c r="U152" i="2"/>
  <c r="U159" i="2"/>
  <c r="U166" i="2"/>
  <c r="U173" i="2"/>
  <c r="U180" i="2"/>
  <c r="U188" i="2"/>
  <c r="U195" i="2"/>
  <c r="U202" i="2"/>
  <c r="U209" i="2"/>
  <c r="U216" i="2"/>
  <c r="U224" i="2"/>
  <c r="U231" i="2"/>
  <c r="U238" i="2"/>
  <c r="U245" i="2"/>
  <c r="U252" i="2"/>
  <c r="U260" i="2"/>
  <c r="U267" i="2"/>
  <c r="U274" i="2"/>
  <c r="U281" i="2"/>
  <c r="U288" i="2"/>
  <c r="U296" i="2"/>
  <c r="U303" i="2"/>
  <c r="U310" i="2"/>
  <c r="U317" i="2"/>
  <c r="U324" i="2"/>
  <c r="U332" i="2"/>
  <c r="U339" i="2"/>
  <c r="U346" i="2"/>
  <c r="U353" i="2"/>
  <c r="U360" i="2"/>
  <c r="X371" i="2"/>
  <c r="X365" i="2"/>
  <c r="X359" i="2"/>
  <c r="X353" i="2"/>
  <c r="X347" i="2"/>
  <c r="X341" i="2"/>
  <c r="X335" i="2"/>
  <c r="X329" i="2"/>
  <c r="X323" i="2"/>
  <c r="X317" i="2"/>
  <c r="X311" i="2"/>
  <c r="X305" i="2"/>
  <c r="X299" i="2"/>
  <c r="X293" i="2"/>
  <c r="X287" i="2"/>
  <c r="X281" i="2"/>
  <c r="X275" i="2"/>
  <c r="X269" i="2"/>
  <c r="X263" i="2"/>
  <c r="X257" i="2"/>
  <c r="X251" i="2"/>
  <c r="X245" i="2"/>
  <c r="X239" i="2"/>
  <c r="X233" i="2"/>
  <c r="X227" i="2"/>
  <c r="X221" i="2"/>
  <c r="X215" i="2"/>
  <c r="X209" i="2"/>
  <c r="X203" i="2"/>
  <c r="X197" i="2"/>
  <c r="X191" i="2"/>
  <c r="X185" i="2"/>
  <c r="X179" i="2"/>
  <c r="X173" i="2"/>
  <c r="X167" i="2"/>
  <c r="X161" i="2"/>
  <c r="X155" i="2"/>
  <c r="X149" i="2"/>
  <c r="X143" i="2"/>
  <c r="X137" i="2"/>
  <c r="X131" i="2"/>
  <c r="X125" i="2"/>
  <c r="X119" i="2"/>
  <c r="X113" i="2"/>
  <c r="X107" i="2"/>
  <c r="X101" i="2"/>
  <c r="X95" i="2"/>
  <c r="X89" i="2"/>
  <c r="X83" i="2"/>
  <c r="X77" i="2"/>
  <c r="X71" i="2"/>
  <c r="X65" i="2"/>
  <c r="X369" i="2"/>
  <c r="X363" i="2"/>
  <c r="X357" i="2"/>
  <c r="X351" i="2"/>
  <c r="X345" i="2"/>
  <c r="X339" i="2"/>
  <c r="X333" i="2"/>
  <c r="X327" i="2"/>
  <c r="X321" i="2"/>
  <c r="X315" i="2"/>
  <c r="X309" i="2"/>
  <c r="X303" i="2"/>
  <c r="X297" i="2"/>
  <c r="X291" i="2"/>
  <c r="X285" i="2"/>
  <c r="X279" i="2"/>
  <c r="X273" i="2"/>
  <c r="X267" i="2"/>
  <c r="X261" i="2"/>
  <c r="X255" i="2"/>
  <c r="X249" i="2"/>
  <c r="X243" i="2"/>
  <c r="X237" i="2"/>
  <c r="X231" i="2"/>
  <c r="X225" i="2"/>
  <c r="X219" i="2"/>
  <c r="X213" i="2"/>
  <c r="X207" i="2"/>
  <c r="X201" i="2"/>
  <c r="X195" i="2"/>
  <c r="X189" i="2"/>
  <c r="X183" i="2"/>
  <c r="X177" i="2"/>
  <c r="X171" i="2"/>
  <c r="X165" i="2"/>
  <c r="X159" i="2"/>
  <c r="X153" i="2"/>
  <c r="X147" i="2"/>
  <c r="X141" i="2"/>
  <c r="X135" i="2"/>
  <c r="X129" i="2"/>
  <c r="X123" i="2"/>
  <c r="X117" i="2"/>
  <c r="X374" i="2"/>
  <c r="X368" i="2"/>
  <c r="X362" i="2"/>
  <c r="X356" i="2"/>
  <c r="X350" i="2"/>
  <c r="X344" i="2"/>
  <c r="X338" i="2"/>
  <c r="X332" i="2"/>
  <c r="X326" i="2"/>
  <c r="X320" i="2"/>
  <c r="X314" i="2"/>
  <c r="X308" i="2"/>
  <c r="X302" i="2"/>
  <c r="X296" i="2"/>
  <c r="X290" i="2"/>
  <c r="X284" i="2"/>
  <c r="X278" i="2"/>
  <c r="X272" i="2"/>
  <c r="X266" i="2"/>
  <c r="X260" i="2"/>
  <c r="X254" i="2"/>
  <c r="X248" i="2"/>
  <c r="X242" i="2"/>
  <c r="X236" i="2"/>
  <c r="X230" i="2"/>
  <c r="X224" i="2"/>
  <c r="X218" i="2"/>
  <c r="X212" i="2"/>
  <c r="X206" i="2"/>
  <c r="X200" i="2"/>
  <c r="X194" i="2"/>
  <c r="X188" i="2"/>
  <c r="X182" i="2"/>
  <c r="X176" i="2"/>
  <c r="X170" i="2"/>
  <c r="X373" i="2"/>
  <c r="X367" i="2"/>
  <c r="X361" i="2"/>
  <c r="X355" i="2"/>
  <c r="X349" i="2"/>
  <c r="X343" i="2"/>
  <c r="X337" i="2"/>
  <c r="X331" i="2"/>
  <c r="X325" i="2"/>
  <c r="X319" i="2"/>
  <c r="X313" i="2"/>
  <c r="X307" i="2"/>
  <c r="X301" i="2"/>
  <c r="X295" i="2"/>
  <c r="X289" i="2"/>
  <c r="X283" i="2"/>
  <c r="X277" i="2"/>
  <c r="X271" i="2"/>
  <c r="X265" i="2"/>
  <c r="X259" i="2"/>
  <c r="X253" i="2"/>
  <c r="X247" i="2"/>
  <c r="X241" i="2"/>
  <c r="X235" i="2"/>
  <c r="X229" i="2"/>
  <c r="X223" i="2"/>
  <c r="X217" i="2"/>
  <c r="X211" i="2"/>
  <c r="X205" i="2"/>
  <c r="X199" i="2"/>
  <c r="X193" i="2"/>
  <c r="X187" i="2"/>
  <c r="X181" i="2"/>
  <c r="X175" i="2"/>
  <c r="X169" i="2"/>
  <c r="X163" i="2"/>
  <c r="X157" i="2"/>
  <c r="X151" i="2"/>
  <c r="X145" i="2"/>
  <c r="X139" i="2"/>
  <c r="X133" i="2"/>
  <c r="X127" i="2"/>
  <c r="X121" i="2"/>
  <c r="X115" i="2"/>
  <c r="X109" i="2"/>
  <c r="X103" i="2"/>
  <c r="X97" i="2"/>
  <c r="X91" i="2"/>
  <c r="X364" i="2"/>
  <c r="X346" i="2"/>
  <c r="X328" i="2"/>
  <c r="X310" i="2"/>
  <c r="X292" i="2"/>
  <c r="X274" i="2"/>
  <c r="X256" i="2"/>
  <c r="X238" i="2"/>
  <c r="X220" i="2"/>
  <c r="X202" i="2"/>
  <c r="X184" i="2"/>
  <c r="X166" i="2"/>
  <c r="X154" i="2"/>
  <c r="X142" i="2"/>
  <c r="X130" i="2"/>
  <c r="X118" i="2"/>
  <c r="X108" i="2"/>
  <c r="X99" i="2"/>
  <c r="X90" i="2"/>
  <c r="X82" i="2"/>
  <c r="X75" i="2"/>
  <c r="X68" i="2"/>
  <c r="X61" i="2"/>
  <c r="X55" i="2"/>
  <c r="X49" i="2"/>
  <c r="X43" i="2"/>
  <c r="X37" i="2"/>
  <c r="X31" i="2"/>
  <c r="X25" i="2"/>
  <c r="X19" i="2"/>
  <c r="X13" i="2"/>
  <c r="X7" i="2"/>
  <c r="X2" i="2"/>
  <c r="X360" i="2"/>
  <c r="X342" i="2"/>
  <c r="X324" i="2"/>
  <c r="X306" i="2"/>
  <c r="X288" i="2"/>
  <c r="X270" i="2"/>
  <c r="X252" i="2"/>
  <c r="X234" i="2"/>
  <c r="X216" i="2"/>
  <c r="X198" i="2"/>
  <c r="X180" i="2"/>
  <c r="X164" i="2"/>
  <c r="X152" i="2"/>
  <c r="X140" i="2"/>
  <c r="X128" i="2"/>
  <c r="X116" i="2"/>
  <c r="X106" i="2"/>
  <c r="X98" i="2"/>
  <c r="X88" i="2"/>
  <c r="X81" i="2"/>
  <c r="X74" i="2"/>
  <c r="X67" i="2"/>
  <c r="X60" i="2"/>
  <c r="X54" i="2"/>
  <c r="X48" i="2"/>
  <c r="X42" i="2"/>
  <c r="X36" i="2"/>
  <c r="X30" i="2"/>
  <c r="X24" i="2"/>
  <c r="X18" i="2"/>
  <c r="X12" i="2"/>
  <c r="X6" i="2"/>
  <c r="X372" i="2"/>
  <c r="X354" i="2"/>
  <c r="X336" i="2"/>
  <c r="X318" i="2"/>
  <c r="X300" i="2"/>
  <c r="X282" i="2"/>
  <c r="X264" i="2"/>
  <c r="X246" i="2"/>
  <c r="X228" i="2"/>
  <c r="X210" i="2"/>
  <c r="X192" i="2"/>
  <c r="X174" i="2"/>
  <c r="X160" i="2"/>
  <c r="X148" i="2"/>
  <c r="X136" i="2"/>
  <c r="X124" i="2"/>
  <c r="X112" i="2"/>
  <c r="X104" i="2"/>
  <c r="X94" i="2"/>
  <c r="X86" i="2"/>
  <c r="X79" i="2"/>
  <c r="X72" i="2"/>
  <c r="X64" i="2"/>
  <c r="X58" i="2"/>
  <c r="X52" i="2"/>
  <c r="X46" i="2"/>
  <c r="X40" i="2"/>
  <c r="X34" i="2"/>
  <c r="X28" i="2"/>
  <c r="X22" i="2"/>
  <c r="X16" i="2"/>
  <c r="X10" i="2"/>
  <c r="X4" i="2"/>
  <c r="X14" i="2"/>
  <c r="X26" i="2"/>
  <c r="X38" i="2"/>
  <c r="X50" i="2"/>
  <c r="X62" i="2"/>
  <c r="X76" i="2"/>
  <c r="X92" i="2"/>
  <c r="X110" i="2"/>
  <c r="X132" i="2"/>
  <c r="X156" i="2"/>
  <c r="X186" i="2"/>
  <c r="X222" i="2"/>
  <c r="X258" i="2"/>
  <c r="X294" i="2"/>
  <c r="X330" i="2"/>
  <c r="X366" i="2"/>
  <c r="Z9" i="2"/>
  <c r="Z95" i="2"/>
  <c r="Z205" i="2"/>
  <c r="Z349" i="2"/>
  <c r="U373" i="2"/>
  <c r="U367" i="2"/>
  <c r="U361" i="2"/>
  <c r="U355" i="2"/>
  <c r="U349" i="2"/>
  <c r="U343" i="2"/>
  <c r="U337" i="2"/>
  <c r="U331" i="2"/>
  <c r="U325" i="2"/>
  <c r="U319" i="2"/>
  <c r="U313" i="2"/>
  <c r="U307" i="2"/>
  <c r="U301" i="2"/>
  <c r="U295" i="2"/>
  <c r="U289" i="2"/>
  <c r="U283" i="2"/>
  <c r="U277" i="2"/>
  <c r="U271" i="2"/>
  <c r="U265" i="2"/>
  <c r="U259" i="2"/>
  <c r="U253" i="2"/>
  <c r="U247" i="2"/>
  <c r="U241" i="2"/>
  <c r="U235" i="2"/>
  <c r="U229" i="2"/>
  <c r="U223" i="2"/>
  <c r="U217" i="2"/>
  <c r="U211" i="2"/>
  <c r="U205" i="2"/>
  <c r="U199" i="2"/>
  <c r="U193" i="2"/>
  <c r="U187" i="2"/>
  <c r="U181" i="2"/>
  <c r="U175" i="2"/>
  <c r="U169" i="2"/>
  <c r="U163" i="2"/>
  <c r="U157" i="2"/>
  <c r="U151" i="2"/>
  <c r="U145" i="2"/>
  <c r="U139" i="2"/>
  <c r="U133" i="2"/>
  <c r="U127" i="2"/>
  <c r="U121" i="2"/>
  <c r="U115" i="2"/>
  <c r="U109" i="2"/>
  <c r="U103" i="2"/>
  <c r="U97" i="2"/>
  <c r="U91" i="2"/>
  <c r="U85" i="2"/>
  <c r="U79" i="2"/>
  <c r="U73" i="2"/>
  <c r="U67" i="2"/>
  <c r="U61" i="2"/>
  <c r="U55" i="2"/>
  <c r="U49" i="2"/>
  <c r="U43" i="2"/>
  <c r="U37" i="2"/>
  <c r="U31" i="2"/>
  <c r="U25" i="2"/>
  <c r="U19" i="2"/>
  <c r="U13" i="2"/>
  <c r="U7" i="2"/>
  <c r="U2" i="2"/>
  <c r="U9" i="2"/>
  <c r="U16" i="2"/>
  <c r="U23" i="2"/>
  <c r="U30" i="2"/>
  <c r="U38" i="2"/>
  <c r="U45" i="2"/>
  <c r="U52" i="2"/>
  <c r="U59" i="2"/>
  <c r="U66" i="2"/>
  <c r="U74" i="2"/>
  <c r="U81" i="2"/>
  <c r="U88" i="2"/>
  <c r="U95" i="2"/>
  <c r="U102" i="2"/>
  <c r="U110" i="2"/>
  <c r="U117" i="2"/>
  <c r="U124" i="2"/>
  <c r="U131" i="2"/>
  <c r="U138" i="2"/>
  <c r="U146" i="2"/>
  <c r="U153" i="2"/>
  <c r="U160" i="2"/>
  <c r="U167" i="2"/>
  <c r="U174" i="2"/>
  <c r="U182" i="2"/>
  <c r="U189" i="2"/>
  <c r="U196" i="2"/>
  <c r="U203" i="2"/>
  <c r="U210" i="2"/>
  <c r="U218" i="2"/>
  <c r="U225" i="2"/>
  <c r="U232" i="2"/>
  <c r="U239" i="2"/>
  <c r="U246" i="2"/>
  <c r="U254" i="2"/>
  <c r="U261" i="2"/>
  <c r="U268" i="2"/>
  <c r="U275" i="2"/>
  <c r="U282" i="2"/>
  <c r="U290" i="2"/>
  <c r="U297" i="2"/>
  <c r="U304" i="2"/>
  <c r="U311" i="2"/>
  <c r="U318" i="2"/>
  <c r="U326" i="2"/>
  <c r="U333" i="2"/>
  <c r="U340" i="2"/>
  <c r="U347" i="2"/>
  <c r="U354" i="2"/>
  <c r="U362" i="2"/>
  <c r="U369" i="2"/>
  <c r="Z23" i="2"/>
  <c r="Z111" i="2"/>
  <c r="Z229" i="2"/>
  <c r="Z373" i="2"/>
  <c r="R91" i="2"/>
  <c r="R97" i="2"/>
  <c r="R103" i="2"/>
  <c r="R109" i="2"/>
  <c r="R115" i="2"/>
  <c r="R121" i="2"/>
  <c r="R127" i="2"/>
  <c r="R133" i="2"/>
  <c r="R139" i="2"/>
  <c r="R145" i="2"/>
  <c r="R151" i="2"/>
  <c r="R157" i="2"/>
  <c r="R163" i="2"/>
  <c r="R169" i="2"/>
  <c r="R175" i="2"/>
  <c r="R181" i="2"/>
  <c r="R187" i="2"/>
  <c r="R193" i="2"/>
  <c r="R199" i="2"/>
  <c r="R205" i="2"/>
  <c r="R211" i="2"/>
  <c r="R217" i="2"/>
  <c r="R223" i="2"/>
  <c r="R229" i="2"/>
  <c r="R235" i="2"/>
  <c r="R241" i="2"/>
  <c r="R247" i="2"/>
  <c r="R253" i="2"/>
  <c r="R259" i="2"/>
  <c r="R265" i="2"/>
  <c r="R271" i="2"/>
  <c r="R277" i="2"/>
  <c r="R283" i="2"/>
  <c r="R289" i="2"/>
  <c r="R295" i="2"/>
  <c r="R301" i="2"/>
  <c r="R307" i="2"/>
  <c r="R313" i="2"/>
  <c r="R319" i="2"/>
  <c r="R325" i="2"/>
  <c r="R331" i="2"/>
  <c r="R337" i="2"/>
  <c r="R343" i="2"/>
  <c r="R349" i="2"/>
  <c r="R355" i="2"/>
  <c r="R361" i="2"/>
  <c r="R367" i="2"/>
  <c r="R373" i="2"/>
  <c r="T369" i="2"/>
  <c r="T363" i="2"/>
  <c r="T357" i="2"/>
  <c r="T351" i="2"/>
  <c r="T345" i="2"/>
  <c r="T339" i="2"/>
  <c r="T333" i="2"/>
  <c r="T327" i="2"/>
  <c r="T321" i="2"/>
  <c r="T315" i="2"/>
  <c r="T309" i="2"/>
  <c r="T303" i="2"/>
  <c r="T297" i="2"/>
  <c r="T291" i="2"/>
  <c r="T285" i="2"/>
  <c r="T279" i="2"/>
  <c r="T273" i="2"/>
  <c r="T267" i="2"/>
  <c r="T261" i="2"/>
  <c r="T255" i="2"/>
  <c r="T249" i="2"/>
  <c r="T243" i="2"/>
  <c r="T237" i="2"/>
  <c r="T231" i="2"/>
  <c r="T225" i="2"/>
  <c r="T219" i="2"/>
  <c r="T213" i="2"/>
  <c r="T207" i="2"/>
  <c r="T201" i="2"/>
  <c r="T195" i="2"/>
  <c r="T189" i="2"/>
  <c r="T183" i="2"/>
  <c r="T177" i="2"/>
  <c r="T171" i="2"/>
  <c r="T165" i="2"/>
  <c r="T159" i="2"/>
  <c r="T153" i="2"/>
  <c r="T147" i="2"/>
  <c r="T141" i="2"/>
  <c r="T135" i="2"/>
  <c r="T129" i="2"/>
  <c r="T123" i="2"/>
  <c r="T117" i="2"/>
  <c r="T111" i="2"/>
  <c r="T105" i="2"/>
  <c r="T99" i="2"/>
  <c r="T93" i="2"/>
  <c r="T87" i="2"/>
  <c r="T81" i="2"/>
  <c r="T75" i="2"/>
  <c r="T69" i="2"/>
  <c r="T63" i="2"/>
  <c r="T57" i="2"/>
  <c r="T51" i="2"/>
  <c r="T45" i="2"/>
  <c r="T39" i="2"/>
  <c r="T33" i="2"/>
  <c r="T27" i="2"/>
  <c r="T21" i="2"/>
  <c r="T15" i="2"/>
  <c r="T9" i="2"/>
  <c r="T3" i="2"/>
  <c r="T10" i="2"/>
  <c r="T17" i="2"/>
  <c r="T24" i="2"/>
  <c r="T31" i="2"/>
  <c r="T38" i="2"/>
  <c r="T46" i="2"/>
  <c r="T53" i="2"/>
  <c r="T60" i="2"/>
  <c r="T67" i="2"/>
  <c r="T74" i="2"/>
  <c r="T82" i="2"/>
  <c r="T89" i="2"/>
  <c r="T96" i="2"/>
  <c r="T103" i="2"/>
  <c r="T110" i="2"/>
  <c r="T118" i="2"/>
  <c r="T125" i="2"/>
  <c r="T132" i="2"/>
  <c r="T139" i="2"/>
  <c r="T146" i="2"/>
  <c r="T154" i="2"/>
  <c r="T161" i="2"/>
  <c r="T168" i="2"/>
  <c r="T175" i="2"/>
  <c r="T182" i="2"/>
  <c r="T190" i="2"/>
  <c r="T197" i="2"/>
  <c r="T204" i="2"/>
  <c r="T211" i="2"/>
  <c r="T218" i="2"/>
  <c r="T226" i="2"/>
  <c r="T233" i="2"/>
  <c r="T240" i="2"/>
  <c r="T247" i="2"/>
  <c r="T254" i="2"/>
  <c r="T262" i="2"/>
  <c r="T269" i="2"/>
  <c r="T276" i="2"/>
  <c r="T283" i="2"/>
  <c r="T290" i="2"/>
  <c r="T298" i="2"/>
  <c r="T305" i="2"/>
  <c r="T312" i="2"/>
  <c r="T319" i="2"/>
  <c r="T326" i="2"/>
  <c r="T334" i="2"/>
  <c r="T341" i="2"/>
  <c r="T348" i="2"/>
  <c r="T355" i="2"/>
  <c r="T362" i="2"/>
  <c r="T370" i="2"/>
  <c r="U3" i="2"/>
  <c r="U10" i="2"/>
  <c r="U17" i="2"/>
  <c r="U24" i="2"/>
  <c r="U32" i="2"/>
  <c r="U39" i="2"/>
  <c r="U46" i="2"/>
  <c r="U53" i="2"/>
  <c r="U60" i="2"/>
  <c r="U68" i="2"/>
  <c r="U75" i="2"/>
  <c r="U82" i="2"/>
  <c r="U89" i="2"/>
  <c r="U96" i="2"/>
  <c r="U104" i="2"/>
  <c r="U111" i="2"/>
  <c r="U118" i="2"/>
  <c r="U125" i="2"/>
  <c r="U132" i="2"/>
  <c r="U140" i="2"/>
  <c r="U147" i="2"/>
  <c r="U154" i="2"/>
  <c r="U161" i="2"/>
  <c r="U168" i="2"/>
  <c r="U176" i="2"/>
  <c r="U183" i="2"/>
  <c r="U190" i="2"/>
  <c r="U197" i="2"/>
  <c r="U204" i="2"/>
  <c r="U212" i="2"/>
  <c r="U219" i="2"/>
  <c r="U226" i="2"/>
  <c r="U233" i="2"/>
  <c r="U240" i="2"/>
  <c r="U248" i="2"/>
  <c r="U255" i="2"/>
  <c r="U262" i="2"/>
  <c r="U269" i="2"/>
  <c r="U276" i="2"/>
  <c r="U284" i="2"/>
  <c r="U291" i="2"/>
  <c r="U298" i="2"/>
  <c r="U305" i="2"/>
  <c r="U312" i="2"/>
  <c r="U320" i="2"/>
  <c r="U327" i="2"/>
  <c r="U334" i="2"/>
  <c r="U341" i="2"/>
  <c r="U348" i="2"/>
  <c r="U356" i="2"/>
  <c r="U363" i="2"/>
  <c r="U370" i="2"/>
  <c r="X5" i="2"/>
  <c r="X17" i="2"/>
  <c r="X29" i="2"/>
  <c r="X41" i="2"/>
  <c r="X53" i="2"/>
  <c r="X66" i="2"/>
  <c r="X80" i="2"/>
  <c r="X96" i="2"/>
  <c r="X114" i="2"/>
  <c r="X138" i="2"/>
  <c r="X162" i="2"/>
  <c r="X196" i="2"/>
  <c r="X232" i="2"/>
  <c r="X268" i="2"/>
  <c r="X304" i="2"/>
  <c r="X340" i="2"/>
  <c r="Z45" i="2"/>
  <c r="Z138" i="2"/>
  <c r="Z265" i="2"/>
  <c r="R8" i="2"/>
  <c r="R14" i="2"/>
  <c r="R20" i="2"/>
  <c r="R26" i="2"/>
  <c r="R32" i="2"/>
  <c r="R38" i="2"/>
  <c r="R44" i="2"/>
  <c r="R50" i="2"/>
  <c r="R56" i="2"/>
  <c r="R62" i="2"/>
  <c r="R68" i="2"/>
  <c r="R74" i="2"/>
  <c r="R80" i="2"/>
  <c r="R86" i="2"/>
  <c r="R92" i="2"/>
  <c r="R98" i="2"/>
  <c r="R104" i="2"/>
  <c r="R110" i="2"/>
  <c r="R116" i="2"/>
  <c r="R122" i="2"/>
  <c r="R128" i="2"/>
  <c r="R134" i="2"/>
  <c r="R140" i="2"/>
  <c r="R146" i="2"/>
  <c r="R152" i="2"/>
  <c r="R158" i="2"/>
  <c r="R164" i="2"/>
  <c r="R170" i="2"/>
  <c r="R176" i="2"/>
  <c r="R182" i="2"/>
  <c r="R188" i="2"/>
  <c r="R194" i="2"/>
  <c r="R200" i="2"/>
  <c r="R206" i="2"/>
  <c r="R212" i="2"/>
  <c r="R218" i="2"/>
  <c r="R224" i="2"/>
  <c r="R230" i="2"/>
  <c r="R236" i="2"/>
  <c r="R242" i="2"/>
  <c r="R248" i="2"/>
  <c r="R254" i="2"/>
  <c r="R260" i="2"/>
  <c r="R266" i="2"/>
  <c r="R272" i="2"/>
  <c r="R278" i="2"/>
  <c r="R284" i="2"/>
  <c r="R290" i="2"/>
  <c r="R296" i="2"/>
  <c r="R302" i="2"/>
  <c r="R308" i="2"/>
  <c r="R314" i="2"/>
  <c r="R320" i="2"/>
  <c r="R326" i="2"/>
  <c r="R332" i="2"/>
  <c r="R338" i="2"/>
  <c r="R344" i="2"/>
  <c r="R350" i="2"/>
  <c r="R356" i="2"/>
  <c r="R362" i="2"/>
  <c r="R368" i="2"/>
  <c r="T4" i="2"/>
  <c r="T11" i="2"/>
  <c r="T18" i="2"/>
  <c r="T25" i="2"/>
  <c r="T32" i="2"/>
  <c r="T40" i="2"/>
  <c r="T47" i="2"/>
  <c r="T54" i="2"/>
  <c r="T61" i="2"/>
  <c r="T68" i="2"/>
  <c r="T76" i="2"/>
  <c r="T83" i="2"/>
  <c r="T90" i="2"/>
  <c r="T97" i="2"/>
  <c r="T104" i="2"/>
  <c r="T112" i="2"/>
  <c r="T119" i="2"/>
  <c r="T126" i="2"/>
  <c r="T133" i="2"/>
  <c r="T140" i="2"/>
  <c r="T148" i="2"/>
  <c r="T155" i="2"/>
  <c r="T162" i="2"/>
  <c r="T169" i="2"/>
  <c r="T176" i="2"/>
  <c r="T184" i="2"/>
  <c r="T191" i="2"/>
  <c r="T198" i="2"/>
  <c r="T205" i="2"/>
  <c r="T212" i="2"/>
  <c r="T220" i="2"/>
  <c r="T227" i="2"/>
  <c r="T234" i="2"/>
  <c r="T241" i="2"/>
  <c r="T248" i="2"/>
  <c r="T256" i="2"/>
  <c r="T263" i="2"/>
  <c r="T270" i="2"/>
  <c r="T277" i="2"/>
  <c r="T284" i="2"/>
  <c r="T292" i="2"/>
  <c r="T299" i="2"/>
  <c r="T306" i="2"/>
  <c r="T313" i="2"/>
  <c r="T320" i="2"/>
  <c r="T328" i="2"/>
  <c r="T335" i="2"/>
  <c r="T342" i="2"/>
  <c r="T349" i="2"/>
  <c r="T356" i="2"/>
  <c r="T364" i="2"/>
  <c r="T371" i="2"/>
  <c r="U4" i="2"/>
  <c r="U11" i="2"/>
  <c r="U18" i="2"/>
  <c r="U26" i="2"/>
  <c r="U33" i="2"/>
  <c r="U40" i="2"/>
  <c r="U47" i="2"/>
  <c r="U54" i="2"/>
  <c r="U62" i="2"/>
  <c r="U69" i="2"/>
  <c r="U76" i="2"/>
  <c r="U83" i="2"/>
  <c r="U90" i="2"/>
  <c r="U98" i="2"/>
  <c r="U105" i="2"/>
  <c r="U112" i="2"/>
  <c r="U119" i="2"/>
  <c r="U126" i="2"/>
  <c r="U134" i="2"/>
  <c r="U141" i="2"/>
  <c r="U148" i="2"/>
  <c r="U155" i="2"/>
  <c r="U162" i="2"/>
  <c r="U170" i="2"/>
  <c r="U177" i="2"/>
  <c r="U184" i="2"/>
  <c r="U191" i="2"/>
  <c r="U198" i="2"/>
  <c r="U206" i="2"/>
  <c r="U213" i="2"/>
  <c r="U220" i="2"/>
  <c r="U227" i="2"/>
  <c r="U234" i="2"/>
  <c r="U242" i="2"/>
  <c r="U249" i="2"/>
  <c r="U256" i="2"/>
  <c r="U263" i="2"/>
  <c r="U270" i="2"/>
  <c r="U278" i="2"/>
  <c r="U285" i="2"/>
  <c r="U292" i="2"/>
  <c r="U299" i="2"/>
  <c r="U306" i="2"/>
  <c r="U314" i="2"/>
  <c r="U321" i="2"/>
  <c r="U328" i="2"/>
  <c r="U335" i="2"/>
  <c r="U342" i="2"/>
  <c r="U350" i="2"/>
  <c r="U357" i="2"/>
  <c r="U364" i="2"/>
  <c r="U371" i="2"/>
  <c r="X8" i="2"/>
  <c r="X20" i="2"/>
  <c r="X32" i="2"/>
  <c r="X44" i="2"/>
  <c r="X56" i="2"/>
  <c r="X69" i="2"/>
  <c r="X84" i="2"/>
  <c r="X100" i="2"/>
  <c r="X120" i="2"/>
  <c r="X144" i="2"/>
  <c r="X168" i="2"/>
  <c r="X204" i="2"/>
  <c r="X240" i="2"/>
  <c r="X276" i="2"/>
  <c r="X312" i="2"/>
  <c r="X348" i="2"/>
  <c r="Z52" i="2"/>
  <c r="Z147" i="2"/>
  <c r="Z277" i="2"/>
  <c r="V8" i="2"/>
  <c r="V14" i="2"/>
  <c r="V20" i="2"/>
  <c r="V26" i="2"/>
  <c r="V32" i="2"/>
  <c r="V38" i="2"/>
  <c r="V44" i="2"/>
  <c r="V50" i="2"/>
  <c r="V56" i="2"/>
  <c r="V62" i="2"/>
  <c r="V68" i="2"/>
  <c r="V74" i="2"/>
  <c r="V80" i="2"/>
  <c r="V86" i="2"/>
  <c r="V92" i="2"/>
  <c r="V98" i="2"/>
  <c r="V104" i="2"/>
  <c r="V110" i="2"/>
  <c r="V116" i="2"/>
  <c r="V122" i="2"/>
  <c r="V128" i="2"/>
  <c r="V134" i="2"/>
  <c r="V140" i="2"/>
  <c r="V146" i="2"/>
  <c r="V152" i="2"/>
  <c r="V158" i="2"/>
  <c r="V164" i="2"/>
  <c r="V170" i="2"/>
  <c r="V176" i="2"/>
  <c r="V182" i="2"/>
  <c r="V188" i="2"/>
  <c r="V194" i="2"/>
  <c r="V200" i="2"/>
  <c r="V206" i="2"/>
  <c r="V212" i="2"/>
  <c r="V218" i="2"/>
  <c r="V224" i="2"/>
  <c r="V230" i="2"/>
  <c r="V236" i="2"/>
  <c r="V242" i="2"/>
  <c r="V248" i="2"/>
  <c r="V254" i="2"/>
  <c r="V260" i="2"/>
  <c r="V266" i="2"/>
  <c r="V272" i="2"/>
  <c r="V278" i="2"/>
  <c r="V284" i="2"/>
  <c r="V290" i="2"/>
  <c r="V296" i="2"/>
  <c r="V302" i="2"/>
  <c r="V308" i="2"/>
  <c r="V314" i="2"/>
  <c r="V320" i="2"/>
  <c r="V326" i="2"/>
  <c r="V332" i="2"/>
  <c r="V338" i="2"/>
  <c r="V344" i="2"/>
  <c r="V350" i="2"/>
  <c r="V356" i="2"/>
  <c r="V362" i="2"/>
  <c r="V368" i="2"/>
  <c r="V374" i="2"/>
  <c r="W6" i="2"/>
  <c r="W12" i="2"/>
  <c r="W18" i="2"/>
  <c r="W24" i="2"/>
  <c r="W30" i="2"/>
  <c r="W36" i="2"/>
  <c r="W42" i="2"/>
  <c r="W48" i="2"/>
  <c r="W54" i="2"/>
  <c r="W60" i="2"/>
  <c r="W66" i="2"/>
  <c r="W72" i="2"/>
  <c r="W78" i="2"/>
  <c r="W84" i="2"/>
  <c r="W90" i="2"/>
  <c r="W96" i="2"/>
  <c r="W102" i="2"/>
  <c r="W108" i="2"/>
  <c r="W114" i="2"/>
  <c r="W120" i="2"/>
  <c r="W126" i="2"/>
  <c r="W132" i="2"/>
  <c r="W138" i="2"/>
  <c r="W144" i="2"/>
  <c r="W150" i="2"/>
  <c r="W156" i="2"/>
  <c r="W162" i="2"/>
  <c r="W168" i="2"/>
  <c r="W174" i="2"/>
  <c r="W180" i="2"/>
  <c r="W186" i="2"/>
  <c r="W192" i="2"/>
  <c r="W198" i="2"/>
  <c r="W204" i="2"/>
  <c r="W210" i="2"/>
  <c r="W216" i="2"/>
  <c r="W222" i="2"/>
  <c r="W228" i="2"/>
  <c r="W234" i="2"/>
  <c r="W240" i="2"/>
  <c r="W246" i="2"/>
  <c r="W252" i="2"/>
  <c r="W258" i="2"/>
  <c r="W264" i="2"/>
  <c r="W270" i="2"/>
  <c r="W276" i="2"/>
  <c r="W282" i="2"/>
  <c r="W288" i="2"/>
  <c r="W294" i="2"/>
  <c r="W300" i="2"/>
  <c r="W306" i="2"/>
  <c r="W312" i="2"/>
  <c r="W318" i="2"/>
  <c r="W324" i="2"/>
  <c r="W330" i="2"/>
  <c r="W336" i="2"/>
  <c r="W342" i="2"/>
  <c r="W348" i="2"/>
  <c r="W354" i="2"/>
  <c r="W360" i="2"/>
  <c r="W366" i="2"/>
  <c r="W372" i="2"/>
  <c r="W8" i="2"/>
  <c r="W14" i="2"/>
  <c r="W20" i="2"/>
  <c r="W26" i="2"/>
  <c r="W32" i="2"/>
  <c r="W38" i="2"/>
  <c r="W44" i="2"/>
  <c r="W50" i="2"/>
  <c r="W56" i="2"/>
  <c r="W62" i="2"/>
  <c r="W68" i="2"/>
  <c r="W74" i="2"/>
  <c r="W80" i="2"/>
  <c r="W86" i="2"/>
  <c r="W92" i="2"/>
  <c r="W98" i="2"/>
  <c r="W104" i="2"/>
  <c r="W110" i="2"/>
  <c r="W116" i="2"/>
  <c r="W122" i="2"/>
  <c r="W128" i="2"/>
  <c r="W134" i="2"/>
  <c r="W140" i="2"/>
  <c r="W146" i="2"/>
  <c r="W152" i="2"/>
  <c r="W158" i="2"/>
  <c r="W164" i="2"/>
  <c r="W170" i="2"/>
  <c r="W176" i="2"/>
  <c r="W182" i="2"/>
  <c r="W188" i="2"/>
  <c r="W194" i="2"/>
  <c r="W200" i="2"/>
  <c r="W206" i="2"/>
  <c r="W212" i="2"/>
  <c r="W218" i="2"/>
  <c r="W224" i="2"/>
  <c r="W230" i="2"/>
  <c r="W236" i="2"/>
  <c r="W242" i="2"/>
  <c r="W248" i="2"/>
  <c r="W254" i="2"/>
  <c r="W260" i="2"/>
  <c r="W266" i="2"/>
  <c r="W272" i="2"/>
  <c r="W278" i="2"/>
  <c r="W284" i="2"/>
  <c r="W290" i="2"/>
  <c r="W296" i="2"/>
  <c r="W302" i="2"/>
  <c r="W308" i="2"/>
  <c r="W314" i="2"/>
  <c r="W320" i="2"/>
  <c r="W326" i="2"/>
  <c r="W332" i="2"/>
  <c r="W338" i="2"/>
  <c r="W344" i="2"/>
  <c r="W350" i="2"/>
  <c r="W356" i="2"/>
  <c r="W362" i="2"/>
  <c r="W368" i="2"/>
  <c r="W374" i="2"/>
  <c r="V5" i="2"/>
  <c r="V11" i="2"/>
  <c r="V17" i="2"/>
  <c r="V23" i="2"/>
  <c r="V29" i="2"/>
  <c r="V35" i="2"/>
  <c r="V41" i="2"/>
  <c r="V47" i="2"/>
  <c r="V53" i="2"/>
  <c r="V59" i="2"/>
  <c r="V65" i="2"/>
  <c r="V71" i="2"/>
  <c r="V77" i="2"/>
  <c r="V83" i="2"/>
  <c r="V89" i="2"/>
  <c r="V95" i="2"/>
  <c r="V101" i="2"/>
  <c r="V107" i="2"/>
  <c r="V113" i="2"/>
  <c r="V119" i="2"/>
  <c r="V125" i="2"/>
  <c r="V131" i="2"/>
  <c r="V137" i="2"/>
  <c r="V143" i="2"/>
  <c r="V149" i="2"/>
  <c r="V155" i="2"/>
  <c r="V161" i="2"/>
  <c r="V167" i="2"/>
  <c r="V173" i="2"/>
  <c r="V179" i="2"/>
  <c r="V185" i="2"/>
  <c r="V191" i="2"/>
  <c r="V197" i="2"/>
  <c r="V203" i="2"/>
  <c r="V209" i="2"/>
  <c r="V215" i="2"/>
  <c r="V221" i="2"/>
  <c r="V227" i="2"/>
  <c r="V233" i="2"/>
  <c r="V239" i="2"/>
  <c r="V245" i="2"/>
  <c r="V251" i="2"/>
  <c r="V257" i="2"/>
  <c r="V263" i="2"/>
  <c r="V269" i="2"/>
  <c r="V275" i="2"/>
  <c r="V281" i="2"/>
  <c r="V287" i="2"/>
  <c r="V293" i="2"/>
  <c r="V299" i="2"/>
  <c r="V305" i="2"/>
  <c r="V311" i="2"/>
  <c r="V317" i="2"/>
  <c r="V323" i="2"/>
  <c r="V329" i="2"/>
  <c r="V335" i="2"/>
  <c r="V341" i="2"/>
  <c r="V347" i="2"/>
  <c r="V353" i="2"/>
  <c r="V359" i="2"/>
  <c r="V365" i="2"/>
  <c r="W3" i="2"/>
  <c r="W9" i="2"/>
  <c r="W15" i="2"/>
  <c r="W21" i="2"/>
  <c r="W27" i="2"/>
  <c r="W33" i="2"/>
  <c r="W39" i="2"/>
  <c r="W45" i="2"/>
  <c r="W51" i="2"/>
  <c r="W57" i="2"/>
  <c r="W63" i="2"/>
  <c r="W69" i="2"/>
  <c r="W75" i="2"/>
  <c r="W81" i="2"/>
  <c r="W87" i="2"/>
  <c r="W93" i="2"/>
  <c r="W99" i="2"/>
  <c r="W105" i="2"/>
  <c r="W111" i="2"/>
  <c r="W117" i="2"/>
  <c r="W123" i="2"/>
  <c r="W129" i="2"/>
  <c r="W135" i="2"/>
  <c r="W141" i="2"/>
  <c r="W147" i="2"/>
  <c r="W153" i="2"/>
  <c r="W159" i="2"/>
  <c r="W165" i="2"/>
  <c r="W171" i="2"/>
  <c r="W177" i="2"/>
  <c r="W183" i="2"/>
  <c r="W189" i="2"/>
  <c r="W195" i="2"/>
  <c r="W201" i="2"/>
  <c r="W207" i="2"/>
  <c r="W213" i="2"/>
  <c r="W219" i="2"/>
  <c r="W225" i="2"/>
  <c r="W231" i="2"/>
  <c r="W237" i="2"/>
  <c r="W243" i="2"/>
  <c r="W249" i="2"/>
  <c r="W255" i="2"/>
  <c r="W261" i="2"/>
  <c r="W267" i="2"/>
  <c r="W273" i="2"/>
  <c r="W279" i="2"/>
  <c r="W285" i="2"/>
  <c r="W291" i="2"/>
  <c r="W297" i="2"/>
  <c r="W303" i="2"/>
  <c r="W309" i="2"/>
  <c r="W315" i="2"/>
  <c r="W321" i="2"/>
  <c r="W327" i="2"/>
  <c r="W333" i="2"/>
  <c r="W339" i="2"/>
  <c r="W345" i="2"/>
  <c r="W351" i="2"/>
  <c r="W357" i="2"/>
  <c r="W363" i="2"/>
  <c r="AB368" i="2"/>
  <c r="AB362" i="2"/>
  <c r="AB356" i="2"/>
  <c r="AB350" i="2"/>
  <c r="AB344" i="2"/>
  <c r="AB338" i="2"/>
  <c r="AB332" i="2"/>
  <c r="AB326" i="2"/>
  <c r="AB320" i="2"/>
  <c r="AB314" i="2"/>
  <c r="AB308" i="2"/>
  <c r="AB302" i="2"/>
  <c r="AB296" i="2"/>
  <c r="AB290" i="2"/>
  <c r="AB284" i="2"/>
  <c r="AB278" i="2"/>
  <c r="AB272" i="2"/>
  <c r="AB266" i="2"/>
  <c r="AB260" i="2"/>
  <c r="AB254" i="2"/>
  <c r="AB248" i="2"/>
  <c r="AB242" i="2"/>
  <c r="AB373" i="2"/>
  <c r="AB367" i="2"/>
  <c r="AB361" i="2"/>
  <c r="AB355" i="2"/>
  <c r="AB349" i="2"/>
  <c r="AB372" i="2"/>
  <c r="AB366" i="2"/>
  <c r="AB360" i="2"/>
  <c r="AB354" i="2"/>
  <c r="AB348" i="2"/>
  <c r="AB342" i="2"/>
  <c r="AB336" i="2"/>
  <c r="AB330" i="2"/>
  <c r="AB370" i="2"/>
  <c r="AB358" i="2"/>
  <c r="AB346" i="2"/>
  <c r="AB337" i="2"/>
  <c r="AB328" i="2"/>
  <c r="AB321" i="2"/>
  <c r="AB313" i="2"/>
  <c r="AB306" i="2"/>
  <c r="AB299" i="2"/>
  <c r="AB292" i="2"/>
  <c r="AB285" i="2"/>
  <c r="AB277" i="2"/>
  <c r="AB270" i="2"/>
  <c r="AB263" i="2"/>
  <c r="AB256" i="2"/>
  <c r="AB249" i="2"/>
  <c r="AB241" i="2"/>
  <c r="AB235" i="2"/>
  <c r="AB229" i="2"/>
  <c r="AB223" i="2"/>
  <c r="AB217" i="2"/>
  <c r="AB211" i="2"/>
  <c r="AB205" i="2"/>
  <c r="AB199" i="2"/>
  <c r="AB193" i="2"/>
  <c r="AB187" i="2"/>
  <c r="AB181" i="2"/>
  <c r="AB369" i="2"/>
  <c r="AB357" i="2"/>
  <c r="AB345" i="2"/>
  <c r="AB335" i="2"/>
  <c r="AB327" i="2"/>
  <c r="AB319" i="2"/>
  <c r="AB312" i="2"/>
  <c r="AB305" i="2"/>
  <c r="AB298" i="2"/>
  <c r="AB291" i="2"/>
  <c r="AB283" i="2"/>
  <c r="AB276" i="2"/>
  <c r="AB359" i="2"/>
  <c r="AB341" i="2"/>
  <c r="AB329" i="2"/>
  <c r="AB317" i="2"/>
  <c r="AB307" i="2"/>
  <c r="AB295" i="2"/>
  <c r="AB286" i="2"/>
  <c r="AB274" i="2"/>
  <c r="AB265" i="2"/>
  <c r="AB257" i="2"/>
  <c r="AB247" i="2"/>
  <c r="AB239" i="2"/>
  <c r="AB232" i="2"/>
  <c r="AB225" i="2"/>
  <c r="AB218" i="2"/>
  <c r="AB210" i="2"/>
  <c r="AB203" i="2"/>
  <c r="AB196" i="2"/>
  <c r="AB189" i="2"/>
  <c r="AB182" i="2"/>
  <c r="AB175" i="2"/>
  <c r="AB169" i="2"/>
  <c r="AB163" i="2"/>
  <c r="AB157" i="2"/>
  <c r="AB151" i="2"/>
  <c r="AB145" i="2"/>
  <c r="AB139" i="2"/>
  <c r="AB133" i="2"/>
  <c r="AB127" i="2"/>
  <c r="AB121" i="2"/>
  <c r="AB115" i="2"/>
  <c r="AB109" i="2"/>
  <c r="AB103" i="2"/>
  <c r="AB97" i="2"/>
  <c r="AB91" i="2"/>
  <c r="AB85" i="2"/>
  <c r="AB79" i="2"/>
  <c r="AB73" i="2"/>
  <c r="AB67" i="2"/>
  <c r="AB61" i="2"/>
  <c r="AB55" i="2"/>
  <c r="AB49" i="2"/>
  <c r="AB43" i="2"/>
  <c r="AB37" i="2"/>
  <c r="AB31" i="2"/>
  <c r="AB25" i="2"/>
  <c r="AB19" i="2"/>
  <c r="AB13" i="2"/>
  <c r="AB7" i="2"/>
  <c r="AB2" i="2"/>
  <c r="AB353" i="2"/>
  <c r="AB340" i="2"/>
  <c r="AB325" i="2"/>
  <c r="AB316" i="2"/>
  <c r="AB304" i="2"/>
  <c r="AB294" i="2"/>
  <c r="AB282" i="2"/>
  <c r="AB273" i="2"/>
  <c r="AB264" i="2"/>
  <c r="AB255" i="2"/>
  <c r="AB246" i="2"/>
  <c r="AB238" i="2"/>
  <c r="AB231" i="2"/>
  <c r="AB224" i="2"/>
  <c r="AB216" i="2"/>
  <c r="AB209" i="2"/>
  <c r="AB202" i="2"/>
  <c r="AB195" i="2"/>
  <c r="AB188" i="2"/>
  <c r="AB180" i="2"/>
  <c r="AB174" i="2"/>
  <c r="AB168" i="2"/>
  <c r="AB162" i="2"/>
  <c r="AB156" i="2"/>
  <c r="AB150" i="2"/>
  <c r="AB144" i="2"/>
  <c r="AB138" i="2"/>
  <c r="AB132" i="2"/>
  <c r="AB126" i="2"/>
  <c r="AB120" i="2"/>
  <c r="AB114" i="2"/>
  <c r="AB108" i="2"/>
  <c r="AB102" i="2"/>
  <c r="AB96" i="2"/>
  <c r="AB90" i="2"/>
  <c r="AB84" i="2"/>
  <c r="AB78" i="2"/>
  <c r="AB72" i="2"/>
  <c r="AB66" i="2"/>
  <c r="AB60" i="2"/>
  <c r="AB54" i="2"/>
  <c r="AB48" i="2"/>
  <c r="AB42" i="2"/>
  <c r="AB36" i="2"/>
  <c r="AB30" i="2"/>
  <c r="AB24" i="2"/>
  <c r="AB18" i="2"/>
  <c r="AB12" i="2"/>
  <c r="AB6" i="2"/>
  <c r="AB365" i="2"/>
  <c r="AB351" i="2"/>
  <c r="AB334" i="2"/>
  <c r="AB323" i="2"/>
  <c r="AB311" i="2"/>
  <c r="AB301" i="2"/>
  <c r="AB289" i="2"/>
  <c r="AB280" i="2"/>
  <c r="AB269" i="2"/>
  <c r="AB261" i="2"/>
  <c r="AB252" i="2"/>
  <c r="AB244" i="2"/>
  <c r="AB236" i="2"/>
  <c r="AB228" i="2"/>
  <c r="AB221" i="2"/>
  <c r="AB214" i="2"/>
  <c r="AB207" i="2"/>
  <c r="AB200" i="2"/>
  <c r="AB192" i="2"/>
  <c r="AB185" i="2"/>
  <c r="AB178" i="2"/>
  <c r="AB172" i="2"/>
  <c r="AB166" i="2"/>
  <c r="AB160" i="2"/>
  <c r="AB154" i="2"/>
  <c r="AB148" i="2"/>
  <c r="AB142" i="2"/>
  <c r="AB136" i="2"/>
  <c r="AB130" i="2"/>
  <c r="AB124" i="2"/>
  <c r="AB118" i="2"/>
  <c r="AB112" i="2"/>
  <c r="AB106" i="2"/>
  <c r="AB100" i="2"/>
  <c r="AB94" i="2"/>
  <c r="AB88" i="2"/>
  <c r="AB82" i="2"/>
  <c r="AB76" i="2"/>
  <c r="AB70" i="2"/>
  <c r="AB64" i="2"/>
  <c r="AB58" i="2"/>
  <c r="AB52" i="2"/>
  <c r="AB46" i="2"/>
  <c r="AB40" i="2"/>
  <c r="AB34" i="2"/>
  <c r="AB28" i="2"/>
  <c r="AB22" i="2"/>
  <c r="AB16" i="2"/>
  <c r="AB10" i="2"/>
  <c r="AB4" i="2"/>
  <c r="AB364" i="2"/>
  <c r="AB347" i="2"/>
  <c r="AB333" i="2"/>
  <c r="AB322" i="2"/>
  <c r="AB310" i="2"/>
  <c r="AB300" i="2"/>
  <c r="AB288" i="2"/>
  <c r="AB279" i="2"/>
  <c r="AB268" i="2"/>
  <c r="AB259" i="2"/>
  <c r="AB251" i="2"/>
  <c r="AB243" i="2"/>
  <c r="AB234" i="2"/>
  <c r="AB227" i="2"/>
  <c r="AB220" i="2"/>
  <c r="AB213" i="2"/>
  <c r="AB206" i="2"/>
  <c r="AB198" i="2"/>
  <c r="AB191" i="2"/>
  <c r="AB184" i="2"/>
  <c r="AB177" i="2"/>
  <c r="AB171" i="2"/>
  <c r="AB165" i="2"/>
  <c r="AB159" i="2"/>
  <c r="AB153" i="2"/>
  <c r="AB147" i="2"/>
  <c r="AB141" i="2"/>
  <c r="AB135" i="2"/>
  <c r="AB129" i="2"/>
  <c r="AB123" i="2"/>
  <c r="AB117" i="2"/>
  <c r="AB111" i="2"/>
  <c r="AB105" i="2"/>
  <c r="AB99" i="2"/>
  <c r="AB93" i="2"/>
  <c r="AB87" i="2"/>
  <c r="AB81" i="2"/>
  <c r="AB75" i="2"/>
  <c r="AB69" i="2"/>
  <c r="AB63" i="2"/>
  <c r="AB57" i="2"/>
  <c r="AB51" i="2"/>
  <c r="AB45" i="2"/>
  <c r="AB39" i="2"/>
  <c r="AB33" i="2"/>
  <c r="AB27" i="2"/>
  <c r="AB21" i="2"/>
  <c r="AB15" i="2"/>
  <c r="AB9" i="2"/>
  <c r="AB3" i="2"/>
  <c r="AB20" i="2"/>
  <c r="AB38" i="2"/>
  <c r="AB56" i="2"/>
  <c r="AB74" i="2"/>
  <c r="AB92" i="2"/>
  <c r="AB110" i="2"/>
  <c r="AB128" i="2"/>
  <c r="AB146" i="2"/>
  <c r="AB164" i="2"/>
  <c r="AB183" i="2"/>
  <c r="AB204" i="2"/>
  <c r="AB226" i="2"/>
  <c r="AB250" i="2"/>
  <c r="AB275" i="2"/>
  <c r="AB309" i="2"/>
  <c r="AB343" i="2"/>
  <c r="Y5" i="2"/>
  <c r="Y11" i="2"/>
  <c r="Y17" i="2"/>
  <c r="Y23" i="2"/>
  <c r="Y29" i="2"/>
  <c r="Y35" i="2"/>
  <c r="Y41" i="2"/>
  <c r="Y47" i="2"/>
  <c r="Y53" i="2"/>
  <c r="Y59" i="2"/>
  <c r="Y65" i="2"/>
  <c r="Y71" i="2"/>
  <c r="Y77" i="2"/>
  <c r="Y83" i="2"/>
  <c r="Y89" i="2"/>
  <c r="Y95" i="2"/>
  <c r="Y101" i="2"/>
  <c r="Y107" i="2"/>
  <c r="Y113" i="2"/>
  <c r="Y119" i="2"/>
  <c r="Y125" i="2"/>
  <c r="Y131" i="2"/>
  <c r="Y137" i="2"/>
  <c r="Y143" i="2"/>
  <c r="Y149" i="2"/>
  <c r="Y155" i="2"/>
  <c r="Y161" i="2"/>
  <c r="Y167" i="2"/>
  <c r="Y173" i="2"/>
  <c r="Y179" i="2"/>
  <c r="Y185" i="2"/>
  <c r="Y191" i="2"/>
  <c r="Y197" i="2"/>
  <c r="Y203" i="2"/>
  <c r="Y209" i="2"/>
  <c r="Y215" i="2"/>
  <c r="Y221" i="2"/>
  <c r="Y227" i="2"/>
  <c r="Y233" i="2"/>
  <c r="Y239" i="2"/>
  <c r="Y245" i="2"/>
  <c r="Y251" i="2"/>
  <c r="Y257" i="2"/>
  <c r="Y263" i="2"/>
  <c r="Y269" i="2"/>
  <c r="Y275" i="2"/>
  <c r="Y281" i="2"/>
  <c r="Y287" i="2"/>
  <c r="Y293" i="2"/>
  <c r="Y299" i="2"/>
  <c r="Y305" i="2"/>
  <c r="Y311" i="2"/>
  <c r="Y317" i="2"/>
  <c r="Y323" i="2"/>
  <c r="Y329" i="2"/>
  <c r="Y335" i="2"/>
  <c r="Y341" i="2"/>
  <c r="Y347" i="2"/>
  <c r="Y353" i="2"/>
  <c r="Y359" i="2"/>
  <c r="Y365" i="2"/>
  <c r="Y371" i="2"/>
  <c r="AB5" i="2"/>
  <c r="AB23" i="2"/>
  <c r="AB41" i="2"/>
  <c r="AB59" i="2"/>
  <c r="AB77" i="2"/>
  <c r="AB95" i="2"/>
  <c r="AB113" i="2"/>
  <c r="AB131" i="2"/>
  <c r="AB149" i="2"/>
  <c r="AB167" i="2"/>
  <c r="AB186" i="2"/>
  <c r="AB208" i="2"/>
  <c r="AB230" i="2"/>
  <c r="AB253" i="2"/>
  <c r="AB281" i="2"/>
  <c r="AB315" i="2"/>
  <c r="AB352" i="2"/>
  <c r="Y6" i="2"/>
  <c r="Y12" i="2"/>
  <c r="Y18" i="2"/>
  <c r="Y24" i="2"/>
  <c r="Y30" i="2"/>
  <c r="Y36" i="2"/>
  <c r="Y42" i="2"/>
  <c r="Y48" i="2"/>
  <c r="Y54" i="2"/>
  <c r="Y60" i="2"/>
  <c r="Y66" i="2"/>
  <c r="Y72" i="2"/>
  <c r="Y78" i="2"/>
  <c r="Y84" i="2"/>
  <c r="Y90" i="2"/>
  <c r="Y96" i="2"/>
  <c r="Y102" i="2"/>
  <c r="Y108" i="2"/>
  <c r="Y114" i="2"/>
  <c r="Y120" i="2"/>
  <c r="Y126" i="2"/>
  <c r="Y132" i="2"/>
  <c r="Y138" i="2"/>
  <c r="Y144" i="2"/>
  <c r="Y150" i="2"/>
  <c r="Y156" i="2"/>
  <c r="Y162" i="2"/>
  <c r="Y168" i="2"/>
  <c r="Y174" i="2"/>
  <c r="Y180" i="2"/>
  <c r="Y186" i="2"/>
  <c r="Y192" i="2"/>
  <c r="Y198" i="2"/>
  <c r="Y204" i="2"/>
  <c r="Y210" i="2"/>
  <c r="Y216" i="2"/>
  <c r="Y222" i="2"/>
  <c r="Y228" i="2"/>
  <c r="Y234" i="2"/>
  <c r="Y240" i="2"/>
  <c r="Y246" i="2"/>
  <c r="Y252" i="2"/>
  <c r="Y258" i="2"/>
  <c r="Y264" i="2"/>
  <c r="Y270" i="2"/>
  <c r="Y276" i="2"/>
  <c r="Y282" i="2"/>
  <c r="Y288" i="2"/>
  <c r="Y294" i="2"/>
  <c r="Y300" i="2"/>
  <c r="Y306" i="2"/>
  <c r="Y312" i="2"/>
  <c r="Y318" i="2"/>
  <c r="Y324" i="2"/>
  <c r="Y330" i="2"/>
  <c r="Y336" i="2"/>
  <c r="Y342" i="2"/>
  <c r="Y348" i="2"/>
  <c r="Y354" i="2"/>
  <c r="Y360" i="2"/>
  <c r="Y366" i="2"/>
  <c r="Y372" i="2"/>
  <c r="AB8" i="2"/>
  <c r="AB26" i="2"/>
  <c r="AB44" i="2"/>
  <c r="AB62" i="2"/>
  <c r="AB80" i="2"/>
  <c r="AB98" i="2"/>
  <c r="AB116" i="2"/>
  <c r="AB134" i="2"/>
  <c r="AB152" i="2"/>
  <c r="AB170" i="2"/>
  <c r="AB190" i="2"/>
  <c r="AB212" i="2"/>
  <c r="AB233" i="2"/>
  <c r="AB258" i="2"/>
  <c r="AB287" i="2"/>
  <c r="AB318" i="2"/>
  <c r="AB363" i="2"/>
  <c r="Y2" i="2"/>
  <c r="Y7" i="2"/>
  <c r="Y13" i="2"/>
  <c r="Y19" i="2"/>
  <c r="Y25" i="2"/>
  <c r="Y31" i="2"/>
  <c r="Y37" i="2"/>
  <c r="Y43" i="2"/>
  <c r="Y49" i="2"/>
  <c r="Y55" i="2"/>
  <c r="Y61" i="2"/>
  <c r="Y67" i="2"/>
  <c r="Y73" i="2"/>
  <c r="Y79" i="2"/>
  <c r="Y85" i="2"/>
  <c r="Y91" i="2"/>
  <c r="Y97" i="2"/>
  <c r="Y103" i="2"/>
  <c r="Y109" i="2"/>
  <c r="Y115" i="2"/>
  <c r="Y121" i="2"/>
  <c r="Y127" i="2"/>
  <c r="Y133" i="2"/>
  <c r="Y139" i="2"/>
  <c r="Y145" i="2"/>
  <c r="Y151" i="2"/>
  <c r="Y157" i="2"/>
  <c r="Y163" i="2"/>
  <c r="Y169" i="2"/>
  <c r="Y175" i="2"/>
  <c r="Y181" i="2"/>
  <c r="Y187" i="2"/>
  <c r="Y193" i="2"/>
  <c r="Y199" i="2"/>
  <c r="Y205" i="2"/>
  <c r="Y211" i="2"/>
  <c r="Y217" i="2"/>
  <c r="Y223" i="2"/>
  <c r="Y229" i="2"/>
  <c r="Y235" i="2"/>
  <c r="Y241" i="2"/>
  <c r="Y247" i="2"/>
  <c r="Y253" i="2"/>
  <c r="Y259" i="2"/>
  <c r="Y265" i="2"/>
  <c r="Y271" i="2"/>
  <c r="Y277" i="2"/>
  <c r="Y283" i="2"/>
  <c r="Y289" i="2"/>
  <c r="Y295" i="2"/>
  <c r="Y301" i="2"/>
  <c r="Y307" i="2"/>
  <c r="Y313" i="2"/>
  <c r="Y319" i="2"/>
  <c r="Y325" i="2"/>
  <c r="Y331" i="2"/>
  <c r="Y337" i="2"/>
  <c r="Y343" i="2"/>
  <c r="Y349" i="2"/>
  <c r="Y355" i="2"/>
  <c r="Y361" i="2"/>
  <c r="Y367" i="2"/>
  <c r="Y373" i="2"/>
  <c r="AB11" i="2"/>
  <c r="AB29" i="2"/>
  <c r="AB47" i="2"/>
  <c r="AB65" i="2"/>
  <c r="AB83" i="2"/>
  <c r="AB101" i="2"/>
  <c r="AB119" i="2"/>
  <c r="AB137" i="2"/>
  <c r="AB155" i="2"/>
  <c r="AB173" i="2"/>
  <c r="AB194" i="2"/>
  <c r="AB215" i="2"/>
  <c r="AB237" i="2"/>
  <c r="AB262" i="2"/>
  <c r="AB293" i="2"/>
  <c r="AB324" i="2"/>
  <c r="AB371" i="2"/>
  <c r="Y8" i="2"/>
  <c r="Y14" i="2"/>
  <c r="Y20" i="2"/>
  <c r="Y26" i="2"/>
  <c r="Y32" i="2"/>
  <c r="Y38" i="2"/>
  <c r="Y44" i="2"/>
  <c r="Y50" i="2"/>
  <c r="Y56" i="2"/>
  <c r="Y62" i="2"/>
  <c r="Y68" i="2"/>
  <c r="Y74" i="2"/>
  <c r="Y80" i="2"/>
  <c r="Y86" i="2"/>
  <c r="Y92" i="2"/>
  <c r="Y98" i="2"/>
  <c r="Y104" i="2"/>
  <c r="Y110" i="2"/>
  <c r="Y116" i="2"/>
  <c r="Y122" i="2"/>
  <c r="Y128" i="2"/>
  <c r="Y134" i="2"/>
  <c r="Y140" i="2"/>
  <c r="Y146" i="2"/>
  <c r="Y152" i="2"/>
  <c r="Y158" i="2"/>
  <c r="Y164" i="2"/>
  <c r="Y170" i="2"/>
  <c r="Y176" i="2"/>
  <c r="Y182" i="2"/>
  <c r="Y188" i="2"/>
  <c r="Y194" i="2"/>
  <c r="Y200" i="2"/>
  <c r="Y206" i="2"/>
  <c r="Y212" i="2"/>
  <c r="Y218" i="2"/>
  <c r="Y224" i="2"/>
  <c r="Y230" i="2"/>
  <c r="Y236" i="2"/>
  <c r="Y242" i="2"/>
  <c r="Y248" i="2"/>
  <c r="Y254" i="2"/>
  <c r="Y260" i="2"/>
  <c r="Y266" i="2"/>
  <c r="Y272" i="2"/>
  <c r="Y278" i="2"/>
  <c r="Y284" i="2"/>
  <c r="Y290" i="2"/>
  <c r="Y296" i="2"/>
  <c r="Y302" i="2"/>
  <c r="Y308" i="2"/>
  <c r="Y314" i="2"/>
  <c r="Y320" i="2"/>
  <c r="Y326" i="2"/>
  <c r="Y332" i="2"/>
  <c r="Y338" i="2"/>
  <c r="Y344" i="2"/>
  <c r="Y350" i="2"/>
  <c r="Y356" i="2"/>
  <c r="Y362" i="2"/>
  <c r="Y368" i="2"/>
  <c r="Y374" i="2"/>
  <c r="AB14" i="2"/>
  <c r="AB32" i="2"/>
  <c r="AB50" i="2"/>
  <c r="AB68" i="2"/>
  <c r="AB86" i="2"/>
  <c r="AB104" i="2"/>
  <c r="AB122" i="2"/>
  <c r="AB140" i="2"/>
  <c r="AB158" i="2"/>
  <c r="AB176" i="2"/>
  <c r="AB197" i="2"/>
  <c r="AB219" i="2"/>
  <c r="AB240" i="2"/>
  <c r="AB267" i="2"/>
  <c r="AB297" i="2"/>
  <c r="AB331" i="2"/>
  <c r="Y3" i="2"/>
  <c r="Y9" i="2"/>
  <c r="Y15" i="2"/>
  <c r="Y21" i="2"/>
  <c r="Y27" i="2"/>
  <c r="Y33" i="2"/>
  <c r="Y39" i="2"/>
  <c r="Y45" i="2"/>
  <c r="Y51" i="2"/>
  <c r="Y57" i="2"/>
  <c r="Y63" i="2"/>
  <c r="Y69" i="2"/>
  <c r="Y75" i="2"/>
  <c r="Y81" i="2"/>
  <c r="Y87" i="2"/>
  <c r="Y93" i="2"/>
  <c r="Y99" i="2"/>
  <c r="Y105" i="2"/>
  <c r="Y111" i="2"/>
  <c r="Y117" i="2"/>
  <c r="Y123" i="2"/>
  <c r="Y129" i="2"/>
  <c r="Y135" i="2"/>
  <c r="Y141" i="2"/>
  <c r="Y147" i="2"/>
  <c r="Y153" i="2"/>
  <c r="Y159" i="2"/>
  <c r="Y165" i="2"/>
  <c r="Y171" i="2"/>
  <c r="Y177" i="2"/>
  <c r="Y183" i="2"/>
  <c r="Y189" i="2"/>
  <c r="Y195" i="2"/>
  <c r="Y201" i="2"/>
  <c r="Y207" i="2"/>
  <c r="Y213" i="2"/>
  <c r="Y219" i="2"/>
  <c r="Y225" i="2"/>
  <c r="Y231" i="2"/>
  <c r="Y237" i="2"/>
  <c r="Y243" i="2"/>
  <c r="Y249" i="2"/>
  <c r="Y255" i="2"/>
  <c r="Y261" i="2"/>
  <c r="Y267" i="2"/>
  <c r="Y273" i="2"/>
  <c r="Y279" i="2"/>
  <c r="Y285" i="2"/>
  <c r="Y291" i="2"/>
  <c r="Y297" i="2"/>
  <c r="Y303" i="2"/>
  <c r="Y309" i="2"/>
  <c r="Y315" i="2"/>
  <c r="Y321" i="2"/>
  <c r="Y327" i="2"/>
  <c r="Y333" i="2"/>
  <c r="Y339" i="2"/>
  <c r="Y345" i="2"/>
  <c r="Y351" i="2"/>
  <c r="Y357" i="2"/>
  <c r="Y363" i="2"/>
  <c r="AB17" i="2"/>
  <c r="AB35" i="2"/>
  <c r="AB53" i="2"/>
  <c r="AB71" i="2"/>
  <c r="AB89" i="2"/>
  <c r="AB107" i="2"/>
  <c r="AB125" i="2"/>
  <c r="AB143" i="2"/>
  <c r="AB161" i="2"/>
  <c r="AB179" i="2"/>
  <c r="AB201" i="2"/>
  <c r="AB222" i="2"/>
  <c r="AB245" i="2"/>
  <c r="AB271" i="2"/>
  <c r="AB303" i="2"/>
  <c r="AB339" i="2"/>
  <c r="AA4" i="2"/>
  <c r="AA10" i="2"/>
  <c r="AA16" i="2"/>
  <c r="AA22" i="2"/>
  <c r="AA28" i="2"/>
  <c r="AA34" i="2"/>
  <c r="AA40" i="2"/>
  <c r="AA46" i="2"/>
  <c r="AA52" i="2"/>
  <c r="AA58" i="2"/>
  <c r="AA64" i="2"/>
  <c r="AA70" i="2"/>
  <c r="AA76" i="2"/>
  <c r="AA82" i="2"/>
  <c r="AA88" i="2"/>
  <c r="AA94" i="2"/>
  <c r="AA100" i="2"/>
  <c r="AA106" i="2"/>
  <c r="AA112" i="2"/>
  <c r="AA118" i="2"/>
  <c r="AA124" i="2"/>
  <c r="AA130" i="2"/>
  <c r="AA136" i="2"/>
  <c r="AA142" i="2"/>
  <c r="AA148" i="2"/>
  <c r="AA154" i="2"/>
  <c r="AA160" i="2"/>
  <c r="AA166" i="2"/>
  <c r="AA172" i="2"/>
  <c r="AA178" i="2"/>
  <c r="AA184" i="2"/>
  <c r="AA190" i="2"/>
  <c r="AA196" i="2"/>
  <c r="AA202" i="2"/>
  <c r="AA208" i="2"/>
  <c r="AA214" i="2"/>
  <c r="AA220" i="2"/>
  <c r="AA226" i="2"/>
  <c r="AA232" i="2"/>
  <c r="AA238" i="2"/>
  <c r="AA244" i="2"/>
  <c r="AA250" i="2"/>
  <c r="AA256" i="2"/>
  <c r="AA262" i="2"/>
  <c r="AA268" i="2"/>
  <c r="AA274" i="2"/>
  <c r="AA280" i="2"/>
  <c r="AA286" i="2"/>
  <c r="AA292" i="2"/>
  <c r="AA298" i="2"/>
  <c r="AA304" i="2"/>
  <c r="AA310" i="2"/>
  <c r="AA316" i="2"/>
  <c r="AA322" i="2"/>
  <c r="AA328" i="2"/>
  <c r="AA334" i="2"/>
  <c r="AA340" i="2"/>
  <c r="AA346" i="2"/>
  <c r="AA352" i="2"/>
  <c r="AA358" i="2"/>
  <c r="AA364" i="2"/>
  <c r="AA370" i="2"/>
  <c r="B20" i="4"/>
  <c r="B45" i="4"/>
  <c r="B73" i="4"/>
  <c r="B102" i="4"/>
  <c r="B131" i="4"/>
  <c r="B160" i="4"/>
  <c r="B189" i="4"/>
  <c r="B217" i="4"/>
  <c r="B246" i="4"/>
  <c r="B275" i="4"/>
  <c r="B304" i="4"/>
  <c r="B333" i="4"/>
  <c r="B361" i="4"/>
  <c r="AA5" i="2"/>
  <c r="AA11" i="2"/>
  <c r="AA17" i="2"/>
  <c r="AA23" i="2"/>
  <c r="AA29" i="2"/>
  <c r="AA35" i="2"/>
  <c r="AA41" i="2"/>
  <c r="AA47" i="2"/>
  <c r="AA53" i="2"/>
  <c r="AA59" i="2"/>
  <c r="AA65" i="2"/>
  <c r="AA71" i="2"/>
  <c r="AA77" i="2"/>
  <c r="AA83" i="2"/>
  <c r="AA89" i="2"/>
  <c r="AA95" i="2"/>
  <c r="AA101" i="2"/>
  <c r="AA107" i="2"/>
  <c r="AA113" i="2"/>
  <c r="AA119" i="2"/>
  <c r="AA125" i="2"/>
  <c r="AA131" i="2"/>
  <c r="AA137" i="2"/>
  <c r="AA143" i="2"/>
  <c r="AA149" i="2"/>
  <c r="AA155" i="2"/>
  <c r="AA161" i="2"/>
  <c r="AA167" i="2"/>
  <c r="AA173" i="2"/>
  <c r="AA179" i="2"/>
  <c r="AA185" i="2"/>
  <c r="AA191" i="2"/>
  <c r="AA197" i="2"/>
  <c r="AA203" i="2"/>
  <c r="AA209" i="2"/>
  <c r="AA215" i="2"/>
  <c r="AA221" i="2"/>
  <c r="AA227" i="2"/>
  <c r="AA233" i="2"/>
  <c r="AA239" i="2"/>
  <c r="AA245" i="2"/>
  <c r="AA251" i="2"/>
  <c r="AA257" i="2"/>
  <c r="AA263" i="2"/>
  <c r="AA269" i="2"/>
  <c r="AA275" i="2"/>
  <c r="AA281" i="2"/>
  <c r="AA287" i="2"/>
  <c r="AA293" i="2"/>
  <c r="AA299" i="2"/>
  <c r="AA305" i="2"/>
  <c r="AA311" i="2"/>
  <c r="AA317" i="2"/>
  <c r="AA323" i="2"/>
  <c r="AA329" i="2"/>
  <c r="AA335" i="2"/>
  <c r="AA341" i="2"/>
  <c r="AA347" i="2"/>
  <c r="AA353" i="2"/>
  <c r="AA359" i="2"/>
  <c r="AA365" i="2"/>
  <c r="AA371" i="2"/>
  <c r="B2" i="4"/>
  <c r="B25" i="4"/>
  <c r="B51" i="4"/>
  <c r="B79" i="4"/>
  <c r="B108" i="4"/>
  <c r="B137" i="4"/>
  <c r="B166" i="4"/>
  <c r="B195" i="4"/>
  <c r="B223" i="4"/>
  <c r="B252" i="4"/>
  <c r="B281" i="4"/>
  <c r="B310" i="4"/>
  <c r="B339" i="4"/>
  <c r="B374" i="4"/>
  <c r="B368" i="4"/>
  <c r="B362" i="4"/>
  <c r="B356" i="4"/>
  <c r="B350" i="4"/>
  <c r="B344" i="4"/>
  <c r="B338" i="4"/>
  <c r="B332" i="4"/>
  <c r="B326" i="4"/>
  <c r="B320" i="4"/>
  <c r="B314" i="4"/>
  <c r="B308" i="4"/>
  <c r="B302" i="4"/>
  <c r="B296" i="4"/>
  <c r="B290" i="4"/>
  <c r="B284" i="4"/>
  <c r="B278" i="4"/>
  <c r="B272" i="4"/>
  <c r="B266" i="4"/>
  <c r="B260" i="4"/>
  <c r="B254" i="4"/>
  <c r="B248" i="4"/>
  <c r="B242" i="4"/>
  <c r="B236" i="4"/>
  <c r="B230" i="4"/>
  <c r="B224" i="4"/>
  <c r="B218" i="4"/>
  <c r="B212" i="4"/>
  <c r="B206" i="4"/>
  <c r="B200" i="4"/>
  <c r="B194" i="4"/>
  <c r="B188" i="4"/>
  <c r="B182" i="4"/>
  <c r="B176" i="4"/>
  <c r="B170" i="4"/>
  <c r="B164" i="4"/>
  <c r="B158" i="4"/>
  <c r="B152" i="4"/>
  <c r="B146" i="4"/>
  <c r="B140" i="4"/>
  <c r="B134" i="4"/>
  <c r="B128" i="4"/>
  <c r="B122" i="4"/>
  <c r="B116" i="4"/>
  <c r="B110" i="4"/>
  <c r="B104" i="4"/>
  <c r="B98" i="4"/>
  <c r="B92" i="4"/>
  <c r="B86" i="4"/>
  <c r="B80" i="4"/>
  <c r="B74" i="4"/>
  <c r="B68" i="4"/>
  <c r="B62" i="4"/>
  <c r="B56" i="4"/>
  <c r="B50" i="4"/>
  <c r="B44" i="4"/>
  <c r="B372" i="4"/>
  <c r="B365" i="4"/>
  <c r="B358" i="4"/>
  <c r="B351" i="4"/>
  <c r="B343" i="4"/>
  <c r="B336" i="4"/>
  <c r="B329" i="4"/>
  <c r="B322" i="4"/>
  <c r="B315" i="4"/>
  <c r="B307" i="4"/>
  <c r="B300" i="4"/>
  <c r="B293" i="4"/>
  <c r="B286" i="4"/>
  <c r="B279" i="4"/>
  <c r="B271" i="4"/>
  <c r="B264" i="4"/>
  <c r="B257" i="4"/>
  <c r="B250" i="4"/>
  <c r="B243" i="4"/>
  <c r="B235" i="4"/>
  <c r="B228" i="4"/>
  <c r="B221" i="4"/>
  <c r="B214" i="4"/>
  <c r="B207" i="4"/>
  <c r="B199" i="4"/>
  <c r="B192" i="4"/>
  <c r="B185" i="4"/>
  <c r="B178" i="4"/>
  <c r="B171" i="4"/>
  <c r="B163" i="4"/>
  <c r="B156" i="4"/>
  <c r="B149" i="4"/>
  <c r="B142" i="4"/>
  <c r="B135" i="4"/>
  <c r="B127" i="4"/>
  <c r="B120" i="4"/>
  <c r="B113" i="4"/>
  <c r="B106" i="4"/>
  <c r="B99" i="4"/>
  <c r="B91" i="4"/>
  <c r="B84" i="4"/>
  <c r="B77" i="4"/>
  <c r="B70" i="4"/>
  <c r="B63" i="4"/>
  <c r="B55" i="4"/>
  <c r="B48" i="4"/>
  <c r="B41" i="4"/>
  <c r="B35" i="4"/>
  <c r="B29" i="4"/>
  <c r="B23" i="4"/>
  <c r="B17" i="4"/>
  <c r="B11" i="4"/>
  <c r="B5" i="4"/>
  <c r="B371" i="4"/>
  <c r="B364" i="4"/>
  <c r="B357" i="4"/>
  <c r="B349" i="4"/>
  <c r="B342" i="4"/>
  <c r="B335" i="4"/>
  <c r="B328" i="4"/>
  <c r="B321" i="4"/>
  <c r="B313" i="4"/>
  <c r="B306" i="4"/>
  <c r="B299" i="4"/>
  <c r="B292" i="4"/>
  <c r="B285" i="4"/>
  <c r="B277" i="4"/>
  <c r="B270" i="4"/>
  <c r="B263" i="4"/>
  <c r="B256" i="4"/>
  <c r="B249" i="4"/>
  <c r="B241" i="4"/>
  <c r="B234" i="4"/>
  <c r="B227" i="4"/>
  <c r="B220" i="4"/>
  <c r="B213" i="4"/>
  <c r="B205" i="4"/>
  <c r="B198" i="4"/>
  <c r="B191" i="4"/>
  <c r="B184" i="4"/>
  <c r="B177" i="4"/>
  <c r="B169" i="4"/>
  <c r="B162" i="4"/>
  <c r="B155" i="4"/>
  <c r="B148" i="4"/>
  <c r="B141" i="4"/>
  <c r="B133" i="4"/>
  <c r="B126" i="4"/>
  <c r="B119" i="4"/>
  <c r="B112" i="4"/>
  <c r="B105" i="4"/>
  <c r="B97" i="4"/>
  <c r="B90" i="4"/>
  <c r="B83" i="4"/>
  <c r="B76" i="4"/>
  <c r="B69" i="4"/>
  <c r="B61" i="4"/>
  <c r="B54" i="4"/>
  <c r="B47" i="4"/>
  <c r="B40" i="4"/>
  <c r="B34" i="4"/>
  <c r="B28" i="4"/>
  <c r="B22" i="4"/>
  <c r="B16" i="4"/>
  <c r="B10" i="4"/>
  <c r="B4" i="4"/>
  <c r="B370" i="4"/>
  <c r="B363" i="4"/>
  <c r="B355" i="4"/>
  <c r="B348" i="4"/>
  <c r="B341" i="4"/>
  <c r="B334" i="4"/>
  <c r="B327" i="4"/>
  <c r="B319" i="4"/>
  <c r="B312" i="4"/>
  <c r="B305" i="4"/>
  <c r="B298" i="4"/>
  <c r="B291" i="4"/>
  <c r="B283" i="4"/>
  <c r="B276" i="4"/>
  <c r="B269" i="4"/>
  <c r="B262" i="4"/>
  <c r="B255" i="4"/>
  <c r="B247" i="4"/>
  <c r="B240" i="4"/>
  <c r="B233" i="4"/>
  <c r="B226" i="4"/>
  <c r="B219" i="4"/>
  <c r="B211" i="4"/>
  <c r="B204" i="4"/>
  <c r="B197" i="4"/>
  <c r="B190" i="4"/>
  <c r="B183" i="4"/>
  <c r="B175" i="4"/>
  <c r="B168" i="4"/>
  <c r="B161" i="4"/>
  <c r="B154" i="4"/>
  <c r="B147" i="4"/>
  <c r="B139" i="4"/>
  <c r="B132" i="4"/>
  <c r="B125" i="4"/>
  <c r="B118" i="4"/>
  <c r="B111" i="4"/>
  <c r="B103" i="4"/>
  <c r="B96" i="4"/>
  <c r="B89" i="4"/>
  <c r="B82" i="4"/>
  <c r="B75" i="4"/>
  <c r="B67" i="4"/>
  <c r="B60" i="4"/>
  <c r="B53" i="4"/>
  <c r="B46" i="4"/>
  <c r="B39" i="4"/>
  <c r="B33" i="4"/>
  <c r="B27" i="4"/>
  <c r="B21" i="4"/>
  <c r="B15" i="4"/>
  <c r="B9" i="4"/>
  <c r="B3" i="4"/>
  <c r="B366" i="4"/>
  <c r="B352" i="4"/>
  <c r="B337" i="4"/>
  <c r="B323" i="4"/>
  <c r="B309" i="4"/>
  <c r="B294" i="4"/>
  <c r="B280" i="4"/>
  <c r="B265" i="4"/>
  <c r="B251" i="4"/>
  <c r="B237" i="4"/>
  <c r="B222" i="4"/>
  <c r="B208" i="4"/>
  <c r="B193" i="4"/>
  <c r="B179" i="4"/>
  <c r="B165" i="4"/>
  <c r="B150" i="4"/>
  <c r="B136" i="4"/>
  <c r="B121" i="4"/>
  <c r="B107" i="4"/>
  <c r="B93" i="4"/>
  <c r="B78" i="4"/>
  <c r="B64" i="4"/>
  <c r="B49" i="4"/>
  <c r="B36" i="4"/>
  <c r="B24" i="4"/>
  <c r="B12" i="4"/>
  <c r="B360" i="4"/>
  <c r="B346" i="4"/>
  <c r="B331" i="4"/>
  <c r="B317" i="4"/>
  <c r="B303" i="4"/>
  <c r="B288" i="4"/>
  <c r="B274" i="4"/>
  <c r="B259" i="4"/>
  <c r="B245" i="4"/>
  <c r="B231" i="4"/>
  <c r="B216" i="4"/>
  <c r="B202" i="4"/>
  <c r="B187" i="4"/>
  <c r="B173" i="4"/>
  <c r="B159" i="4"/>
  <c r="B144" i="4"/>
  <c r="B130" i="4"/>
  <c r="B115" i="4"/>
  <c r="B101" i="4"/>
  <c r="B87" i="4"/>
  <c r="B72" i="4"/>
  <c r="B58" i="4"/>
  <c r="B43" i="4"/>
  <c r="B31" i="4"/>
  <c r="B19" i="4"/>
  <c r="B7" i="4"/>
  <c r="B373" i="4"/>
  <c r="B359" i="4"/>
  <c r="B345" i="4"/>
  <c r="B330" i="4"/>
  <c r="B316" i="4"/>
  <c r="B301" i="4"/>
  <c r="B287" i="4"/>
  <c r="B273" i="4"/>
  <c r="B258" i="4"/>
  <c r="B244" i="4"/>
  <c r="B229" i="4"/>
  <c r="B215" i="4"/>
  <c r="B201" i="4"/>
  <c r="B186" i="4"/>
  <c r="B172" i="4"/>
  <c r="B157" i="4"/>
  <c r="B143" i="4"/>
  <c r="B129" i="4"/>
  <c r="B114" i="4"/>
  <c r="B100" i="4"/>
  <c r="B85" i="4"/>
  <c r="B71" i="4"/>
  <c r="B57" i="4"/>
  <c r="B42" i="4"/>
  <c r="B30" i="4"/>
  <c r="B18" i="4"/>
  <c r="B6" i="4"/>
  <c r="B26" i="4"/>
  <c r="B52" i="4"/>
  <c r="B81" i="4"/>
  <c r="B109" i="4"/>
  <c r="B138" i="4"/>
  <c r="B167" i="4"/>
  <c r="B196" i="4"/>
  <c r="B225" i="4"/>
  <c r="B253" i="4"/>
  <c r="B282" i="4"/>
  <c r="B311" i="4"/>
  <c r="B340" i="4"/>
  <c r="B369" i="4"/>
  <c r="AA2" i="2"/>
  <c r="AA7" i="2"/>
  <c r="AA13" i="2"/>
  <c r="AA19" i="2"/>
  <c r="AA25" i="2"/>
  <c r="AA31" i="2"/>
  <c r="AA37" i="2"/>
  <c r="AA43" i="2"/>
  <c r="AA49" i="2"/>
  <c r="AA55" i="2"/>
  <c r="AA61" i="2"/>
  <c r="AA67" i="2"/>
  <c r="AA73" i="2"/>
  <c r="AA79" i="2"/>
  <c r="AA85" i="2"/>
  <c r="AA91" i="2"/>
  <c r="AA97" i="2"/>
  <c r="AA103" i="2"/>
  <c r="AA109" i="2"/>
  <c r="AA115" i="2"/>
  <c r="AA121" i="2"/>
  <c r="AA127" i="2"/>
  <c r="AA133" i="2"/>
  <c r="AA139" i="2"/>
  <c r="AA145" i="2"/>
  <c r="AA151" i="2"/>
  <c r="AA157" i="2"/>
  <c r="AA163" i="2"/>
  <c r="AA169" i="2"/>
  <c r="AA175" i="2"/>
  <c r="AA181" i="2"/>
  <c r="AA187" i="2"/>
  <c r="AA193" i="2"/>
  <c r="AA199" i="2"/>
  <c r="AA205" i="2"/>
  <c r="AA211" i="2"/>
  <c r="AA217" i="2"/>
  <c r="AA223" i="2"/>
  <c r="AA229" i="2"/>
  <c r="AA235" i="2"/>
  <c r="AA241" i="2"/>
  <c r="AA247" i="2"/>
  <c r="AA253" i="2"/>
  <c r="AA259" i="2"/>
  <c r="AA265" i="2"/>
  <c r="AA271" i="2"/>
  <c r="AA277" i="2"/>
  <c r="AA283" i="2"/>
  <c r="AA289" i="2"/>
  <c r="AA295" i="2"/>
  <c r="AA301" i="2"/>
  <c r="AA307" i="2"/>
  <c r="AA313" i="2"/>
  <c r="AA319" i="2"/>
  <c r="AA325" i="2"/>
  <c r="AA331" i="2"/>
  <c r="AA337" i="2"/>
  <c r="AA343" i="2"/>
  <c r="AA349" i="2"/>
  <c r="AA355" i="2"/>
  <c r="AA361" i="2"/>
  <c r="AA367" i="2"/>
  <c r="AA373" i="2"/>
  <c r="B8" i="4"/>
  <c r="B32" i="4"/>
  <c r="B59" i="4"/>
  <c r="B88" i="4"/>
  <c r="B117" i="4"/>
  <c r="B145" i="4"/>
  <c r="B174" i="4"/>
  <c r="B203" i="4"/>
  <c r="B232" i="4"/>
  <c r="B261" i="4"/>
  <c r="B289" i="4"/>
  <c r="B318" i="4"/>
  <c r="B347" i="4"/>
  <c r="AA8" i="2"/>
  <c r="AA14" i="2"/>
  <c r="AA20" i="2"/>
  <c r="AA26" i="2"/>
  <c r="AA32" i="2"/>
  <c r="AA38" i="2"/>
  <c r="AA44" i="2"/>
  <c r="AA50" i="2"/>
  <c r="AA56" i="2"/>
  <c r="AA62" i="2"/>
  <c r="AA68" i="2"/>
  <c r="AA74" i="2"/>
  <c r="AA80" i="2"/>
  <c r="AA86" i="2"/>
  <c r="AA92" i="2"/>
  <c r="AA98" i="2"/>
  <c r="AA104" i="2"/>
  <c r="AA110" i="2"/>
  <c r="AA116" i="2"/>
  <c r="AA122" i="2"/>
  <c r="AA128" i="2"/>
  <c r="AA134" i="2"/>
  <c r="AA140" i="2"/>
  <c r="AA146" i="2"/>
  <c r="AA152" i="2"/>
  <c r="AA158" i="2"/>
  <c r="AA164" i="2"/>
  <c r="AA170" i="2"/>
  <c r="AA176" i="2"/>
  <c r="AA182" i="2"/>
  <c r="AA188" i="2"/>
  <c r="AA194" i="2"/>
  <c r="AA200" i="2"/>
  <c r="AA206" i="2"/>
  <c r="AA212" i="2"/>
  <c r="AA218" i="2"/>
  <c r="AA224" i="2"/>
  <c r="AA230" i="2"/>
  <c r="AA236" i="2"/>
  <c r="AA242" i="2"/>
  <c r="AA248" i="2"/>
  <c r="AA254" i="2"/>
  <c r="AA260" i="2"/>
  <c r="AA266" i="2"/>
  <c r="AA272" i="2"/>
  <c r="AA278" i="2"/>
  <c r="AA284" i="2"/>
  <c r="AA290" i="2"/>
  <c r="AA296" i="2"/>
  <c r="AA302" i="2"/>
  <c r="AA308" i="2"/>
  <c r="AA314" i="2"/>
  <c r="AA320" i="2"/>
  <c r="AA326" i="2"/>
  <c r="AA332" i="2"/>
  <c r="AA338" i="2"/>
  <c r="AA344" i="2"/>
  <c r="AA350" i="2"/>
  <c r="AA356" i="2"/>
  <c r="AA362" i="2"/>
  <c r="B13" i="4"/>
  <c r="B37" i="4"/>
  <c r="B65" i="4"/>
  <c r="B94" i="4"/>
  <c r="B123" i="4"/>
  <c r="B151" i="4"/>
  <c r="B180" i="4"/>
  <c r="B209" i="4"/>
  <c r="B238" i="4"/>
  <c r="B267" i="4"/>
  <c r="B295" i="4"/>
  <c r="B324" i="4"/>
  <c r="B353" i="4"/>
  <c r="A8" i="4"/>
  <c r="A20" i="4"/>
  <c r="A32" i="4"/>
  <c r="A44" i="4"/>
  <c r="A56" i="4"/>
  <c r="A68" i="4"/>
  <c r="A80" i="4"/>
  <c r="A92" i="4"/>
  <c r="A104" i="4"/>
  <c r="A116" i="4"/>
  <c r="A128" i="4"/>
  <c r="A140" i="4"/>
  <c r="A152" i="4"/>
  <c r="A164" i="4"/>
  <c r="A176" i="4"/>
  <c r="A188" i="4"/>
  <c r="A200" i="4"/>
  <c r="A212" i="4"/>
  <c r="A224" i="4"/>
  <c r="A236" i="4"/>
  <c r="A248" i="4"/>
  <c r="A260" i="4"/>
  <c r="A272" i="4"/>
  <c r="A284" i="4"/>
  <c r="A296" i="4"/>
  <c r="A308" i="4"/>
  <c r="A320" i="4"/>
  <c r="A332" i="4"/>
  <c r="A344" i="4"/>
  <c r="A356" i="4"/>
  <c r="A368" i="4"/>
  <c r="C14" i="4"/>
  <c r="C28" i="4"/>
  <c r="C43" i="4"/>
  <c r="C62" i="4"/>
  <c r="C86" i="4"/>
  <c r="C110" i="4"/>
  <c r="C134" i="4"/>
  <c r="C158" i="4"/>
  <c r="C182" i="4"/>
  <c r="C206" i="4"/>
  <c r="C230" i="4"/>
  <c r="C254" i="4"/>
  <c r="C278" i="4"/>
  <c r="C304" i="4"/>
  <c r="C343" i="4"/>
  <c r="A9" i="4"/>
  <c r="A21" i="4"/>
  <c r="A33" i="4"/>
  <c r="A45" i="4"/>
  <c r="A57" i="4"/>
  <c r="A69" i="4"/>
  <c r="A81" i="4"/>
  <c r="A93" i="4"/>
  <c r="A105" i="4"/>
  <c r="A117" i="4"/>
  <c r="A129" i="4"/>
  <c r="A141" i="4"/>
  <c r="A153" i="4"/>
  <c r="A165" i="4"/>
  <c r="A177" i="4"/>
  <c r="A189" i="4"/>
  <c r="A201" i="4"/>
  <c r="A213" i="4"/>
  <c r="A225" i="4"/>
  <c r="A237" i="4"/>
  <c r="A249" i="4"/>
  <c r="A261" i="4"/>
  <c r="A273" i="4"/>
  <c r="A285" i="4"/>
  <c r="A297" i="4"/>
  <c r="A309" i="4"/>
  <c r="A321" i="4"/>
  <c r="A333" i="4"/>
  <c r="A345" i="4"/>
  <c r="A357" i="4"/>
  <c r="C2" i="4"/>
  <c r="C15" i="4"/>
  <c r="C29" i="4"/>
  <c r="C44" i="4"/>
  <c r="C65" i="4"/>
  <c r="C89" i="4"/>
  <c r="C113" i="4"/>
  <c r="C137" i="4"/>
  <c r="C161" i="4"/>
  <c r="C185" i="4"/>
  <c r="C209" i="4"/>
  <c r="C233" i="4"/>
  <c r="C257" i="4"/>
  <c r="C281" i="4"/>
  <c r="C307" i="4"/>
  <c r="C369" i="4"/>
  <c r="C363" i="4"/>
  <c r="C357" i="4"/>
  <c r="C351" i="4"/>
  <c r="C345" i="4"/>
  <c r="C339" i="4"/>
  <c r="C333" i="4"/>
  <c r="C327" i="4"/>
  <c r="C321" i="4"/>
  <c r="C315" i="4"/>
  <c r="C309" i="4"/>
  <c r="C303" i="4"/>
  <c r="C374" i="4"/>
  <c r="C368" i="4"/>
  <c r="C362" i="4"/>
  <c r="C356" i="4"/>
  <c r="C350" i="4"/>
  <c r="C344" i="4"/>
  <c r="C338" i="4"/>
  <c r="C332" i="4"/>
  <c r="C326" i="4"/>
  <c r="C320" i="4"/>
  <c r="C314" i="4"/>
  <c r="C308" i="4"/>
  <c r="C302" i="4"/>
  <c r="C372" i="4"/>
  <c r="C364" i="4"/>
  <c r="C354" i="4"/>
  <c r="C346" i="4"/>
  <c r="C336" i="4"/>
  <c r="C328" i="4"/>
  <c r="C318" i="4"/>
  <c r="C310" i="4"/>
  <c r="C300" i="4"/>
  <c r="C294" i="4"/>
  <c r="C288" i="4"/>
  <c r="C282" i="4"/>
  <c r="C276" i="4"/>
  <c r="C270" i="4"/>
  <c r="C264" i="4"/>
  <c r="C258" i="4"/>
  <c r="C252" i="4"/>
  <c r="C246" i="4"/>
  <c r="C240" i="4"/>
  <c r="C234" i="4"/>
  <c r="C228" i="4"/>
  <c r="C222" i="4"/>
  <c r="C216" i="4"/>
  <c r="C210" i="4"/>
  <c r="C204" i="4"/>
  <c r="C198" i="4"/>
  <c r="C192" i="4"/>
  <c r="C186" i="4"/>
  <c r="C180" i="4"/>
  <c r="C174" i="4"/>
  <c r="C168" i="4"/>
  <c r="C162" i="4"/>
  <c r="C156" i="4"/>
  <c r="C150" i="4"/>
  <c r="C144" i="4"/>
  <c r="C138" i="4"/>
  <c r="C132" i="4"/>
  <c r="C126" i="4"/>
  <c r="C120" i="4"/>
  <c r="C114" i="4"/>
  <c r="C108" i="4"/>
  <c r="C102" i="4"/>
  <c r="C96" i="4"/>
  <c r="C90" i="4"/>
  <c r="C84" i="4"/>
  <c r="C78" i="4"/>
  <c r="C72" i="4"/>
  <c r="C66" i="4"/>
  <c r="C60" i="4"/>
  <c r="C54" i="4"/>
  <c r="C48" i="4"/>
  <c r="C42" i="4"/>
  <c r="C36" i="4"/>
  <c r="C30" i="4"/>
  <c r="C24" i="4"/>
  <c r="C18" i="4"/>
  <c r="C12" i="4"/>
  <c r="C6" i="4"/>
  <c r="C370" i="4"/>
  <c r="C360" i="4"/>
  <c r="C352" i="4"/>
  <c r="C342" i="4"/>
  <c r="C334" i="4"/>
  <c r="C324" i="4"/>
  <c r="C316" i="4"/>
  <c r="C306" i="4"/>
  <c r="C298" i="4"/>
  <c r="C292" i="4"/>
  <c r="C286" i="4"/>
  <c r="C280" i="4"/>
  <c r="C274" i="4"/>
  <c r="C268" i="4"/>
  <c r="C262" i="4"/>
  <c r="C256" i="4"/>
  <c r="C250" i="4"/>
  <c r="C244" i="4"/>
  <c r="C238" i="4"/>
  <c r="C232" i="4"/>
  <c r="C226" i="4"/>
  <c r="C220" i="4"/>
  <c r="C214" i="4"/>
  <c r="C208" i="4"/>
  <c r="C202" i="4"/>
  <c r="C196" i="4"/>
  <c r="C190" i="4"/>
  <c r="C184" i="4"/>
  <c r="C178" i="4"/>
  <c r="C172" i="4"/>
  <c r="C166" i="4"/>
  <c r="C160" i="4"/>
  <c r="C154" i="4"/>
  <c r="C148" i="4"/>
  <c r="C142" i="4"/>
  <c r="C136" i="4"/>
  <c r="C130" i="4"/>
  <c r="C124" i="4"/>
  <c r="C118" i="4"/>
  <c r="C112" i="4"/>
  <c r="C106" i="4"/>
  <c r="C100" i="4"/>
  <c r="C94" i="4"/>
  <c r="C88" i="4"/>
  <c r="C82" i="4"/>
  <c r="C76" i="4"/>
  <c r="C70" i="4"/>
  <c r="C64" i="4"/>
  <c r="C58" i="4"/>
  <c r="C52" i="4"/>
  <c r="C46" i="4"/>
  <c r="C367" i="4"/>
  <c r="C359" i="4"/>
  <c r="C349" i="4"/>
  <c r="C341" i="4"/>
  <c r="C331" i="4"/>
  <c r="C323" i="4"/>
  <c r="C313" i="4"/>
  <c r="C305" i="4"/>
  <c r="C297" i="4"/>
  <c r="C291" i="4"/>
  <c r="C285" i="4"/>
  <c r="C279" i="4"/>
  <c r="C273" i="4"/>
  <c r="C267" i="4"/>
  <c r="C261" i="4"/>
  <c r="C255" i="4"/>
  <c r="C249" i="4"/>
  <c r="C243" i="4"/>
  <c r="C237" i="4"/>
  <c r="C231" i="4"/>
  <c r="C225" i="4"/>
  <c r="C219" i="4"/>
  <c r="C213" i="4"/>
  <c r="C207" i="4"/>
  <c r="C201" i="4"/>
  <c r="C195" i="4"/>
  <c r="C189" i="4"/>
  <c r="C183" i="4"/>
  <c r="C177" i="4"/>
  <c r="C171" i="4"/>
  <c r="C165" i="4"/>
  <c r="C159" i="4"/>
  <c r="C153" i="4"/>
  <c r="C147" i="4"/>
  <c r="C141" i="4"/>
  <c r="C135" i="4"/>
  <c r="C129" i="4"/>
  <c r="C123" i="4"/>
  <c r="C117" i="4"/>
  <c r="C111" i="4"/>
  <c r="C105" i="4"/>
  <c r="C99" i="4"/>
  <c r="C93" i="4"/>
  <c r="C87" i="4"/>
  <c r="C81" i="4"/>
  <c r="C75" i="4"/>
  <c r="C69" i="4"/>
  <c r="C63" i="4"/>
  <c r="C57" i="4"/>
  <c r="C358" i="4"/>
  <c r="C340" i="4"/>
  <c r="C373" i="4"/>
  <c r="C355" i="4"/>
  <c r="C337" i="4"/>
  <c r="C319" i="4"/>
  <c r="C301" i="4"/>
  <c r="C289" i="4"/>
  <c r="C277" i="4"/>
  <c r="C265" i="4"/>
  <c r="C253" i="4"/>
  <c r="C241" i="4"/>
  <c r="C229" i="4"/>
  <c r="C217" i="4"/>
  <c r="C205" i="4"/>
  <c r="C193" i="4"/>
  <c r="C181" i="4"/>
  <c r="C169" i="4"/>
  <c r="C157" i="4"/>
  <c r="C145" i="4"/>
  <c r="C133" i="4"/>
  <c r="C121" i="4"/>
  <c r="C109" i="4"/>
  <c r="C97" i="4"/>
  <c r="C85" i="4"/>
  <c r="C73" i="4"/>
  <c r="C61" i="4"/>
  <c r="C50" i="4"/>
  <c r="C41" i="4"/>
  <c r="C34" i="4"/>
  <c r="C27" i="4"/>
  <c r="C20" i="4"/>
  <c r="C13" i="4"/>
  <c r="C5" i="4"/>
  <c r="C371" i="4"/>
  <c r="C353" i="4"/>
  <c r="C335" i="4"/>
  <c r="C317" i="4"/>
  <c r="C299" i="4"/>
  <c r="C287" i="4"/>
  <c r="C275" i="4"/>
  <c r="C263" i="4"/>
  <c r="C251" i="4"/>
  <c r="C239" i="4"/>
  <c r="C227" i="4"/>
  <c r="C215" i="4"/>
  <c r="C203" i="4"/>
  <c r="C191" i="4"/>
  <c r="C179" i="4"/>
  <c r="C167" i="4"/>
  <c r="C155" i="4"/>
  <c r="C143" i="4"/>
  <c r="C131" i="4"/>
  <c r="C119" i="4"/>
  <c r="C107" i="4"/>
  <c r="C95" i="4"/>
  <c r="C83" i="4"/>
  <c r="C71" i="4"/>
  <c r="C59" i="4"/>
  <c r="C49" i="4"/>
  <c r="C40" i="4"/>
  <c r="C33" i="4"/>
  <c r="C26" i="4"/>
  <c r="C19" i="4"/>
  <c r="C11" i="4"/>
  <c r="C4" i="4"/>
  <c r="C366" i="4"/>
  <c r="C348" i="4"/>
  <c r="C330" i="4"/>
  <c r="C312" i="4"/>
  <c r="C296" i="4"/>
  <c r="C284" i="4"/>
  <c r="C272" i="4"/>
  <c r="C260" i="4"/>
  <c r="C248" i="4"/>
  <c r="C236" i="4"/>
  <c r="C224" i="4"/>
  <c r="C212" i="4"/>
  <c r="C200" i="4"/>
  <c r="C188" i="4"/>
  <c r="C176" i="4"/>
  <c r="C164" i="4"/>
  <c r="C152" i="4"/>
  <c r="C140" i="4"/>
  <c r="C128" i="4"/>
  <c r="C116" i="4"/>
  <c r="C104" i="4"/>
  <c r="C92" i="4"/>
  <c r="C80" i="4"/>
  <c r="C68" i="4"/>
  <c r="C56" i="4"/>
  <c r="C47" i="4"/>
  <c r="C39" i="4"/>
  <c r="C32" i="4"/>
  <c r="C25" i="4"/>
  <c r="C17" i="4"/>
  <c r="C10" i="4"/>
  <c r="C3" i="4"/>
  <c r="C16" i="4"/>
  <c r="C31" i="4"/>
  <c r="C45" i="4"/>
  <c r="C67" i="4"/>
  <c r="C91" i="4"/>
  <c r="C115" i="4"/>
  <c r="C139" i="4"/>
  <c r="C163" i="4"/>
  <c r="C187" i="4"/>
  <c r="C211" i="4"/>
  <c r="C235" i="4"/>
  <c r="C259" i="4"/>
  <c r="C283" i="4"/>
  <c r="C311" i="4"/>
  <c r="C361" i="4"/>
  <c r="A373" i="4"/>
  <c r="A367" i="4"/>
  <c r="A361" i="4"/>
  <c r="A355" i="4"/>
  <c r="A349" i="4"/>
  <c r="A343" i="4"/>
  <c r="A337" i="4"/>
  <c r="A331" i="4"/>
  <c r="A325" i="4"/>
  <c r="A319" i="4"/>
  <c r="A313" i="4"/>
  <c r="A307" i="4"/>
  <c r="A301" i="4"/>
  <c r="A295" i="4"/>
  <c r="A289" i="4"/>
  <c r="A283" i="4"/>
  <c r="A277" i="4"/>
  <c r="A271" i="4"/>
  <c r="A265" i="4"/>
  <c r="A259" i="4"/>
  <c r="A253" i="4"/>
  <c r="A247" i="4"/>
  <c r="A241" i="4"/>
  <c r="A235" i="4"/>
  <c r="A229" i="4"/>
  <c r="A223" i="4"/>
  <c r="A217" i="4"/>
  <c r="A211" i="4"/>
  <c r="A205" i="4"/>
  <c r="A199" i="4"/>
  <c r="A193" i="4"/>
  <c r="A187" i="4"/>
  <c r="A181" i="4"/>
  <c r="A175" i="4"/>
  <c r="A169" i="4"/>
  <c r="A163" i="4"/>
  <c r="A157" i="4"/>
  <c r="A151" i="4"/>
  <c r="A145" i="4"/>
  <c r="A139" i="4"/>
  <c r="A133" i="4"/>
  <c r="A127" i="4"/>
  <c r="A121" i="4"/>
  <c r="A115" i="4"/>
  <c r="A109" i="4"/>
  <c r="A103" i="4"/>
  <c r="A97" i="4"/>
  <c r="A91" i="4"/>
  <c r="A85" i="4"/>
  <c r="A79" i="4"/>
  <c r="A73" i="4"/>
  <c r="A67" i="4"/>
  <c r="A61" i="4"/>
  <c r="A55" i="4"/>
  <c r="A49" i="4"/>
  <c r="A43" i="4"/>
  <c r="A37" i="4"/>
  <c r="A31" i="4"/>
  <c r="A25" i="4"/>
  <c r="A19" i="4"/>
  <c r="A13" i="4"/>
  <c r="A7" i="4"/>
  <c r="A2" i="4"/>
  <c r="A372" i="4"/>
  <c r="A366" i="4"/>
  <c r="A360" i="4"/>
  <c r="A354" i="4"/>
  <c r="A348" i="4"/>
  <c r="A342" i="4"/>
  <c r="A336" i="4"/>
  <c r="A330" i="4"/>
  <c r="A324" i="4"/>
  <c r="A318" i="4"/>
  <c r="A312" i="4"/>
  <c r="A306" i="4"/>
  <c r="A300" i="4"/>
  <c r="A294" i="4"/>
  <c r="A288" i="4"/>
  <c r="A282" i="4"/>
  <c r="A276" i="4"/>
  <c r="A270" i="4"/>
  <c r="A264" i="4"/>
  <c r="A258" i="4"/>
  <c r="A252" i="4"/>
  <c r="A246" i="4"/>
  <c r="A240" i="4"/>
  <c r="A234" i="4"/>
  <c r="A228" i="4"/>
  <c r="A222" i="4"/>
  <c r="A216" i="4"/>
  <c r="A210" i="4"/>
  <c r="A204" i="4"/>
  <c r="A198" i="4"/>
  <c r="A192" i="4"/>
  <c r="A186" i="4"/>
  <c r="A180" i="4"/>
  <c r="A174" i="4"/>
  <c r="A168" i="4"/>
  <c r="A162" i="4"/>
  <c r="A156" i="4"/>
  <c r="A150" i="4"/>
  <c r="A144" i="4"/>
  <c r="A138" i="4"/>
  <c r="A132" i="4"/>
  <c r="A126" i="4"/>
  <c r="A120" i="4"/>
  <c r="A114" i="4"/>
  <c r="A108" i="4"/>
  <c r="A102" i="4"/>
  <c r="A96" i="4"/>
  <c r="A90" i="4"/>
  <c r="A84" i="4"/>
  <c r="A78" i="4"/>
  <c r="A72" i="4"/>
  <c r="A66" i="4"/>
  <c r="A60" i="4"/>
  <c r="A54" i="4"/>
  <c r="A48" i="4"/>
  <c r="A42" i="4"/>
  <c r="A36" i="4"/>
  <c r="A30" i="4"/>
  <c r="A24" i="4"/>
  <c r="A18" i="4"/>
  <c r="A12" i="4"/>
  <c r="A6" i="4"/>
  <c r="A371" i="4"/>
  <c r="A365" i="4"/>
  <c r="A359" i="4"/>
  <c r="A353" i="4"/>
  <c r="A347" i="4"/>
  <c r="A341" i="4"/>
  <c r="A335" i="4"/>
  <c r="A329" i="4"/>
  <c r="A323" i="4"/>
  <c r="A317" i="4"/>
  <c r="A311" i="4"/>
  <c r="A305" i="4"/>
  <c r="A299" i="4"/>
  <c r="A293" i="4"/>
  <c r="A287" i="4"/>
  <c r="A281" i="4"/>
  <c r="A275" i="4"/>
  <c r="A269" i="4"/>
  <c r="A263" i="4"/>
  <c r="A257" i="4"/>
  <c r="A251" i="4"/>
  <c r="A245" i="4"/>
  <c r="A239" i="4"/>
  <c r="A233" i="4"/>
  <c r="A227" i="4"/>
  <c r="A221" i="4"/>
  <c r="A215" i="4"/>
  <c r="A209" i="4"/>
  <c r="A203" i="4"/>
  <c r="A197" i="4"/>
  <c r="A191" i="4"/>
  <c r="A185" i="4"/>
  <c r="A179" i="4"/>
  <c r="A173" i="4"/>
  <c r="A167" i="4"/>
  <c r="A161" i="4"/>
  <c r="A155" i="4"/>
  <c r="A149" i="4"/>
  <c r="A143" i="4"/>
  <c r="A137" i="4"/>
  <c r="A131" i="4"/>
  <c r="A125" i="4"/>
  <c r="A119" i="4"/>
  <c r="A113" i="4"/>
  <c r="A107" i="4"/>
  <c r="A101" i="4"/>
  <c r="A95" i="4"/>
  <c r="A89" i="4"/>
  <c r="A83" i="4"/>
  <c r="A77" i="4"/>
  <c r="A71" i="4"/>
  <c r="A65" i="4"/>
  <c r="A59" i="4"/>
  <c r="A53" i="4"/>
  <c r="A47" i="4"/>
  <c r="A41" i="4"/>
  <c r="A35" i="4"/>
  <c r="A29" i="4"/>
  <c r="A23" i="4"/>
  <c r="A17" i="4"/>
  <c r="A11" i="4"/>
  <c r="A5" i="4"/>
  <c r="A14" i="4"/>
  <c r="A26" i="4"/>
  <c r="A38" i="4"/>
  <c r="A50" i="4"/>
  <c r="A62" i="4"/>
  <c r="A74" i="4"/>
  <c r="A86" i="4"/>
  <c r="A98" i="4"/>
  <c r="A110" i="4"/>
  <c r="A122" i="4"/>
  <c r="A134" i="4"/>
  <c r="A146" i="4"/>
  <c r="A158" i="4"/>
  <c r="A170" i="4"/>
  <c r="A182" i="4"/>
  <c r="A194" i="4"/>
  <c r="A206" i="4"/>
  <c r="A218" i="4"/>
  <c r="A230" i="4"/>
  <c r="A242" i="4"/>
  <c r="A254" i="4"/>
  <c r="A266" i="4"/>
  <c r="A278" i="4"/>
  <c r="A290" i="4"/>
  <c r="A302" i="4"/>
  <c r="A314" i="4"/>
  <c r="A326" i="4"/>
  <c r="A338" i="4"/>
  <c r="A350" i="4"/>
  <c r="A362" i="4"/>
  <c r="A374" i="4"/>
  <c r="C7" i="4"/>
  <c r="C21" i="4"/>
  <c r="C35" i="4"/>
  <c r="C51" i="4"/>
  <c r="C74" i="4"/>
  <c r="C98" i="4"/>
  <c r="C122" i="4"/>
  <c r="C146" i="4"/>
  <c r="C170" i="4"/>
  <c r="C194" i="4"/>
  <c r="C218" i="4"/>
  <c r="C242" i="4"/>
  <c r="C266" i="4"/>
  <c r="C290" i="4"/>
  <c r="C322" i="4"/>
  <c r="C365" i="4"/>
  <c r="D373" i="4"/>
  <c r="D367" i="4"/>
  <c r="D361" i="4"/>
  <c r="D355" i="4"/>
  <c r="D349" i="4"/>
  <c r="D343" i="4"/>
  <c r="D337" i="4"/>
  <c r="D331" i="4"/>
  <c r="D325" i="4"/>
  <c r="D319" i="4"/>
  <c r="D313" i="4"/>
  <c r="D307" i="4"/>
  <c r="D301" i="4"/>
  <c r="D295" i="4"/>
  <c r="D289" i="4"/>
  <c r="D283" i="4"/>
  <c r="D277" i="4"/>
  <c r="D271" i="4"/>
  <c r="D265" i="4"/>
  <c r="D259" i="4"/>
  <c r="D253" i="4"/>
  <c r="D247" i="4"/>
  <c r="D241" i="4"/>
  <c r="D235" i="4"/>
  <c r="D229" i="4"/>
  <c r="D223" i="4"/>
  <c r="D217" i="4"/>
  <c r="D211" i="4"/>
  <c r="D205" i="4"/>
  <c r="D199" i="4"/>
  <c r="D193" i="4"/>
  <c r="D187" i="4"/>
  <c r="D181" i="4"/>
  <c r="D175" i="4"/>
  <c r="D169" i="4"/>
  <c r="D163" i="4"/>
  <c r="D157" i="4"/>
  <c r="D151" i="4"/>
  <c r="D145" i="4"/>
  <c r="D139" i="4"/>
  <c r="D133" i="4"/>
  <c r="D127" i="4"/>
  <c r="D121" i="4"/>
  <c r="D115" i="4"/>
  <c r="D109" i="4"/>
  <c r="D103" i="4"/>
  <c r="D97" i="4"/>
  <c r="D91" i="4"/>
  <c r="D85" i="4"/>
  <c r="D79" i="4"/>
  <c r="D73" i="4"/>
  <c r="D67" i="4"/>
  <c r="D61" i="4"/>
  <c r="D55" i="4"/>
  <c r="D49" i="4"/>
  <c r="D43" i="4"/>
  <c r="D37" i="4"/>
  <c r="D31" i="4"/>
  <c r="D25" i="4"/>
  <c r="D19" i="4"/>
  <c r="D13" i="4"/>
  <c r="D7" i="4"/>
  <c r="D2" i="4"/>
  <c r="D372" i="4"/>
  <c r="D366" i="4"/>
  <c r="D360" i="4"/>
  <c r="D354" i="4"/>
  <c r="D348" i="4"/>
  <c r="D342" i="4"/>
  <c r="D336" i="4"/>
  <c r="D330" i="4"/>
  <c r="D324" i="4"/>
  <c r="D318" i="4"/>
  <c r="D312" i="4"/>
  <c r="D306" i="4"/>
  <c r="D300" i="4"/>
  <c r="D294" i="4"/>
  <c r="D288" i="4"/>
  <c r="D282" i="4"/>
  <c r="D276" i="4"/>
  <c r="D270" i="4"/>
  <c r="D264" i="4"/>
  <c r="D258" i="4"/>
  <c r="D252" i="4"/>
  <c r="D246" i="4"/>
  <c r="D240" i="4"/>
  <c r="D234" i="4"/>
  <c r="D228" i="4"/>
  <c r="D222" i="4"/>
  <c r="D216" i="4"/>
  <c r="D210" i="4"/>
  <c r="D204" i="4"/>
  <c r="D198" i="4"/>
  <c r="D192" i="4"/>
  <c r="D186" i="4"/>
  <c r="D180" i="4"/>
  <c r="D174" i="4"/>
  <c r="D168" i="4"/>
  <c r="D162" i="4"/>
  <c r="D156" i="4"/>
  <c r="D150" i="4"/>
  <c r="D144" i="4"/>
  <c r="D138" i="4"/>
  <c r="D132" i="4"/>
  <c r="D126" i="4"/>
  <c r="D120" i="4"/>
  <c r="D114" i="4"/>
  <c r="D108" i="4"/>
  <c r="D102" i="4"/>
  <c r="D96" i="4"/>
  <c r="D90" i="4"/>
  <c r="D84" i="4"/>
  <c r="D78" i="4"/>
  <c r="D72" i="4"/>
  <c r="D66" i="4"/>
  <c r="D60" i="4"/>
  <c r="D54" i="4"/>
  <c r="D48" i="4"/>
  <c r="D42" i="4"/>
  <c r="D36" i="4"/>
  <c r="D30" i="4"/>
  <c r="D24" i="4"/>
  <c r="D18" i="4"/>
  <c r="D12" i="4"/>
  <c r="D6" i="4"/>
  <c r="D371" i="4"/>
  <c r="D365" i="4"/>
  <c r="D359" i="4"/>
  <c r="D353" i="4"/>
  <c r="D347" i="4"/>
  <c r="D341" i="4"/>
  <c r="D335" i="4"/>
  <c r="D329" i="4"/>
  <c r="D323" i="4"/>
  <c r="D317" i="4"/>
  <c r="D311" i="4"/>
  <c r="D305" i="4"/>
  <c r="D299" i="4"/>
  <c r="D293" i="4"/>
  <c r="D287" i="4"/>
  <c r="D281" i="4"/>
  <c r="D275" i="4"/>
  <c r="D269" i="4"/>
  <c r="D263" i="4"/>
  <c r="D257" i="4"/>
  <c r="D251" i="4"/>
  <c r="D245" i="4"/>
  <c r="D239" i="4"/>
  <c r="D233" i="4"/>
  <c r="D227" i="4"/>
  <c r="D221" i="4"/>
  <c r="D215" i="4"/>
  <c r="D209" i="4"/>
  <c r="D203" i="4"/>
  <c r="D197" i="4"/>
  <c r="D191" i="4"/>
  <c r="D185" i="4"/>
  <c r="D179" i="4"/>
  <c r="D173" i="4"/>
  <c r="D167" i="4"/>
  <c r="D161" i="4"/>
  <c r="D10" i="4"/>
  <c r="D20" i="4"/>
  <c r="D28" i="4"/>
  <c r="D38" i="4"/>
  <c r="D46" i="4"/>
  <c r="D56" i="4"/>
  <c r="D64" i="4"/>
  <c r="D74" i="4"/>
  <c r="D82" i="4"/>
  <c r="D92" i="4"/>
  <c r="D100" i="4"/>
  <c r="D110" i="4"/>
  <c r="D118" i="4"/>
  <c r="D128" i="4"/>
  <c r="D136" i="4"/>
  <c r="D146" i="4"/>
  <c r="D154" i="4"/>
  <c r="D165" i="4"/>
  <c r="D177" i="4"/>
  <c r="D189" i="4"/>
  <c r="D201" i="4"/>
  <c r="D213" i="4"/>
  <c r="D225" i="4"/>
  <c r="D237" i="4"/>
  <c r="D249" i="4"/>
  <c r="D261" i="4"/>
  <c r="D273" i="4"/>
  <c r="D285" i="4"/>
  <c r="D297" i="4"/>
  <c r="D309" i="4"/>
  <c r="D321" i="4"/>
  <c r="D333" i="4"/>
  <c r="D345" i="4"/>
  <c r="D357" i="4"/>
  <c r="D369" i="4"/>
  <c r="D3" i="4"/>
  <c r="D11" i="4"/>
  <c r="D21" i="4"/>
  <c r="D29" i="4"/>
  <c r="D39" i="4"/>
  <c r="D47" i="4"/>
  <c r="D57" i="4"/>
  <c r="D65" i="4"/>
  <c r="D75" i="4"/>
  <c r="D83" i="4"/>
  <c r="D93" i="4"/>
  <c r="D101" i="4"/>
  <c r="D111" i="4"/>
  <c r="D119" i="4"/>
  <c r="D129" i="4"/>
  <c r="D137" i="4"/>
  <c r="D147" i="4"/>
  <c r="D155" i="4"/>
  <c r="D166" i="4"/>
  <c r="D178" i="4"/>
  <c r="D190" i="4"/>
  <c r="D202" i="4"/>
  <c r="D214" i="4"/>
  <c r="D226" i="4"/>
  <c r="D238" i="4"/>
  <c r="D250" i="4"/>
  <c r="D262" i="4"/>
  <c r="D274" i="4"/>
  <c r="D286" i="4"/>
  <c r="D298" i="4"/>
  <c r="D310" i="4"/>
  <c r="D322" i="4"/>
  <c r="D334" i="4"/>
  <c r="D346" i="4"/>
  <c r="D358" i="4"/>
  <c r="D370" i="4"/>
  <c r="D4" i="4"/>
  <c r="D14" i="4"/>
  <c r="D22" i="4"/>
  <c r="D32" i="4"/>
  <c r="D40" i="4"/>
  <c r="D50" i="4"/>
  <c r="D58" i="4"/>
  <c r="D68" i="4"/>
  <c r="D76" i="4"/>
  <c r="D86" i="4"/>
  <c r="D94" i="4"/>
  <c r="D104" i="4"/>
  <c r="D112" i="4"/>
  <c r="D122" i="4"/>
  <c r="D130" i="4"/>
  <c r="D140" i="4"/>
  <c r="D148" i="4"/>
  <c r="D158" i="4"/>
  <c r="D170" i="4"/>
  <c r="D182" i="4"/>
  <c r="D194" i="4"/>
  <c r="D206" i="4"/>
  <c r="D218" i="4"/>
  <c r="D230" i="4"/>
  <c r="D242" i="4"/>
  <c r="D254" i="4"/>
  <c r="D266" i="4"/>
  <c r="D278" i="4"/>
  <c r="D290" i="4"/>
  <c r="D302" i="4"/>
  <c r="D314" i="4"/>
  <c r="D326" i="4"/>
  <c r="D338" i="4"/>
  <c r="D350" i="4"/>
  <c r="D362" i="4"/>
  <c r="D374" i="4"/>
  <c r="D8" i="4"/>
  <c r="D16" i="4"/>
  <c r="D26" i="4"/>
  <c r="D34" i="4"/>
  <c r="D44" i="4"/>
  <c r="D52" i="4"/>
  <c r="D62" i="4"/>
  <c r="D70" i="4"/>
  <c r="D80" i="4"/>
  <c r="D88" i="4"/>
  <c r="D98" i="4"/>
  <c r="D106" i="4"/>
  <c r="D116" i="4"/>
  <c r="D124" i="4"/>
  <c r="D134" i="4"/>
  <c r="D142" i="4"/>
  <c r="D152" i="4"/>
  <c r="D160" i="4"/>
  <c r="D172" i="4"/>
  <c r="D184" i="4"/>
  <c r="D196" i="4"/>
  <c r="D208" i="4"/>
  <c r="D220" i="4"/>
  <c r="D232" i="4"/>
  <c r="D244" i="4"/>
  <c r="D256" i="4"/>
  <c r="D268" i="4"/>
  <c r="D280" i="4"/>
  <c r="D292" i="4"/>
  <c r="D304" i="4"/>
  <c r="D316" i="4"/>
  <c r="D328" i="4"/>
  <c r="D340" i="4"/>
  <c r="D352" i="4"/>
  <c r="D364" i="4"/>
  <c r="E368" i="4"/>
  <c r="E362" i="4"/>
  <c r="E356" i="4"/>
  <c r="E350" i="4"/>
  <c r="E344" i="4"/>
  <c r="E338" i="4"/>
  <c r="E332" i="4"/>
  <c r="E326" i="4"/>
  <c r="E320" i="4"/>
  <c r="E314" i="4"/>
  <c r="E308" i="4"/>
  <c r="E302" i="4"/>
  <c r="E296" i="4"/>
  <c r="E290" i="4"/>
  <c r="E284" i="4"/>
  <c r="E278" i="4"/>
  <c r="E272" i="4"/>
  <c r="E266" i="4"/>
  <c r="E260" i="4"/>
  <c r="E254" i="4"/>
  <c r="E248" i="4"/>
  <c r="E242" i="4"/>
  <c r="E236" i="4"/>
  <c r="E367" i="4"/>
  <c r="E361" i="4"/>
  <c r="E355" i="4"/>
  <c r="E349" i="4"/>
  <c r="E343" i="4"/>
  <c r="E337" i="4"/>
  <c r="E331" i="4"/>
  <c r="E325" i="4"/>
  <c r="E363" i="4"/>
  <c r="E353" i="4"/>
  <c r="E345" i="4"/>
  <c r="E335" i="4"/>
  <c r="E327" i="4"/>
  <c r="E318" i="4"/>
  <c r="E311" i="4"/>
  <c r="E304" i="4"/>
  <c r="E297" i="4"/>
  <c r="E289" i="4"/>
  <c r="E282" i="4"/>
  <c r="E275" i="4"/>
  <c r="E268" i="4"/>
  <c r="E261" i="4"/>
  <c r="E253" i="4"/>
  <c r="E246" i="4"/>
  <c r="E239" i="4"/>
  <c r="E232" i="4"/>
  <c r="E226" i="4"/>
  <c r="E220" i="4"/>
  <c r="E214" i="4"/>
  <c r="E208" i="4"/>
  <c r="E202" i="4"/>
  <c r="E196" i="4"/>
  <c r="E190" i="4"/>
  <c r="E184" i="4"/>
  <c r="E178" i="4"/>
  <c r="E172" i="4"/>
  <c r="E166" i="4"/>
  <c r="E160" i="4"/>
  <c r="E154" i="4"/>
  <c r="E148" i="4"/>
  <c r="E142" i="4"/>
  <c r="E136" i="4"/>
  <c r="E130" i="4"/>
  <c r="E124" i="4"/>
  <c r="E118" i="4"/>
  <c r="E112" i="4"/>
  <c r="E106" i="4"/>
  <c r="E100" i="4"/>
  <c r="E94" i="4"/>
  <c r="E88" i="4"/>
  <c r="E82" i="4"/>
  <c r="E8" i="4"/>
  <c r="E14" i="4"/>
  <c r="E20" i="4"/>
  <c r="E26" i="4"/>
  <c r="E32" i="4"/>
  <c r="E38" i="4"/>
  <c r="E44" i="4"/>
  <c r="E50" i="4"/>
  <c r="E56" i="4"/>
  <c r="E62" i="4"/>
  <c r="E68" i="4"/>
  <c r="E74" i="4"/>
  <c r="E80" i="4"/>
  <c r="E87" i="4"/>
  <c r="E95" i="4"/>
  <c r="E102" i="4"/>
  <c r="E109" i="4"/>
  <c r="E116" i="4"/>
  <c r="E123" i="4"/>
  <c r="E131" i="4"/>
  <c r="E138" i="4"/>
  <c r="E145" i="4"/>
  <c r="E152" i="4"/>
  <c r="E159" i="4"/>
  <c r="E167" i="4"/>
  <c r="E174" i="4"/>
  <c r="E181" i="4"/>
  <c r="E188" i="4"/>
  <c r="E195" i="4"/>
  <c r="E203" i="4"/>
  <c r="E210" i="4"/>
  <c r="E217" i="4"/>
  <c r="E224" i="4"/>
  <c r="E231" i="4"/>
  <c r="E240" i="4"/>
  <c r="E249" i="4"/>
  <c r="E257" i="4"/>
  <c r="E265" i="4"/>
  <c r="E274" i="4"/>
  <c r="E283" i="4"/>
  <c r="E292" i="4"/>
  <c r="E300" i="4"/>
  <c r="E309" i="4"/>
  <c r="E317" i="4"/>
  <c r="E328" i="4"/>
  <c r="E339" i="4"/>
  <c r="E348" i="4"/>
  <c r="E359" i="4"/>
  <c r="E3" i="4"/>
  <c r="E9" i="4"/>
  <c r="E15" i="4"/>
  <c r="E21" i="4"/>
  <c r="E27" i="4"/>
  <c r="E33" i="4"/>
  <c r="E39" i="4"/>
  <c r="E45" i="4"/>
  <c r="E51" i="4"/>
  <c r="E57" i="4"/>
  <c r="E63" i="4"/>
  <c r="E69" i="4"/>
  <c r="E75" i="4"/>
  <c r="E81" i="4"/>
  <c r="E89" i="4"/>
  <c r="E96" i="4"/>
  <c r="E103" i="4"/>
  <c r="E110" i="4"/>
  <c r="E117" i="4"/>
  <c r="E125" i="4"/>
  <c r="E132" i="4"/>
  <c r="E139" i="4"/>
  <c r="E146" i="4"/>
  <c r="E153" i="4"/>
  <c r="E161" i="4"/>
  <c r="E168" i="4"/>
  <c r="E175" i="4"/>
  <c r="E182" i="4"/>
  <c r="E189" i="4"/>
  <c r="E197" i="4"/>
  <c r="E204" i="4"/>
  <c r="E211" i="4"/>
  <c r="E218" i="4"/>
  <c r="E225" i="4"/>
  <c r="E233" i="4"/>
  <c r="E241" i="4"/>
  <c r="E250" i="4"/>
  <c r="E258" i="4"/>
  <c r="E267" i="4"/>
  <c r="E276" i="4"/>
  <c r="E285" i="4"/>
  <c r="E293" i="4"/>
  <c r="E301" i="4"/>
  <c r="E310" i="4"/>
  <c r="E319" i="4"/>
  <c r="E329" i="4"/>
  <c r="E340" i="4"/>
  <c r="E351" i="4"/>
  <c r="E360" i="4"/>
  <c r="E4" i="4"/>
  <c r="E10" i="4"/>
  <c r="E16" i="4"/>
  <c r="E22" i="4"/>
  <c r="E28" i="4"/>
  <c r="E34" i="4"/>
  <c r="E40" i="4"/>
  <c r="E46" i="4"/>
  <c r="E52" i="4"/>
  <c r="E58" i="4"/>
  <c r="E64" i="4"/>
  <c r="E70" i="4"/>
  <c r="E76" i="4"/>
  <c r="E83" i="4"/>
  <c r="E90" i="4"/>
  <c r="E97" i="4"/>
  <c r="E104" i="4"/>
  <c r="E111" i="4"/>
  <c r="E119" i="4"/>
  <c r="E126" i="4"/>
  <c r="E133" i="4"/>
  <c r="E140" i="4"/>
  <c r="E147" i="4"/>
  <c r="E155" i="4"/>
  <c r="E162" i="4"/>
  <c r="E169" i="4"/>
  <c r="E176" i="4"/>
  <c r="E183" i="4"/>
  <c r="E191" i="4"/>
  <c r="E198" i="4"/>
  <c r="E205" i="4"/>
  <c r="E212" i="4"/>
  <c r="E219" i="4"/>
  <c r="E227" i="4"/>
  <c r="E234" i="4"/>
  <c r="E243" i="4"/>
  <c r="E251" i="4"/>
  <c r="E259" i="4"/>
  <c r="E269" i="4"/>
  <c r="E277" i="4"/>
  <c r="E286" i="4"/>
  <c r="E294" i="4"/>
  <c r="E303" i="4"/>
  <c r="E312" i="4"/>
  <c r="E321" i="4"/>
  <c r="E330" i="4"/>
  <c r="E341" i="4"/>
  <c r="E352" i="4"/>
  <c r="E364" i="4"/>
  <c r="E5" i="4"/>
  <c r="E11" i="4"/>
  <c r="E17" i="4"/>
  <c r="E23" i="4"/>
  <c r="E29" i="4"/>
  <c r="E35" i="4"/>
  <c r="E41" i="4"/>
  <c r="E47" i="4"/>
  <c r="E53" i="4"/>
  <c r="E59" i="4"/>
  <c r="E65" i="4"/>
  <c r="E71" i="4"/>
  <c r="E77" i="4"/>
  <c r="E84" i="4"/>
  <c r="E91" i="4"/>
  <c r="E98" i="4"/>
  <c r="E105" i="4"/>
  <c r="E113" i="4"/>
  <c r="E120" i="4"/>
  <c r="E127" i="4"/>
  <c r="E134" i="4"/>
  <c r="E141" i="4"/>
  <c r="E149" i="4"/>
  <c r="E156" i="4"/>
  <c r="E163" i="4"/>
  <c r="E170" i="4"/>
  <c r="E177" i="4"/>
  <c r="E185" i="4"/>
  <c r="E192" i="4"/>
  <c r="E199" i="4"/>
  <c r="E206" i="4"/>
  <c r="E213" i="4"/>
  <c r="E221" i="4"/>
  <c r="E228" i="4"/>
  <c r="E235" i="4"/>
  <c r="E244" i="4"/>
  <c r="E252" i="4"/>
  <c r="E262" i="4"/>
  <c r="E270" i="4"/>
  <c r="E279" i="4"/>
  <c r="E287" i="4"/>
  <c r="E295" i="4"/>
  <c r="E305" i="4"/>
  <c r="E313" i="4"/>
  <c r="E322" i="4"/>
  <c r="E333" i="4"/>
  <c r="E342" i="4"/>
  <c r="E354" i="4"/>
  <c r="E365" i="4"/>
  <c r="F349" i="4"/>
  <c r="F357" i="4"/>
  <c r="F367" i="4"/>
  <c r="F196" i="4"/>
  <c r="F206" i="4"/>
  <c r="F214" i="4"/>
  <c r="F224" i="4"/>
  <c r="F232" i="4"/>
  <c r="F242" i="4"/>
  <c r="F250" i="4"/>
  <c r="F260" i="4"/>
  <c r="F268" i="4"/>
  <c r="F278" i="4"/>
  <c r="F286" i="4"/>
  <c r="F296" i="4"/>
  <c r="F304" i="4"/>
  <c r="F314" i="4"/>
  <c r="F322" i="4"/>
  <c r="F332" i="4"/>
  <c r="F340" i="4"/>
  <c r="F350" i="4"/>
  <c r="F358" i="4"/>
  <c r="F372" i="4"/>
  <c r="F366" i="4"/>
  <c r="F360" i="4"/>
  <c r="F354" i="4"/>
  <c r="F348" i="4"/>
  <c r="F342" i="4"/>
  <c r="F336" i="4"/>
  <c r="F330" i="4"/>
  <c r="F324" i="4"/>
  <c r="F318" i="4"/>
  <c r="F312" i="4"/>
  <c r="F306" i="4"/>
  <c r="F300" i="4"/>
  <c r="F294" i="4"/>
  <c r="F288" i="4"/>
  <c r="F282" i="4"/>
  <c r="F276" i="4"/>
  <c r="F270" i="4"/>
  <c r="F264" i="4"/>
  <c r="F258" i="4"/>
  <c r="F252" i="4"/>
  <c r="F246" i="4"/>
  <c r="F240" i="4"/>
  <c r="F234" i="4"/>
  <c r="F228" i="4"/>
  <c r="F222" i="4"/>
  <c r="F216" i="4"/>
  <c r="F210" i="4"/>
  <c r="F204" i="4"/>
  <c r="F198" i="4"/>
  <c r="F192" i="4"/>
  <c r="F186" i="4"/>
  <c r="F180" i="4"/>
  <c r="F174" i="4"/>
  <c r="F168" i="4"/>
  <c r="F162" i="4"/>
  <c r="F156" i="4"/>
  <c r="F150" i="4"/>
  <c r="F144" i="4"/>
  <c r="F138" i="4"/>
  <c r="F132" i="4"/>
  <c r="F126" i="4"/>
  <c r="F120" i="4"/>
  <c r="F114" i="4"/>
  <c r="F108" i="4"/>
  <c r="F102" i="4"/>
  <c r="F96" i="4"/>
  <c r="F90" i="4"/>
  <c r="F84" i="4"/>
  <c r="F78" i="4"/>
  <c r="F72" i="4"/>
  <c r="F66" i="4"/>
  <c r="F60" i="4"/>
  <c r="F54" i="4"/>
  <c r="F48" i="4"/>
  <c r="F42" i="4"/>
  <c r="F36" i="4"/>
  <c r="F30" i="4"/>
  <c r="F24" i="4"/>
  <c r="F18" i="4"/>
  <c r="F12" i="4"/>
  <c r="F6" i="4"/>
  <c r="F371" i="4"/>
  <c r="F365" i="4"/>
  <c r="F359" i="4"/>
  <c r="F353" i="4"/>
  <c r="F347" i="4"/>
  <c r="F341" i="4"/>
  <c r="F335" i="4"/>
  <c r="F329" i="4"/>
  <c r="F323" i="4"/>
  <c r="F317" i="4"/>
  <c r="F311" i="4"/>
  <c r="F305" i="4"/>
  <c r="F299" i="4"/>
  <c r="F293" i="4"/>
  <c r="F287" i="4"/>
  <c r="F281" i="4"/>
  <c r="F275" i="4"/>
  <c r="F269" i="4"/>
  <c r="F263" i="4"/>
  <c r="F257" i="4"/>
  <c r="F251" i="4"/>
  <c r="F245" i="4"/>
  <c r="F239" i="4"/>
  <c r="F233" i="4"/>
  <c r="F227" i="4"/>
  <c r="F221" i="4"/>
  <c r="F215" i="4"/>
  <c r="F209" i="4"/>
  <c r="F203" i="4"/>
  <c r="F197" i="4"/>
  <c r="F191" i="4"/>
  <c r="F185" i="4"/>
  <c r="F179" i="4"/>
  <c r="F173" i="4"/>
  <c r="F167" i="4"/>
  <c r="F161" i="4"/>
  <c r="F155" i="4"/>
  <c r="F149" i="4"/>
  <c r="F143" i="4"/>
  <c r="F137" i="4"/>
  <c r="F131" i="4"/>
  <c r="F125" i="4"/>
  <c r="F119" i="4"/>
  <c r="F113" i="4"/>
  <c r="F107" i="4"/>
  <c r="F101" i="4"/>
  <c r="F95" i="4"/>
  <c r="F89" i="4"/>
  <c r="F83" i="4"/>
  <c r="F77" i="4"/>
  <c r="F71" i="4"/>
  <c r="F65" i="4"/>
  <c r="F59" i="4"/>
  <c r="F53" i="4"/>
  <c r="F47" i="4"/>
  <c r="F41" i="4"/>
  <c r="F35" i="4"/>
  <c r="F29" i="4"/>
  <c r="F23" i="4"/>
  <c r="F17" i="4"/>
  <c r="F11" i="4"/>
  <c r="F5" i="4"/>
  <c r="F10" i="4"/>
  <c r="F20" i="4"/>
  <c r="F28" i="4"/>
  <c r="F38" i="4"/>
  <c r="F46" i="4"/>
  <c r="F56" i="4"/>
  <c r="F64" i="4"/>
  <c r="F74" i="4"/>
  <c r="F82" i="4"/>
  <c r="F92" i="4"/>
  <c r="F100" i="4"/>
  <c r="F110" i="4"/>
  <c r="F118" i="4"/>
  <c r="F128" i="4"/>
  <c r="F136" i="4"/>
  <c r="F146" i="4"/>
  <c r="F154" i="4"/>
  <c r="F164" i="4"/>
  <c r="F172" i="4"/>
  <c r="F182" i="4"/>
  <c r="F190" i="4"/>
  <c r="F200" i="4"/>
  <c r="F208" i="4"/>
  <c r="F218" i="4"/>
  <c r="F226" i="4"/>
  <c r="F236" i="4"/>
  <c r="F244" i="4"/>
  <c r="F254" i="4"/>
  <c r="F262" i="4"/>
  <c r="F272" i="4"/>
  <c r="F280" i="4"/>
  <c r="F290" i="4"/>
  <c r="F298" i="4"/>
  <c r="F308" i="4"/>
  <c r="F316" i="4"/>
  <c r="F326" i="4"/>
  <c r="F334" i="4"/>
  <c r="F344" i="4"/>
  <c r="F352" i="4"/>
  <c r="F362" i="4"/>
  <c r="F370" i="4"/>
  <c r="F3" i="4"/>
  <c r="F13" i="4"/>
  <c r="F21" i="4"/>
  <c r="F31" i="4"/>
  <c r="F39" i="4"/>
  <c r="F49" i="4"/>
  <c r="F57" i="4"/>
  <c r="F67" i="4"/>
  <c r="F75" i="4"/>
  <c r="F85" i="4"/>
  <c r="F93" i="4"/>
  <c r="F103" i="4"/>
  <c r="F111" i="4"/>
  <c r="F121" i="4"/>
  <c r="F129" i="4"/>
  <c r="F139" i="4"/>
  <c r="F147" i="4"/>
  <c r="F157" i="4"/>
  <c r="F165" i="4"/>
  <c r="F175" i="4"/>
  <c r="F183" i="4"/>
  <c r="F193" i="4"/>
  <c r="F201" i="4"/>
  <c r="F211" i="4"/>
  <c r="F219" i="4"/>
  <c r="F229" i="4"/>
  <c r="F237" i="4"/>
  <c r="F247" i="4"/>
  <c r="F255" i="4"/>
  <c r="F265" i="4"/>
  <c r="F273" i="4"/>
  <c r="F283" i="4"/>
  <c r="F291" i="4"/>
  <c r="F301" i="4"/>
  <c r="F309" i="4"/>
  <c r="F319" i="4"/>
  <c r="F327" i="4"/>
  <c r="F337" i="4"/>
  <c r="F345" i="4"/>
  <c r="F355" i="4"/>
  <c r="F363" i="4"/>
  <c r="F37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Factset</author>
  </authors>
  <commentList>
    <comment ref="A1" authorId="0" shapeId="0" xr:uid="{00000000-0006-0000-00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&lt;?xml version="1.0" encoding="utf-8"?&gt;&lt;Schema xmlns:xsd="http://www.w3.org/2001/XMLSchema" xmlns:xsi="http://www.w3.org/2001/XMLSchema-instance" Version="2" Timestamp="1771829865"&gt;&lt;FQL&gt;&lt;Q&gt;9104-TKS^P_PRICE(1/4/2019,NOW,W)&lt;/Q&gt;&lt;R&gt;372&lt;/R&gt;&lt;C&gt;1&lt;/C&gt;&lt;D xsi:type="xsd:double"&gt;772.66583&lt;/D&gt;&lt;D xsi:type="xsd:double"&gt;849.9991&lt;/D&gt;&lt;D xsi:type="xsd:double"&gt;861.6658&lt;/D&gt;&lt;D xsi:type="xsd:double"&gt;886.9991&lt;/D&gt;&lt;D xsi:type="xsd:double"&gt;876.6658&lt;/D&gt;&lt;D xsi:type="xsd:double"&gt;846.6658&lt;/D&gt;&lt;D xsi:type="xsd:double"&gt;863.33246&lt;/D&gt;&lt;D xsi:type="xsd:double"&gt;880.6658&lt;/D&gt;&lt;D xsi:type="xsd:double"&gt;850.6658&lt;/D&gt;&lt;D xsi:type="xsd:double"&gt;815.66583&lt;/D&gt;&lt;D xsi:type="xsd:double"&gt;806.3325&lt;/D&gt;&lt;D xsi:type="xsd:double"&gt;818.99915&lt;/D&gt;&lt;D xsi:type="xsd:double"&gt;793.66583&lt;/D&gt;&lt;D xsi:type="xsd:double"&gt;889.3324&lt;/D&gt;&lt;D xsi:type="xsd:double"&gt;883.6658&lt;/D&gt;&lt;D xsi:type="xsd:double"&gt;921.999&lt;/D&gt;&lt;D xsi:type="xsd:double"&gt;939.999&lt;/D&gt;&lt;D xsi:type="xsd:double"&gt;859.33246&lt;/D&gt;&lt;D xsi:type="xsd:double"&gt;854.9991&lt;/D&gt;&lt;D xsi:type="xsd:double"&gt;793.3325&lt;/D&gt;&lt;D xsi:type="xsd:double"&gt;771.9992&lt;/D&gt;&lt;D xsi:type="xsd:double"&gt;789.99915&lt;/D&gt;&lt;D xsi:type="xsd:double"&gt;786.66583&lt;/D&gt;&lt;D xsi:type="xsd:double"&gt;824.66583&lt;/D&gt;&lt;D xsi:type="xsd:double"&gt;859.6658&lt;/D&gt;&lt;D xsi:type="xsd:double"&gt;929.33234&lt;/D&gt;&lt;D xsi:type="xsd:double"&gt;882.6658&lt;/D&gt;&lt;D xsi:type="xsd:double"&gt;865.6658&lt;/D&gt;&lt;D xsi:type="xsd:double"&gt;906.3324&lt;/D&gt;&lt;D xsi:type="xsd:double"&gt;853.33246&lt;/D&gt;&lt;D xsi:type="xsd:double"&gt;808.99915&lt;/D&gt;&lt;D xsi:type="xsd:double"&gt;804.3325&lt;/D&gt;&lt;D xsi:type="xsd:double"&gt;836.6658&lt;/D&gt;&lt;D xsi:type="xsd:double"&gt;833.99915&lt;/D&gt;&lt;D xsi:type="xsd:double"&gt;902.6657&lt;/D&gt;&lt;D xsi:type="xsd:double"&gt;979.66565&lt;/D&gt;&lt;D xsi:type="xsd:double"&gt;953.66565&lt;/D&gt;&lt;D xsi:type="xsd:double"&gt;923.3324&lt;/D&gt;&lt;D xsi:type="xsd:double"&gt;913.3324&lt;/D&gt;&lt;D xsi:type="xsd:double"&gt;963.33234&lt;/D&gt;&lt;D xsi:type="xsd:double"&gt;1003.3323&lt;/D&gt;&lt;D xsi:type="xsd:double"&gt;1021.6656&lt;/D&gt;&lt;D xsi:type="xsd:double"&gt;977.33234&lt;/D&gt;&lt;D xsi:type="xsd:double"&gt;1011.6656&lt;/D&gt;&lt;D xsi:type="xsd:double"&gt;1008.3323&lt;/D&gt;&lt;D xsi:type="xsd:double"&gt;951.999&lt;/D&gt;&lt;D xsi:type="xsd:double"&gt;956.66565&lt;/D&gt;&lt;D xsi:type="xsd:double"&gt;983.99896&lt;/D&gt;&lt;D xsi:type="xsd:double"&gt;1011.6656&lt;/D&gt;&lt;D xsi:type="xsd:double"&gt;984.99896&lt;/D&gt;&lt;D xsi:type="xsd:double"&gt;1009.99896&lt;/D&gt;&lt;D xsi:type="xsd:double"&gt;1008.3323&lt;/D&gt;&lt;D xsi:type="xsd:double"&gt;970.33234&lt;/D&gt;&lt;D xsi:type="xsd:double"&gt;982.33234&lt;/D&gt;&lt;D xsi:type="xsd:double"&gt;939.999&lt;/D&gt;&lt;D xsi:type="xsd:double"&gt;896.3324&lt;/D&gt;&lt;D xsi:type="xsd:double"&gt;871.3324&lt;/D&gt;&lt;D xsi:type="xsd:double"&gt;837.99915&lt;/D&gt;&lt;D xsi:type="xsd:double"&gt;851.6658&lt;/D&gt;&lt;D xsi:type="xsd:double"&gt;746.9992&lt;/D&gt;&lt;D xsi:type="xsd:double"&gt;698.66595&lt;/D&gt;&lt;D xsi:type="xsd:double"&gt;541.99945&lt;/D&gt;&lt;D xsi:type="xsd:double"&gt;516.66614&lt;/D&gt;&lt;D xsi:type="xsd:double"&gt;599.9994&lt;/D&gt;&lt;D xsi:type="xsd:double"&gt;550.6661&lt;/D&gt;&lt;D xsi:type="xsd:double"&gt;614.3327&lt;/D&gt;&lt;D xsi:type="xsd:double"&gt;593.3327&lt;/D&gt;&lt;D xsi:type="xsd:double"&gt;594.3327&lt;/D&gt;&lt;D xsi:type="xsd:double"&gt;573.6661&lt;/D&gt;&lt;D xsi:type="xsd:double"&gt;598.3327&lt;/D&gt;&lt;D xsi:type="xsd:double"&gt;581.9994&lt;/D&gt;&lt;D xsi:type="xsd:double"&gt;596.3327&lt;/D&gt;&lt;D xsi:type="xsd:double"&gt;636.33264&lt;/D&gt;&lt;D xsi:type="xsd:double"&gt;686.99927&lt;/D&gt;&lt;D xsi:type="xsd:double"&gt;637.9993&lt;/D&gt;&lt;D xsi:type="xsd:double"&gt;671.9993&lt;/D&gt;&lt;D xsi:type="xsd:double"&gt;637.666&lt;/D&gt;&lt;D xsi:type="xsd:double"&gt;631.666&lt;/D&gt;&lt;D xsi:type="xsd:double"&gt;636.9993&lt;/D&gt;&lt;D xsi:type="xsd:double"&gt;640.666&lt;/D&gt;&lt;D xsi:type="xsd:double"&gt;635.9993&lt;/D&gt;&lt;D xsi:type="xsd:double"&gt;576.3327&lt;/D&gt;&lt;D xsi:type="xsd:double"&gt;637.33264&lt;/D&gt;&lt;D xsi:type="xsd:double"&gt;625.666&lt;/D&gt;&lt;D xsi:type="xsd:double"&gt;626.666&lt;/D&gt;&lt;D xsi:type="xsd:double"&gt;646.666&lt;/D&gt;&lt;D xsi:type="xsd:double"&gt;660.9993&lt;/D&gt;&lt;D xsi:type="xsd:double"&gt;794.66583&lt;/D&gt;&lt;D xsi:type="xsd:double"&gt;744.3326&lt;/D&gt;&lt;D xsi:type="xsd:double"&gt;722.3326&lt;/D&gt;&lt;D xsi:type="xsd:double"&gt;683.33264&lt;/D&gt;&lt;D xsi:type="xsd:double"&gt;763.9992&lt;/D&gt;&lt;D xsi:type="xsd:double"&gt;767.3325&lt;/D&gt;&lt;D xsi:type="xsd:double"&gt;829.6658&lt;/D&gt;&lt;D xsi:type="xsd:double"&gt;779.66583&lt;/D&gt;&lt;D xsi:type="xsd:double"&gt;820.33246&lt;/D&gt;&lt;D xsi:type="xsd:double"&gt;835.99915&lt;/D&gt;&lt;D xsi:type="xsd:double"&gt;868.3324&lt;/D&gt;&lt;D xsi:type="xsd:double"&gt;925.3324&lt;/D&gt;&lt;D xsi:type="xsd:double"&gt;998.3323&lt;/D&gt;&lt;D xsi:type="xsd:double"&gt;988.66565&lt;/D&gt;&lt;D xsi:type="xsd:double"&gt;1061.6655&lt;/D&gt;&lt;D xsi:type="xsd:double"&gt;1049.9989&lt;/D&gt;&lt;D xsi:type="xsd:double"&gt;1049.9989&lt;/D&gt;&lt;D xsi:type="xsd:double"&gt;1084.9989&lt;/D&gt;&lt;D xsi:type="xsd:double"&gt;1043.3323&lt;/D&gt;&lt;D xsi:type="xsd:double"&gt;1004.99896&lt;/D&gt;&lt;D xsi:type="xsd:double"&gt;943.33234&lt;/D&gt;&lt;D xsi:type="xsd:double"&gt;987.3323&lt;/D&gt;&lt;D xsi:type="xsd:double"&gt;980.33234&lt;/D&gt;&lt;D xsi:type="xsd:double"&gt;1061.6655&lt;/D&gt;&lt;D xsi:type="xsd:double"&gt;1121.6655&lt;/D&gt;&lt;D xsi:type="xsd:double"&gt;1124.9988&lt;/D&gt;&lt;D xsi:type="xsd:double"&gt;1226.6654&lt;/D&gt;&lt;D xsi:type="xsd:double"&gt;1359.9985&lt;/D&gt;&lt;D xsi:type="xsd:double"&gt;1359.9985&lt;/D&gt;&lt;D xsi:type="xsd:double"&gt;1284.9987&lt;/D&gt;&lt;D xsi:type="xsd:double"&gt;1404.9985&lt;/D&gt;&lt;D xsi:type="xsd:double"&gt;1271.6653&lt;/D&gt;&lt;D xsi:type="xsd:double"&gt;1371.6653&lt;/D&gt;&lt;D xsi:type="xsd:double"&gt;1463.3318&lt;/D&gt;&lt;D xsi:type="xsd:double"&gt;1598.3317&lt;/D&gt;&lt;D xsi:type="xsd:double"&gt;1466.6652&lt;/D&gt;&lt;D xsi:type="xsd:double"&gt;1454.9985&lt;/D&gt;&lt;D xsi:type="xsd:double"&gt;1458.3318&lt;/D&gt;&lt;D xsi:type="xsd:double"&gt;1551.665&lt;/D&gt;&lt;D xsi:type="xsd:double"&gt;1643.3317&lt;/D&gt;&lt;D xsi:type="xsd:double"&gt;1609.9983&lt;/D&gt;&lt;D xsi:type="xsd:double"&gt;1719.9982&lt;/D&gt;&lt;D xsi:type="xsd:double"&gt;1726.6649&lt;/D&gt;&lt;D xsi:type="xsd:double"&gt;1676.6649&lt;/D&gt;&lt;D xsi:type="xsd:double"&gt;1651.6649&lt;/D&gt;&lt;D xsi:type="xsd:double"&gt;1639.9983&lt;/D&gt;&lt;D xsi:type="xsd:double"&gt;1883.3314&lt;/D&gt;&lt;D xsi:type="xsd:double"&gt;2296.6643&lt;/D&gt;&lt;D xsi:type="xsd:double"&gt;2433.3308&lt;/D&gt;&lt;D xsi:type="xsd:double"&gt;2153.331&lt;/D&gt;&lt;D xsi:type="xsd:double"&gt;2613.3306&lt;/D&gt;&lt;D xsi:type="xsd:double"&gt;2816.6638&lt;/D&gt;&lt;D xsi:type="xsd:double"&gt;3009.9968&lt;/D&gt;&lt;D xsi:type="xsd:double"&gt;3166.6633&lt;/D&gt;&lt;D xsi:type="xsd:double"&gt;3289.9966&lt;/D&gt;&lt;D xsi:type="xsd:double"&gt;2503.3308&lt;/D&gt;&lt;D xsi:type="xsd:double"&gt;2229.9976&lt;/D&gt;&lt;D xsi:type="xsd:double"&gt;2163.331&lt;/D&gt;&lt;D xsi:type="xsd:double"&gt;2186.6643&lt;/D&gt;&lt;D xsi:type="xsd:double"&gt;2386.664&lt;/D&gt;&lt;D xsi:type="xsd:double"&gt;2226.6643&lt;/D&gt;&lt;D xsi:type="xsd:double"&gt;2243.331&lt;/D&gt;&lt;D xsi:type="xsd:double"&gt;2096.6646&lt;/D&gt;&lt;D xsi:type="xsd:double"&gt;2163.331&lt;/D&gt;&lt;D xsi:type="xsd:double"&gt;2539.9973&lt;/D&gt;&lt;D xsi:type="xsd:double"&gt;2606.664&lt;/D&gt;&lt;D xsi:type="xsd:double"&gt;2689.9973&lt;/D&gt;&lt;D xsi:type="xsd:double"&gt;2789.997&lt;/D&gt;&lt;D xsi:type="xsd:double"&gt;2846.6638&lt;/D&gt;&lt;D xsi:type="xsd:double"&gt;3063.33&lt;/D&gt;&lt;D xsi:type="xsd:double"&gt;3166.6633&lt;/D&gt;&lt;D xsi:type="xsd:double"&gt;2746.6638&lt;/D&gt;&lt;D xsi:type="xsd:double"&gt;2676.6638&lt;/D&gt;&lt;D xsi:type="xsd:double"&gt;2986.6636&lt;/D&gt;&lt;D xsi:type="xsd:double"&gt;3046.6636&lt;/D&gt;&lt;D xsi:type="xsd:double"&gt;3133.33&lt;/D&gt;&lt;D xsi:type="xsd:double"&gt;3059.9968&lt;/D&gt;&lt;D xsi:type="xsd:double"&gt;3586.6628&lt;/D&gt;&lt;D xsi:type="xsd:double"&gt;3723.3293&lt;/D&gt;&lt;D xsi:type="xsd:double"&gt;3823.3293&lt;/D&gt;&lt;D xsi:type="xsd:double"&gt;3443.3298&lt;/D&gt;&lt;D xsi:type="xsd:double"&gt;3250&lt;/D&gt;&lt;D xsi:type="xsd:double"&gt;2983&lt;/D&gt;&lt;D xsi:type="xsd:double"&gt;3070&lt;/D&gt;&lt;D xsi:type="xsd:double"&gt;3175&lt;/D&gt;&lt;D xsi:type="xsd:double"&gt;3070&lt;/D&gt;&lt;D xsi:type="xsd:double"&gt;3275&lt;/D&gt;&lt;D xsi:type="xsd:double"&gt;3300&lt;/D&gt;&lt;D xsi:type="xsd:double"&gt;3375&lt;/D&gt;&lt;D xsi:type="xsd:double"&gt;3680&lt;/D&gt;&lt;D xsi:type="xsd:double"&gt;3550&lt;/D&gt;&lt;D xsi:type="xsd:double"&gt;3230&lt;/D&gt;&lt;D xsi:type="xsd:double"&gt;3090&lt;/D&gt;&lt;D xsi:type="xsd:double"&gt;3025&lt;/D&gt;&lt;D xsi:type="xsd:double"&gt;3060&lt;/D&gt;&lt;D xsi:type="xsd:double"&gt;3130&lt;/D&gt;&lt;D xsi:type="xsd:double"&gt;3195&lt;/D&gt;&lt;D xsi:type="xsd:double"&gt;3510&lt;/D&gt;&lt;D xsi:type="xsd:double"&gt;3635&lt;/D&gt;&lt;D xsi:type="xsd:double"&gt;3805&lt;/D&gt;&lt;D xsi:type="xsd:double"&gt;3825&lt;/D&gt;&lt;D xsi:type="xsd:double"&gt;3740&lt;/D&gt;&lt;D xsi:type="xsd:double"&gt;3770&lt;/D&gt;&lt;D xsi:type="xsd:double"&gt;3520&lt;/D&gt;&lt;D xsi:type="xsd:double"&gt;3385&lt;/D&gt;&lt;D xsi:type="xsd:double"&gt;3315&lt;/D&gt;&lt;D xsi:type="xsd:double"&gt;3285&lt;/D&gt;&lt;D xsi:type="xsd:double"&gt;2602&lt;/D&gt;&lt;D xsi:type="xsd:double"&gt;2775&lt;/D&gt;&lt;D xsi:type="xsd:double"&gt;2847&lt;/D&gt;&lt;D xsi:type="xsd:double"&gt;2912&lt;/D&gt;&lt;D xsi:type="xsd:double"&gt;2902&lt;/D&gt;&lt;D xsi:type="xsd:double"&gt;2897&lt;/D&gt;&lt;D xsi:type="xsd:double"&gt;3120&lt;/D&gt;&lt;D xsi:type="xsd:double"&gt;3035&lt;/D&gt;&lt;D xsi:type="xsd:double"&gt;3250&lt;/D&gt;&lt;D xsi:type="xsd:double"&gt;3340&lt;/D&gt;&lt;D xsi:type="xsd:double"&gt;3265&lt;/D&gt;&lt;D xsi:type="xsd:double"&gt;3420&lt;/D&gt;&lt;D xsi:type="xsd:double"&gt;3365&lt;/D&gt;&lt;D xsi:type="xsd:double"&gt;3290&lt;/D&gt;&lt;D xsi:type="xsd:double"&gt;3165&lt;/D&gt;&lt;D xsi:type="xsd:double"&gt;3230&lt;/D&gt;&lt;D xsi:type="xsd:double"&gt;3345&lt;/D&gt;&lt;D xsi:type="xsd:double"&gt;3165&lt;/D&gt;&lt;D xsi:type="xsd:double"&gt;3295&lt;/D&gt;&lt;D xsi:type="xsd:double"&gt;3300&lt;/D&gt;&lt;D xsi:type="xsd:double"&gt;3435&lt;/D&gt;&lt;D xsi:type="xsd:double"&gt;3620&lt;/D&gt;&lt;D xsi:type="xsd:double"&gt;3555&lt;/D&gt;&lt;D xsi:type="xsd:double"&gt;3520&lt;/D&gt;&lt;D xsi:type="xsd:double"&gt;3530&lt;/D&gt;&lt;D xsi:type="xsd:double"&gt;3505&lt;/D&gt;&lt;D xsi:type="xsd:double"&gt;3310&lt;/D&gt;&lt;D xsi:type="xsd:double"&gt;3365&lt;/D&gt;&lt;D xsi:type="xsd:double"&gt;3500&lt;/D&gt;&lt;D xsi:type="xsd:double"&gt;3495&lt;/D&gt;&lt;D xsi:type="xsd:double"&gt;3360&lt;/D&gt;&lt;D xsi:type="xsd:double"&gt;3175&lt;/D&gt;&lt;D xsi:type="xsd:double"&gt;3190&lt;/D&gt;&lt;D xsi:type="xsd:double"&gt;3135&lt;/D&gt;&lt;D xsi:type="xsd:double"&gt;3140&lt;/D&gt;&lt;D xsi:type="xsd:double"&gt;3150&lt;/D&gt;&lt;D xsi:type="xsd:double"&gt;3278&lt;/D&gt;&lt;D xsi:type="xsd:double"&gt;3269&lt;/D&gt;&lt;D xsi:type="xsd:double"&gt;3319&lt;/D&gt;&lt;D xsi:type="xsd:double"&gt;3456&lt;/D&gt;&lt;D xsi:type="xsd:double"&gt;3678&lt;/D&gt;&lt;D xsi:type="xsd:double"&gt;3576&lt;/D&gt;&lt;D xsi:type="xsd:double"&gt;3713&lt;/D&gt;&lt;D xsi:type="xsd:double"&gt;3748&lt;/D&gt;&lt;D xsi:type="xsd:double"&gt;3999&lt;/D&gt;&lt;D xsi:type="xsd:double"&gt;4027&lt;/D&gt;&lt;D xsi:type="xsd:double"&gt;3965&lt;/D&gt;&lt;D xsi:type="xsd:double"&gt;3999&lt;/D&gt;&lt;D xsi:type="xsd:double"&gt;4124&lt;/D&gt;&lt;D xsi:type="xsd:double"&gt;4204&lt;/D&gt;&lt;D xsi:type="xsd:double"&gt;4380&lt;/D&gt;&lt;D xsi:type="xsd:double"&gt;4511&lt;/D&gt;&lt;D xsi:type="xsd:double"&gt;4110&lt;/D&gt;&lt;D xsi:type="xsd:double"&gt;4016&lt;/D&gt;&lt;D xsi:type="xsd:double"&gt;4138&lt;/D&gt;&lt;D xsi:type="xsd:double"&gt;4088&lt;/D&gt;&lt;D xsi:type="xsd:double"&gt;4090&lt;/D&gt;&lt;D xsi:type="xsd:double"&gt;3913&lt;/D&gt;&lt;D xsi:type="xsd:double"&gt;3864&lt;/D&gt;&lt;D xsi:type="xsd:double"&gt;3881&lt;/D&gt;&lt;D xsi:type="xsd:double"&gt;4077&lt;/D&gt;&lt;D xsi:type="xsd:double"&gt;4085&lt;/D&gt;&lt;D xsi:type="xsd:double"&gt;3970&lt;/D&gt;&lt;D xsi:type="xsd:double"&gt;4196&lt;/D&gt;&lt;D xsi:type="xsd:double"&gt;4712&lt;/D&gt;&lt;D xsi:type="xsd:double"&gt;4517&lt;/D&gt;&lt;D xsi:type="xsd:double"&gt;4908&lt;/D&gt;&lt;D xsi:type="xsd:double"&gt;4844&lt;/D&gt;&lt;D xsi:type="xsd:double"&gt;5157&lt;/D&gt;&lt;D xsi:type="xsd:double"&gt;5113&lt;/D&gt;&lt;D xsi:type="xsd:double"&gt;5208&lt;/D&gt;&lt;D xsi:type="xsd:double"&gt;5000&lt;/D&gt;&lt;D xsi:type="xsd:double"&gt;5287&lt;/D&gt;&lt;D xsi:type="xsd:double"&gt;5378&lt;/D&gt;&lt;D xsi:type="xsd:double"&gt;5175&lt;/D&gt;&lt;D xsi:type="xsd:double"&gt;4913&lt;/D&gt;&lt;D xsi:type="xsd:double"&gt;4735&lt;/D&gt;&lt;D xsi:type="xsd:double"&gt;4715&lt;/D&gt;&lt;D xsi:type="xsd:double"&gt;4610&lt;/D&gt;&lt;D xsi:type="xsd:double"&gt;4525&lt;/D&gt;&lt;D xsi:type="xsd:double"&gt;4550&lt;/D&gt;&lt;D xsi:type="xsd:double"&gt;4590&lt;/D&gt;&lt;D xsi:type="xsd:double"&gt;4713&lt;/D&gt;&lt;D xsi:type="xsd:double"&gt;4660&lt;/D&gt;&lt;D xsi:type="xsd:double"&gt;4969&lt;/D&gt;&lt;D xsi:type="xsd:double"&gt;5064&lt;/D&gt;&lt;D xsi:type="xsd:double"&gt;5078&lt;/D&gt;&lt;D xsi:type="xsd:double"&gt;5184&lt;/D&gt;&lt;D xsi:type="xsd:double"&gt;5209&lt;/D&gt;&lt;D xsi:type="xsd:double"&gt;4964&lt;/D&gt;&lt;D xsi:type="xsd:double"&gt;4778&lt;/D&gt;&lt;D xsi:type="xsd:double"&gt;4818&lt;/D&gt;&lt;D xsi:type="xsd:double"&gt;5111&lt;/D&gt;&lt;D xsi:type="xsd:double"&gt;4843&lt;/D&gt;&lt;D xsi:type="xsd:double"&gt;4690&lt;/D&gt;&lt;D xsi:type="xsd:double"&gt;4545&lt;/D&gt;&lt;D xsi:type="xsd:double"&gt;4692&lt;/D&gt;&lt;D xsi:type="xsd:double"&gt;4561&lt;/D&gt;&lt;D xsi:type="xsd:double"&gt;4977&lt;/D&gt;&lt;D xsi:type="xsd:double"&gt;5045&lt;/D&gt;&lt;D xsi:type="xsd:double"&gt;5237&lt;/D&gt;&lt;D xsi:type="xsd:double"&gt;4889&lt;/D&gt;&lt;D xsi:type="xsd:double"&gt;4753&lt;/D&gt;&lt;D xsi:type="xsd:double"&gt;5000&lt;/D&gt;&lt;D xsi:type="xsd:double"&gt;5063&lt;/D&gt;&lt;D xsi:type="xsd:double"&gt;4820&lt;/D&gt;&lt;D xsi:type="xsd:double"&gt;4854&lt;/D&gt;&lt;D xsi:type="xsd:double"&gt;4994&lt;/D&gt;&lt;D xsi:type="xsd:double"&gt;4868&lt;/D&gt;&lt;D xsi:type="xsd:double"&gt;5179&lt;/D&gt;&lt;D xsi:type="xsd:double"&gt;5266&lt;/D&gt;&lt;D xsi:type="xsd:double"&gt;5366&lt;/D&gt;&lt;D xsi:type="xsd:double"&gt;5430&lt;/D&gt;&lt;D xsi:type="xsd:double"&gt;5129&lt;/D&gt;&lt;D xsi:type="xsd:double"&gt;5085&lt;/D&gt;&lt;D xsi:type="xsd:double"&gt;5266&lt;/D&gt;&lt;D xsi:type="xsd:double"&gt;5220&lt;/D&gt;&lt;D xsi:type="xsd:double"&gt;5405&lt;/D&gt;&lt;D xsi:type="xsd:double"&gt;5508&lt;/D&gt;&lt;D xsi:type="xsd:double"&gt;5309&lt;/D&gt;&lt;D xsi:type="xsd:double"&gt;5053&lt;/D&gt;&lt;D xsi:type="xsd:double"&gt;5109&lt;/D&gt;&lt;D xsi:type="xsd:double"&gt;5288&lt;/D&gt;&lt;D xsi:type="xsd:double"&gt;5338&lt;/D&gt;&lt;D xsi:type="xsd:double"&gt;5524&lt;/D&gt;&lt;D xsi:type="xsd:double"&gt;5426&lt;/D&gt;&lt;D xsi:type="xsd:double"&gt;5542&lt;/D&gt;&lt;D xsi:type="xsd:double"&gt;5598&lt;/D&gt;&lt;D xsi:type="xsd:double"&gt;5489&lt;/D&gt;&lt;D xsi:type="xsd:double"&gt;5483&lt;/D&gt;&lt;D xsi:type="xsd:double"&gt;5280&lt;/D&gt;&lt;D xsi:type="xsd:double"&gt;4825&lt;/D&gt;&lt;D xsi:type="xsd:double"&gt;5007&lt;/D&gt;&lt;D xsi:type="xsd:double"&gt;4988&lt;/D&gt;&lt;D xsi:type="xsd:double"&gt;5195&lt;/D&gt;&lt;D xsi:type="xsd:double"&gt;4599&lt;/D&gt;&lt;D xsi:type="xsd:double"&gt;4632&lt;/D&gt;&lt;D xsi:type="xsd:double"&gt;5213&lt;/D&gt;&lt;D xsi:type="xsd:double"&gt;5052&lt;/D&gt;&lt;D xsi:type="xsd:double"&gt;5125&lt;/D&gt;&lt;D xsi:type="xsd:double"&gt;4901&lt;/D&gt;&lt;D xsi:type="xsd:double"&gt;4922&lt;/D&gt;&lt;D xsi:type="xsd:double"&gt;4813&lt;/D&gt;&lt;D xsi:type="xsd:double"&gt;4836&lt;/D&gt;&lt;D xsi:type="xsd:double"&gt;4777&lt;/D&gt;&lt;D xsi:type="xsd:double"&gt;4796&lt;/D&gt;&lt;D xsi:type="xsd:double"&gt;4765&lt;/D&gt;&lt;D xsi:type="xsd:double"&gt;5060&lt;/D&gt;&lt;D xsi:type="xsd:double"&gt;4921&lt;/D&gt;&lt;D xsi:type="xsd:double"&gt;4892&lt;/D&gt;&lt;D xsi:type="xsd:double"&gt;4935&lt;/D&gt;&lt;D xsi:type="xsd:double"&gt;4852&lt;/D&gt;&lt;D xsi:type="xsd:double"&gt;4749&lt;/D&gt;&lt;D xsi:type="xsd:double"&gt;4813&lt;/D&gt;&lt;D xsi:type="xsd:double"&gt;4826&lt;/D&gt;&lt;D xsi:type="xsd:double"&gt;4776&lt;/D&gt;&lt;D xsi:type="xsd:double"&gt;4693&lt;/D&gt;&lt;D xsi:type="xsd:double"&gt;4394&lt;/D&gt;&lt;D xsi:type="xsd:double"&gt;4347&lt;/D&gt;&lt;D xsi:type="xsd:double"&gt;4346&lt;/D&gt;&lt;D xsi:type="xsd:double"&gt;4492&lt;/D&gt;&lt;D xsi:type="xsd:double"&gt;4583&lt;/D&gt;&lt;D xsi:type="xsd:double"&gt;4464&lt;/D&gt;&lt;D xsi:type="xsd:double"&gt;4490&lt;/D&gt;&lt;D xsi:type="xsd:double"&gt;4408&lt;/D&gt;&lt;D xsi:type="xsd:double"&gt;4433&lt;/D&gt;&lt;D xsi:type="xsd:double"&gt;4405&lt;/D&gt;&lt;D xsi:type="xsd:double"&gt;4575&lt;/D&gt;&lt;D xsi:type="xsd:double"&gt;4503&lt;/D&gt;&lt;D xsi:type="xsd:double"&gt;4622&lt;/D&gt;&lt;D xsi:type="xsd:double"&gt;4710&lt;/D&gt;&lt;D xsi:type="xsd:double"&gt;4895&lt;/D&gt;&lt;D xsi:type="xsd:double"&gt;4718&lt;/D&gt;&lt;D xsi:type="xsd:double"&gt;4728&lt;/D&gt;&lt;D xsi:type="xsd:double"&gt;4839&lt;/D&gt;&lt;D xsi:type="xsd:double"&gt;5081&lt;/D&gt;&lt;D xsi:type="xsd:double"&gt;5140&lt;/D&gt;&lt;D xsi:type="xsd:double"&gt;5441&lt;/D&gt;&lt;/FQL&gt;&lt;FQL&gt;&lt;Q&gt;9101-JP^P_PRICE(1/4/2019,NOW,W)&lt;/Q&gt;&lt;R&gt;372&lt;/R&gt;&lt;C&gt;1&lt;/C&gt;&lt;D xsi:type="xsd:double"&gt;562.6661&lt;/D&gt;&lt;D xsi:type="xsd:double"&gt;596.666&lt;/D&gt;&lt;D xsi:type="xsd:double"&gt;602.9994&lt;/D&gt;&lt;D xsi:type="xsd:double"&gt;609.666&lt;/D&gt;&lt;D xsi:type="xsd:double"&gt;592.9994&lt;/D&gt;&lt;D xsi:type="xsd:double"&gt;587.3327&lt;/D&gt;&lt;D xsi:type="xsd:double"&gt;587.9994&lt;/D&gt;&lt;D xsi:type="xsd:double"&gt;600.666&lt;/D&gt;&lt;D xsi:type="xsd:double"&gt;577.9994&lt;/D&gt;&lt;D xsi:type="xsd:double"&gt;551.33276&lt;/D&gt;&lt;D xsi:type="xsd:double"&gt;547.99945&lt;/D&gt;&lt;D xsi:type="xsd:double"&gt;551.33276&lt;/D&gt;&lt;D xsi:type="xsd:double"&gt;540.6661&lt;/D&gt;&lt;D xsi:type="xsd:double"&gt;579.6661&lt;/D&gt;&lt;D xsi:type="xsd:double"&gt;582.9994&lt;/D&gt;&lt;D xsi:type="xsd:double"&gt;605.9994&lt;/D&gt;&lt;D xsi:type="xsd:double"&gt;631.9993&lt;/D&gt;&lt;D xsi:type="xsd:double"&gt;584.3327&lt;/D&gt;&lt;D xsi:type="xsd:double"&gt;570.9994&lt;/D&gt;&lt;D xsi:type="xsd:double"&gt;553.6661&lt;/D&gt;&lt;D xsi:type="xsd:double"&gt;547.6661&lt;/D&gt;&lt;D xsi:type="xsd:double"&gt;542.33276&lt;/D&gt;&lt;D xsi:type="xsd:double"&gt;529.33276&lt;/D&gt;&lt;D xsi:type="xsd:double"&gt;550.33276&lt;/D&gt;&lt;D xsi:type="xsd:double"&gt;576.3327&lt;/D&gt;&lt;D xsi:type="xsd:double"&gt;622.3327&lt;/D&gt;&lt;D xsi:type="xsd:double"&gt;603.666&lt;/D&gt;&lt;D xsi:type="xsd:double"&gt;597.9994&lt;/D&gt;&lt;D xsi:type="xsd:double"&gt;619.666&lt;/D&gt;&lt;D xsi:type="xsd:double"&gt;568.6661&lt;/D&gt;&lt;D xsi:type="xsd:double"&gt;541.33276&lt;/D&gt;&lt;D xsi:type="xsd:double"&gt;522.99945&lt;/D&gt;&lt;D xsi:type="xsd:double"&gt;535.99945&lt;/D&gt;&lt;D xsi:type="xsd:double"&gt;528.66614&lt;/D&gt;&lt;D xsi:type="xsd:double"&gt;566.9994&lt;/D&gt;&lt;D xsi:type="xsd:double"&gt;615.3327&lt;/D&gt;&lt;D xsi:type="xsd:double"&gt;618.9993&lt;/D&gt;&lt;D xsi:type="xsd:double"&gt;613.9994&lt;/D&gt;&lt;D xsi:type="xsd:double"&gt;607.666&lt;/D&gt;&lt;D xsi:type="xsd:double"&gt;621.666&lt;/D&gt;&lt;D xsi:type="xsd:double"&gt;642.9993&lt;/D&gt;&lt;D xsi:type="xsd:double"&gt;660.9993&lt;/D&gt;&lt;D xsi:type="xsd:double"&gt;661.9993&lt;/D&gt;&lt;D xsi:type="xsd:double"&gt;673.99927&lt;/D&gt;&lt;D xsi:type="xsd:double"&gt;664.66595&lt;/D&gt;&lt;D xsi:type="xsd:double"&gt;621.9993&lt;/D&gt;&lt;D xsi:type="xsd:double"&gt;626.3327&lt;/D&gt;&lt;D xsi:type="xsd:double"&gt;655.66595&lt;/D&gt;&lt;D xsi:type="xsd:double"&gt;672.33264&lt;/D&gt;&lt;D xsi:type="xsd:double"&gt;660.66595&lt;/D&gt;&lt;D xsi:type="xsd:double"&gt;668.33264&lt;/D&gt;&lt;D xsi:type="xsd:double"&gt;660.33264&lt;/D&gt;&lt;D xsi:type="xsd:double"&gt;640.666&lt;/D&gt;&lt;D xsi:type="xsd:double"&gt;641.33264&lt;/D&gt;&lt;D xsi:type="xsd:double"&gt;613.9994&lt;/D&gt;&lt;D xsi:type="xsd:double"&gt;591.3327&lt;/D&gt;&lt;D xsi:type="xsd:double"&gt;599.3327&lt;/D&gt;&lt;D xsi:type="xsd:double"&gt;579.6661&lt;/D&gt;&lt;D xsi:type="xsd:double"&gt;577.3327&lt;/D&gt;&lt;D xsi:type="xsd:double"&gt;514.66614&lt;/D&gt;&lt;D xsi:type="xsd:double"&gt;506.3328&lt;/D&gt;&lt;D xsi:type="xsd:double"&gt;392.33292&lt;/D&gt;&lt;D xsi:type="xsd:double"&gt;421.99957&lt;/D&gt;&lt;D xsi:type="xsd:double"&gt;438.6662&lt;/D&gt;&lt;D xsi:type="xsd:double"&gt;420.99957&lt;/D&gt;&lt;D xsi:type="xsd:double"&gt;464.33286&lt;/D&gt;&lt;D xsi:type="xsd:double"&gt;444.33286&lt;/D&gt;&lt;D xsi:type="xsd:double"&gt;454.9995&lt;/D&gt;&lt;D xsi:type="xsd:double"&gt;442.99954&lt;/D&gt;&lt;D xsi:type="xsd:double"&gt;456.6662&lt;/D&gt;&lt;D xsi:type="xsd:double"&gt;463.66617&lt;/D&gt;&lt;D xsi:type="xsd:double"&gt;483.66617&lt;/D&gt;&lt;D xsi:type="xsd:double"&gt;517.66614&lt;/D&gt;&lt;D xsi:type="xsd:double"&gt;544.33276&lt;/D&gt;&lt;D xsi:type="xsd:double"&gt;507.66614&lt;/D&gt;&lt;D xsi:type="xsd:double"&gt;526.33276&lt;/D&gt;&lt;D xsi:type="xsd:double"&gt;506.66614&lt;/D&gt;&lt;D xsi:type="xsd:double"&gt;497.33282&lt;/D&gt;&lt;D xsi:type="xsd:double"&gt;488.66617&lt;/D&gt;&lt;D xsi:type="xsd:double"&gt;495.66614&lt;/D&gt;&lt;D xsi:type="xsd:double"&gt;476.66617&lt;/D&gt;&lt;D xsi:type="xsd:double"&gt;453.33286&lt;/D&gt;&lt;D xsi:type="xsd:double"&gt;520.99945&lt;/D&gt;&lt;D xsi:type="xsd:double"&gt;541.6661&lt;/D&gt;&lt;D xsi:type="xsd:double"&gt;538.99945&lt;/D&gt;&lt;D xsi:type="xsd:double"&gt;544.6661&lt;/D&gt;&lt;D xsi:type="xsd:double"&gt;563.6661&lt;/D&gt;&lt;D xsi:type="xsd:double"&gt;641.666&lt;/D&gt;&lt;D xsi:type="xsd:double"&gt;617.9993&lt;/D&gt;&lt;D xsi:type="xsd:double"&gt;628.666&lt;/D&gt;&lt;D xsi:type="xsd:double"&gt;609.9994&lt;/D&gt;&lt;D xsi:type="xsd:double"&gt;654.33264&lt;/D&gt;&lt;D xsi:type="xsd:double"&gt;633.3327&lt;/D&gt;&lt;D xsi:type="xsd:double"&gt;672.66595&lt;/D&gt;&lt;D xsi:type="xsd:double"&gt;638.33264&lt;/D&gt;&lt;D xsi:type="xsd:double"&gt;671.33264&lt;/D&gt;&lt;D xsi:type="xsd:double"&gt;678.99927&lt;/D&gt;&lt;D xsi:type="xsd:double"&gt;706.66595&lt;/D&gt;&lt;D xsi:type="xsd:double"&gt;766.9992&lt;/D&gt;&lt;D xsi:type="xsd:double"&gt;806.99915&lt;/D&gt;&lt;D xsi:type="xsd:double"&gt;779.66583&lt;/D&gt;&lt;D xsi:type="xsd:double"&gt;783.66583&lt;/D&gt;&lt;D xsi:type="xsd:double"&gt;797.3325&lt;/D&gt;&lt;D xsi:type="xsd:double"&gt;800.66583&lt;/D&gt;&lt;D xsi:type="xsd:double"&gt;855.6658&lt;/D&gt;&lt;D xsi:type="xsd:double"&gt;862.6658&lt;/D&gt;&lt;D xsi:type="xsd:double"&gt;877.6658&lt;/D&gt;&lt;D xsi:type="xsd:double"&gt;801.99915&lt;/D&gt;&lt;D xsi:type="xsd:double"&gt;928.6657&lt;/D&gt;&lt;D xsi:type="xsd:double"&gt;931.999&lt;/D&gt;&lt;D xsi:type="xsd:double"&gt;970.33234&lt;/D&gt;&lt;D xsi:type="xsd:double"&gt;1018.3323&lt;/D&gt;&lt;D xsi:type="xsd:double"&gt;1054.9989&lt;/D&gt;&lt;D xsi:type="xsd:double"&gt;1159.9988&lt;/D&gt;&lt;D xsi:type="xsd:double"&gt;1311.6653&lt;/D&gt;&lt;D xsi:type="xsd:double"&gt;1324.9987&lt;/D&gt;&lt;D xsi:type="xsd:double"&gt;1236.6654&lt;/D&gt;&lt;D xsi:type="xsd:double"&gt;1384.9985&lt;/D&gt;&lt;D xsi:type="xsd:double"&gt;1283.332&lt;/D&gt;&lt;D xsi:type="xsd:double"&gt;1349.9985&lt;/D&gt;&lt;D xsi:type="xsd:double"&gt;1429.9985&lt;/D&gt;&lt;D xsi:type="xsd:double"&gt;1519.9984&lt;/D&gt;&lt;D xsi:type="xsd:double"&gt;1438.3318&lt;/D&gt;&lt;D xsi:type="xsd:double"&gt;1451.6652&lt;/D&gt;&lt;D xsi:type="xsd:double"&gt;1499.9984&lt;/D&gt;&lt;D xsi:type="xsd:double"&gt;1614.9983&lt;/D&gt;&lt;D xsi:type="xsd:double"&gt;1743.3315&lt;/D&gt;&lt;D xsi:type="xsd:double"&gt;1719.9982&lt;/D&gt;&lt;D xsi:type="xsd:double"&gt;1856.6647&lt;/D&gt;&lt;D xsi:type="xsd:double"&gt;1836.6648&lt;/D&gt;&lt;D xsi:type="xsd:double"&gt;1779.9982&lt;/D&gt;&lt;D xsi:type="xsd:double"&gt;1779.9982&lt;/D&gt;&lt;D xsi:type="xsd:double"&gt;1783.3314&lt;/D&gt;&lt;D xsi:type="xsd:double"&gt;1959.9979&lt;/D&gt;&lt;D xsi:type="xsd:double"&gt;2589.9973&lt;/D&gt;&lt;D xsi:type="xsd:double"&gt;2679.9973&lt;/D&gt;&lt;D xsi:type="xsd:double"&gt;2429.9976&lt;/D&gt;&lt;D xsi:type="xsd:double"&gt;2779.997&lt;/D&gt;&lt;D xsi:type="xsd:double"&gt;2979.9968&lt;/D&gt;&lt;D xsi:type="xsd:double"&gt;3293.3298&lt;/D&gt;&lt;D xsi:type="xsd:double"&gt;3449.9963&lt;/D&gt;&lt;D xsi:type="xsd:double"&gt;3663.3296&lt;/D&gt;&lt;D xsi:type="xsd:double"&gt;2766.6638&lt;/D&gt;&lt;D xsi:type="xsd:double"&gt;2463.3308&lt;/D&gt;&lt;D xsi:type="xsd:double"&gt;2496.664&lt;/D&gt;&lt;D xsi:type="xsd:double"&gt;2589.9973&lt;/D&gt;&lt;D xsi:type="xsd:double"&gt;2726.6638&lt;/D&gt;&lt;D xsi:type="xsd:double"&gt;2483.3308&lt;/D&gt;&lt;D xsi:type="xsd:double"&gt;2586.664&lt;/D&gt;&lt;D xsi:type="xsd:double"&gt;2426.664&lt;/D&gt;&lt;D xsi:type="xsd:double"&gt;2456.664&lt;/D&gt;&lt;D xsi:type="xsd:double"&gt;2719.997&lt;/D&gt;&lt;D xsi:type="xsd:double"&gt;2706.6638&lt;/D&gt;&lt;D xsi:type="xsd:double"&gt;2816.6638&lt;/D&gt;&lt;D xsi:type="xsd:double"&gt;2923.3303&lt;/D&gt;&lt;D xsi:type="xsd:double"&gt;2919.997&lt;/D&gt;&lt;D xsi:type="xsd:double"&gt;3109.9968&lt;/D&gt;&lt;D xsi:type="xsd:double"&gt;3256.6633&lt;/D&gt;&lt;D xsi:type="xsd:double"&gt;2789.997&lt;/D&gt;&lt;D xsi:type="xsd:double"&gt;2766.6638&lt;/D&gt;&lt;D xsi:type="xsd:double"&gt;3266.6633&lt;/D&gt;&lt;D xsi:type="xsd:double"&gt;3253.3298&lt;/D&gt;&lt;D xsi:type="xsd:double"&gt;3426.663&lt;/D&gt;&lt;D xsi:type="xsd:double"&gt;3399.9963&lt;/D&gt;&lt;D xsi:type="xsd:double"&gt;3966.6626&lt;/D&gt;&lt;D xsi:type="xsd:double"&gt;3936.6626&lt;/D&gt;&lt;D xsi:type="xsd:double"&gt;4133.329&lt;/D&gt;&lt;D xsi:type="xsd:double"&gt;3689.996&lt;/D&gt;&lt;D xsi:type="xsd:double"&gt;3339.9966&lt;/D&gt;&lt;D xsi:type="xsd:double"&gt;3053.33&lt;/D&gt;&lt;D xsi:type="xsd:double"&gt;3126.6633&lt;/D&gt;&lt;D xsi:type="xsd:double"&gt;3249.9966&lt;/D&gt;&lt;D xsi:type="xsd:double"&gt;3153.33&lt;/D&gt;&lt;D xsi:type="xsd:double"&gt;3269.9966&lt;/D&gt;&lt;D xsi:type="xsd:double"&gt;3233.33&lt;/D&gt;&lt;D xsi:type="xsd:double"&gt;3329.9966&lt;/D&gt;&lt;D xsi:type="xsd:double"&gt;3769.996&lt;/D&gt;&lt;D xsi:type="xsd:double"&gt;3613.3296&lt;/D&gt;&lt;D xsi:type="xsd:double"&gt;3269.9966&lt;/D&gt;&lt;D xsi:type="xsd:double"&gt;3106.6633&lt;/D&gt;&lt;D xsi:type="xsd:double"&gt;3046.6636&lt;/D&gt;&lt;D xsi:type="xsd:double"&gt;3043.33&lt;/D&gt;&lt;D xsi:type="xsd:double"&gt;3113.33&lt;/D&gt;&lt;D xsi:type="xsd:double"&gt;3176.6633&lt;/D&gt;&lt;D xsi:type="xsd:double"&gt;3453.3298&lt;/D&gt;&lt;D xsi:type="xsd:double"&gt;3466.663&lt;/D&gt;&lt;D xsi:type="xsd:double"&gt;3643.3296&lt;/D&gt;&lt;D xsi:type="xsd:double"&gt;3679.996&lt;/D&gt;&lt;D xsi:type="xsd:double"&gt;3573.3296&lt;/D&gt;&lt;D xsi:type="xsd:double"&gt;3636.6628&lt;/D&gt;&lt;D xsi:type="xsd:double"&gt;3426.663&lt;/D&gt;&lt;D xsi:type="xsd:double"&gt;3366.663&lt;/D&gt;&lt;D xsi:type="xsd:double"&gt;3263.3298&lt;/D&gt;&lt;D xsi:type="xsd:double"&gt;3203.33&lt;/D&gt;&lt;D xsi:type="xsd:double"&gt;2467&lt;/D&gt;&lt;D xsi:type="xsd:double"&gt;2563&lt;/D&gt;&lt;D xsi:type="xsd:double"&gt;2650&lt;/D&gt;&lt;D xsi:type="xsd:double"&gt;2679&lt;/D&gt;&lt;D xsi:type="xsd:double"&gt;2643&lt;/D&gt;&lt;D xsi:type="xsd:double"&gt;2563&lt;/D&gt;&lt;D xsi:type="xsd:double"&gt;2728.5&lt;/D&gt;&lt;D xsi:type="xsd:double"&gt;2716&lt;/D&gt;&lt;D xsi:type="xsd:double"&gt;2947.5&lt;/D&gt;&lt;D xsi:type="xsd:double"&gt;3041&lt;/D&gt;&lt;D xsi:type="xsd:double"&gt;3041&lt;/D&gt;&lt;D xsi:type="xsd:double"&gt;3214&lt;/D&gt;&lt;D xsi:type="xsd:double"&gt;3169&lt;/D&gt;&lt;D xsi:type="xsd:double"&gt;3110&lt;/D&gt;&lt;D xsi:type="xsd:double"&gt;2969.5&lt;/D&gt;&lt;D xsi:type="xsd:double"&gt;3056&lt;/D&gt;&lt;D xsi:type="xsd:double"&gt;3180&lt;/D&gt;&lt;D xsi:type="xsd:double"&gt;3040&lt;/D&gt;&lt;D xsi:type="xsd:double"&gt;3104&lt;/D&gt;&lt;D xsi:type="xsd:double"&gt;3201&lt;/D&gt;&lt;D xsi:type="xsd:double"&gt;3355&lt;/D&gt;&lt;D xsi:type="xsd:double"&gt;3595&lt;/D&gt;&lt;D xsi:type="xsd:double"&gt;3506&lt;/D&gt;&lt;D xsi:type="xsd:double"&gt;3395&lt;/D&gt;&lt;D xsi:type="xsd:double"&gt;3314&lt;/D&gt;&lt;D xsi:type="xsd:double"&gt;3305&lt;/D&gt;&lt;D xsi:type="xsd:double"&gt;3089&lt;/D&gt;&lt;D xsi:type="xsd:double"&gt;3166&lt;/D&gt;&lt;D xsi:type="xsd:double"&gt;3378&lt;/D&gt;&lt;D xsi:type="xsd:double"&gt;3389&lt;/D&gt;&lt;D xsi:type="xsd:double"&gt;3203&lt;/D&gt;&lt;D xsi:type="xsd:double"&gt;3104&lt;/D&gt;&lt;D xsi:type="xsd:double"&gt;3114&lt;/D&gt;&lt;D xsi:type="xsd:double"&gt;3030&lt;/D&gt;&lt;D xsi:type="xsd:double"&gt;2929.5&lt;/D&gt;&lt;D xsi:type="xsd:double"&gt;3009&lt;/D&gt;&lt;D xsi:type="xsd:double"&gt;3076&lt;/D&gt;&lt;D xsi:type="xsd:double"&gt;3038&lt;/D&gt;&lt;D xsi:type="xsd:double"&gt;3040&lt;/D&gt;&lt;D xsi:type="xsd:double"&gt;3190&lt;/D&gt;&lt;D xsi:type="xsd:double"&gt;3352&lt;/D&gt;&lt;D xsi:type="xsd:double"&gt;3343&lt;/D&gt;&lt;D xsi:type="xsd:double"&gt;3417&lt;/D&gt;&lt;D xsi:type="xsd:double"&gt;3496&lt;/D&gt;&lt;D xsi:type="xsd:double"&gt;3819&lt;/D&gt;&lt;D xsi:type="xsd:double"&gt;3839&lt;/D&gt;&lt;D xsi:type="xsd:double"&gt;3768&lt;/D&gt;&lt;D xsi:type="xsd:double"&gt;3852&lt;/D&gt;&lt;D xsi:type="xsd:double"&gt;3958&lt;/D&gt;&lt;D xsi:type="xsd:double"&gt;3921&lt;/D&gt;&lt;D xsi:type="xsd:double"&gt;4160&lt;/D&gt;&lt;D xsi:type="xsd:double"&gt;4195&lt;/D&gt;&lt;D xsi:type="xsd:double"&gt;3886&lt;/D&gt;&lt;D xsi:type="xsd:double"&gt;3951&lt;/D&gt;&lt;D xsi:type="xsd:double"&gt;3964&lt;/D&gt;&lt;D xsi:type="xsd:double"&gt;3863&lt;/D&gt;&lt;D xsi:type="xsd:double"&gt;3876&lt;/D&gt;&lt;D xsi:type="xsd:double"&gt;3783&lt;/D&gt;&lt;D xsi:type="xsd:double"&gt;3693&lt;/D&gt;&lt;D xsi:type="xsd:double"&gt;3798&lt;/D&gt;&lt;D xsi:type="xsd:double"&gt;3957&lt;/D&gt;&lt;D xsi:type="xsd:double"&gt;3992&lt;/D&gt;&lt;D xsi:type="xsd:double"&gt;3863&lt;/D&gt;&lt;D xsi:type="xsd:double"&gt;3911&lt;/D&gt;&lt;D xsi:type="xsd:double"&gt;4590&lt;/D&gt;&lt;D xsi:type="xsd:double"&gt;4371&lt;/D&gt;&lt;D xsi:type="xsd:double"&gt;4758&lt;/D&gt;&lt;D xsi:type="xsd:double"&gt;4708&lt;/D&gt;&lt;D xsi:type="xsd:double"&gt;4978&lt;/D&gt;&lt;D xsi:type="xsd:double"&gt;4970&lt;/D&gt;&lt;D xsi:type="xsd:double"&gt;5000&lt;/D&gt;&lt;D xsi:type="xsd:double"&gt;4595&lt;/D&gt;&lt;D xsi:type="xsd:double"&gt;4767&lt;/D&gt;&lt;D xsi:type="xsd:double"&gt;4840&lt;/D&gt;&lt;D xsi:type="xsd:double"&gt;4793&lt;/D&gt;&lt;D xsi:type="xsd:double"&gt;4550&lt;/D&gt;&lt;D xsi:type="xsd:double"&gt;4319&lt;/D&gt;&lt;D xsi:type="xsd:double"&gt;4244&lt;/D&gt;&lt;D xsi:type="xsd:double"&gt;4073&lt;/D&gt;&lt;D xsi:type="xsd:double"&gt;4079&lt;/D&gt;&lt;D xsi:type="xsd:double"&gt;4072&lt;/D&gt;&lt;D xsi:type="xsd:double"&gt;4153&lt;/D&gt;&lt;D xsi:type="xsd:double"&gt;4205&lt;/D&gt;&lt;D xsi:type="xsd:double"&gt;4285&lt;/D&gt;&lt;D xsi:type="xsd:double"&gt;4648&lt;/D&gt;&lt;D xsi:type="xsd:double"&gt;4933&lt;/D&gt;&lt;D xsi:type="xsd:double"&gt;4899&lt;/D&gt;&lt;D xsi:type="xsd:double"&gt;4985&lt;/D&gt;&lt;D xsi:type="xsd:double"&gt;5050&lt;/D&gt;&lt;D xsi:type="xsd:double"&gt;4777&lt;/D&gt;&lt;D xsi:type="xsd:double"&gt;4638&lt;/D&gt;&lt;D xsi:type="xsd:double"&gt;4682&lt;/D&gt;&lt;D xsi:type="xsd:double"&gt;4923&lt;/D&gt;&lt;D xsi:type="xsd:double"&gt;4663&lt;/D&gt;&lt;D xsi:type="xsd:double"&gt;4566&lt;/D&gt;&lt;D xsi:type="xsd:double"&gt;4597&lt;/D&gt;&lt;D xsi:type="xsd:double"&gt;4596&lt;/D&gt;&lt;D xsi:type="xsd:double"&gt;4526&lt;/D&gt;&lt;D xsi:type="xsd:double"&gt;4980&lt;/D&gt;&lt;D xsi:type="xsd:double"&gt;5078&lt;/D&gt;&lt;D xsi:type="xsd:double"&gt;5273&lt;/D&gt;&lt;D xsi:type="xsd:double"&gt;4797&lt;/D&gt;&lt;D xsi:type="xsd:double"&gt;4685&lt;/D&gt;&lt;D xsi:type="xsd:double"&gt;5058&lt;/D&gt;&lt;D xsi:type="xsd:double"&gt;5314&lt;/D&gt;&lt;D xsi:type="xsd:double"&gt;4969&lt;/D&gt;&lt;D xsi:type="xsd:double"&gt;4872&lt;/D&gt;&lt;D xsi:type="xsd:double"&gt;5142&lt;/D&gt;&lt;D xsi:type="xsd:double"&gt;4945&lt;/D&gt;&lt;D xsi:type="xsd:double"&gt;5066&lt;/D&gt;&lt;D xsi:type="xsd:double"&gt;4876&lt;/D&gt;&lt;D xsi:type="xsd:double"&gt;4983&lt;/D&gt;&lt;D xsi:type="xsd:double"&gt;4975&lt;/D&gt;&lt;D xsi:type="xsd:double"&gt;4796&lt;/D&gt;&lt;D xsi:type="xsd:double"&gt;4868&lt;/D&gt;&lt;D xsi:type="xsd:double"&gt;5122&lt;/D&gt;&lt;D xsi:type="xsd:double"&gt;5055&lt;/D&gt;&lt;D xsi:type="xsd:double"&gt;5223&lt;/D&gt;&lt;D xsi:type="xsd:double"&gt;5273&lt;/D&gt;&lt;D xsi:type="xsd:double"&gt;4973&lt;/D&gt;&lt;D xsi:type="xsd:double"&gt;4757&lt;/D&gt;&lt;D xsi:type="xsd:double"&gt;4818&lt;/D&gt;&lt;D xsi:type="xsd:double"&gt;4884&lt;/D&gt;&lt;D xsi:type="xsd:double"&gt;5183&lt;/D&gt;&lt;D xsi:type="xsd:double"&gt;5315&lt;/D&gt;&lt;D xsi:type="xsd:double"&gt;5185&lt;/D&gt;&lt;D xsi:type="xsd:double"&gt;5269&lt;/D&gt;&lt;D xsi:type="xsd:double"&gt;5293&lt;/D&gt;&lt;D xsi:type="xsd:double"&gt;5273&lt;/D&gt;&lt;D xsi:type="xsd:double"&gt;5230&lt;/D&gt;&lt;D xsi:type="xsd:double"&gt;5038&lt;/D&gt;&lt;D xsi:type="xsd:double"&gt;4545&lt;/D&gt;&lt;D xsi:type="xsd:double"&gt;4600&lt;/D&gt;&lt;D xsi:type="xsd:double"&gt;4558&lt;/D&gt;&lt;D xsi:type="xsd:double"&gt;4792&lt;/D&gt;&lt;D xsi:type="xsd:double"&gt;4662&lt;/D&gt;&lt;D xsi:type="xsd:double"&gt;4832&lt;/D&gt;&lt;D xsi:type="xsd:double"&gt;5274&lt;/D&gt;&lt;D xsi:type="xsd:double"&gt;5219&lt;/D&gt;&lt;D xsi:type="xsd:double"&gt;5271&lt;/D&gt;&lt;D xsi:type="xsd:double"&gt;4953&lt;/D&gt;&lt;D xsi:type="xsd:double"&gt;5120&lt;/D&gt;&lt;D xsi:type="xsd:double"&gt;5054&lt;/D&gt;&lt;D xsi:type="xsd:double"&gt;5180&lt;/D&gt;&lt;D xsi:type="xsd:double"&gt;5127&lt;/D&gt;&lt;D xsi:type="xsd:double"&gt;5188&lt;/D&gt;&lt;D xsi:type="xsd:double"&gt;5192&lt;/D&gt;&lt;D xsi:type="xsd:double"&gt;5389&lt;/D&gt;&lt;D xsi:type="xsd:double"&gt;5269&lt;/D&gt;&lt;D xsi:type="xsd:double"&gt;5230&lt;/D&gt;&lt;D xsi:type="xsd:double"&gt;5278&lt;/D&gt;&lt;D xsi:type="xsd:double"&gt;5278&lt;/D&gt;&lt;D xsi:type="xsd:double"&gt;5333&lt;/D&gt;&lt;D xsi:type="xsd:double"&gt;5520&lt;/D&gt;&lt;D xsi:type="xsd:double"&gt;5537&lt;/D&gt;&lt;D xsi:type="xsd:double"&gt;5445&lt;/D&gt;&lt;D xsi:type="xsd:double"&gt;5333&lt;/D&gt;&lt;D xsi:type="xsd:double"&gt;5050&lt;/D&gt;&lt;D xsi:type="xsd:double"&gt;4978&lt;/D&gt;&lt;D xsi:type="xsd:double"&gt;5050&lt;/D&gt;&lt;D xsi:type="xsd:double"&gt;5209&lt;/D&gt;&lt;D xsi:type="xsd:double"&gt;5331&lt;/D&gt;&lt;D xsi:type="xsd:double"&gt;5030&lt;/D&gt;&lt;D xsi:type="xsd:double"&gt;4974&lt;/D&gt;&lt;D xsi:type="xsd:double"&gt;4952&lt;/D&gt;&lt;D xsi:type="xsd:double"&gt;4950&lt;/D&gt;&lt;D xsi:type="xsd:double"&gt;4831&lt;/D&gt;&lt;D xsi:type="xsd:double"&gt;4949&lt;/D&gt;&lt;D xsi:type="xsd:double"&gt;4898&lt;/D&gt;&lt;D xsi:type="xsd:double"&gt;5025&lt;/D&gt;&lt;D xsi:type="xsd:double"&gt;5078&lt;/D&gt;&lt;D xsi:type="xsd:double"&gt;5274&lt;/D&gt;&lt;D xsi:type="xsd:double"&gt;5150&lt;/D&gt;&lt;D xsi:type="xsd:double"&gt;5021&lt;/D&gt;&lt;D xsi:type="xsd:double"&gt;5072&lt;/D&gt;&lt;D xsi:type="xsd:double"&gt;5051&lt;/D&gt;&lt;D xsi:type="xsd:double"&gt;5049&lt;/D&gt;&lt;D xsi:type="xsd:double"&gt;5215&lt;/D&gt;&lt;/FQL&gt;&lt;FQL&gt;&lt;Q&gt;TRMD-US^P_PRICE(1/4/2019,NOW,W)&lt;/Q&gt;&lt;R&gt;373&lt;/R&gt;&lt;C&gt;1&lt;/C&gt;&lt;D xsi:type="xsd:double"&gt;5.95&lt;/D&gt;&lt;D xsi:type="xsd:double"&gt;5.95&lt;/D&gt;&lt;D xsi:type="xsd:double"&gt;5.78&lt;/D&gt;&lt;D xsi:type="xsd:double"&gt;5.78&lt;/D&gt;&lt;D xsi:type="xsd:double"&gt;5.85&lt;/D&gt;&lt;D xsi:type="xsd:double"&gt;6.285&lt;/D&gt;&lt;D xsi:type="xsd:double"&gt;5.99&lt;/D&gt;&lt;D xsi:type="xsd:double"&gt;5.99&lt;/D&gt;&lt;D xsi:type="xsd:double"&gt;6.23&lt;/D&gt;&lt;D xsi:type="xsd:double"&gt;6.23&lt;/D&gt;&lt;D xsi:type="xsd:double"&gt;6.6&lt;/D&gt;&lt;D xsi:type="xsd:double"&gt;7&lt;/D&gt;&lt;D xsi:type="xsd:double"&gt;7.27&lt;/D&gt;&lt;D xsi:type="xsd:double"&gt;7.32&lt;/D&gt;&lt;D xsi:type="xsd:double"&gt;8.5&lt;/D&gt;&lt;D xsi:type="xsd:double"&gt;7.845&lt;/D&gt;&lt;D xsi:type="xsd:double"&gt;7.65&lt;/D&gt;&lt;D xsi:type="xsd:double"&gt;8.34&lt;/D&gt;&lt;D xsi:type="xsd:double"&gt;7.81&lt;/D&gt;&lt;D xsi:type="xsd:double"&gt;8.6&lt;/D&gt;&lt;D xsi:type="xsd:double"&gt;9&lt;/D&gt;&lt;D xsi:type="xsd:double"&gt;8.9882&lt;/D&gt;&lt;D xsi:type="xsd:double"&gt;11.52&lt;/D&gt;&lt;D xsi:type="xsd:double"&gt;9&lt;/D&gt;&lt;D xsi:type="xsd:double"&gt;9&lt;/D&gt;&lt;D xsi:type="xsd:double"&gt;9.06&lt;/D&gt;&lt;D xsi:type="xsd:double"&gt;8.9297&lt;/D&gt;&lt;D xsi:type="xsd:double"&gt;9.05&lt;/D&gt;&lt;D xsi:type="xsd:double"&gt;8.6&lt;/D&gt;&lt;D xsi:type="xsd:double"&gt;8.825&lt;/D&gt;&lt;D xsi:type="xsd:double"&gt;8.45&lt;/D&gt;&lt;D xsi:type="xsd:double"&gt;7.7&lt;/D&gt;&lt;D xsi:type="xsd:double"&gt;7.1&lt;/D&gt;&lt;D xsi:type="xsd:double"&gt;8.62&lt;/D&gt;&lt;D xsi:type="xsd:double"&gt;7.79&lt;/D&gt;&lt;D xsi:type="xsd:double"&gt;8.08&lt;/D&gt;&lt;D xsi:type="xsd:double"&gt;8.7&lt;/D&gt;&lt;D xsi:type="xsd:double"&gt;8.675&lt;/D&gt;&lt;D xsi:type="xsd:double"&gt;8.375&lt;/D&gt;&lt;D xsi:type="xsd:double"&gt;8.7&lt;/D&gt;&lt;D xsi:type="xsd:double"&gt;9.9143&lt;/D&gt;&lt;D xsi:type="xsd:double"&gt;9.7636&lt;/D&gt;&lt;D xsi:type="xsd:double"&gt;9.5689&lt;/D&gt;&lt;D xsi:type="xsd:double"&gt;9.48&lt;/D&gt;&lt;D xsi:type="xsd:double"&gt;9.32&lt;/D&gt;&lt;D xsi:type="xsd:double"&gt;8.6883&lt;/D&gt;&lt;D xsi:type="xsd:double"&gt;8.945&lt;/D&gt;&lt;D xsi:type="xsd:double"&gt;9.9&lt;/D&gt;&lt;D xsi:type="xsd:double"&gt;9.4328&lt;/D&gt;&lt;D xsi:type="xsd:double"&gt;9.53&lt;/D&gt;&lt;D xsi:type="xsd:double"&gt;10.4&lt;/D&gt;&lt;D xsi:type="xsd:double"&gt;9.88&lt;/D&gt;&lt;D xsi:type="xsd:double"&gt;10.5&lt;/D&gt;&lt;D xsi:type="xsd:double"&gt;10.35&lt;/D&gt;&lt;D xsi:type="xsd:double"&gt;9.925&lt;/D&gt;&lt;D xsi:type="xsd:double"&gt;9.3118&lt;/D&gt;&lt;D xsi:type="xsd:double"&gt;8.07&lt;/D&gt;&lt;D xsi:type="xsd:double"&gt;7.88&lt;/D&gt;&lt;D xsi:type="xsd:double"&gt;7.67&lt;/D&gt;&lt;D xsi:type="xsd:double"&gt;8.085&lt;/D&gt;&lt;D xsi:type="xsd:double"&gt;7.735&lt;/D&gt;&lt;D xsi:type="xsd:double"&gt;7.665&lt;/D&gt;&lt;D xsi:type="xsd:double"&gt;9.0872&lt;/D&gt;&lt;D xsi:type="xsd:double"&gt;8.166&lt;/D&gt;&lt;D xsi:type="xsd:double"&gt;7.595&lt;/D&gt;&lt;D xsi:type="xsd:double"&gt;7.7&lt;/D&gt;&lt;D xsi:type="xsd:double"&gt;7.61&lt;/D&gt;&lt;D xsi:type="xsd:double"&gt;7&lt;/D&gt;&lt;D xsi:type="xsd:double"&gt;9.63&lt;/D&gt;&lt;D xsi:type="xsd:double"&gt;8.23&lt;/D&gt;&lt;D xsi:type="xsd:double"&gt;7.96&lt;/D&gt;&lt;D xsi:type="xsd:double"&gt;7.55&lt;/D&gt;&lt;D xsi:type="xsd:double"&gt;7.55&lt;/D&gt;&lt;D xsi:type="xsd:double"&gt;8&lt;/D&gt;&lt;D xsi:type="xsd:double"&gt;8.15&lt;/D&gt;&lt;D xsi:type="xsd:double"&gt;7.6&lt;/D&gt;&lt;D xsi:type="xsd:double"&gt;9.49&lt;/D&gt;&lt;D xsi:type="xsd:double"&gt;6.77&lt;/D&gt;&lt;D xsi:type="xsd:double"&gt;6.65&lt;/D&gt;&lt;D xsi:type="xsd:double"&gt;7.37&lt;/D&gt;&lt;D xsi:type="xsd:double"&gt;7.24&lt;/D&gt;&lt;D xsi:type="xsd:double"&gt;7.18&lt;/D&gt;&lt;D xsi:type="xsd:double"&gt;7.41&lt;/D&gt;&lt;D xsi:type="xsd:double"&gt;7.17&lt;/D&gt;&lt;D xsi:type="xsd:double"&gt;7.81&lt;/D&gt;&lt;D xsi:type="xsd:double"&gt;8.2&lt;/D&gt;&lt;D xsi:type="xsd:double"&gt;7.28&lt;/D&gt;&lt;D xsi:type="xsd:double"&gt;6.65&lt;/D&gt;&lt;D xsi:type="xsd:double"&gt;6.86&lt;/D&gt;&lt;D xsi:type="xsd:double"&gt;7.17&lt;/D&gt;&lt;D xsi:type="xsd:double"&gt;6.6&lt;/D&gt;&lt;D xsi:type="xsd:double"&gt;6.75&lt;/D&gt;&lt;D xsi:type="xsd:double"&gt;7.29&lt;/D&gt;&lt;D xsi:type="xsd:double"&gt;7.12&lt;/D&gt;&lt;D xsi:type="xsd:double"&gt;6.875&lt;/D&gt;&lt;D xsi:type="xsd:double"&gt;6.54&lt;/D&gt;&lt;D xsi:type="xsd:double"&gt;6.9899&lt;/D&gt;&lt;D xsi:type="xsd:double"&gt;7.2&lt;/D&gt;&lt;D xsi:type="xsd:double"&gt;7.1&lt;/D&gt;&lt;D xsi:type="xsd:double"&gt;7.17&lt;/D&gt;&lt;D xsi:type="xsd:double"&gt;7.42&lt;/D&gt;&lt;D xsi:type="xsd:double"&gt;7.145&lt;/D&gt;&lt;D xsi:type="xsd:double"&gt;7&lt;/D&gt;&lt;D xsi:type="xsd:double"&gt;7.15&lt;/D&gt;&lt;D xsi:type="xsd:double"&gt;7.05&lt;/D&gt;&lt;D xsi:type="xsd:double"&gt;7.61&lt;/D&gt;&lt;D xsi:type="xsd:double"&gt;7.76&lt;/D&gt;&lt;D xsi:type="xsd:double"&gt;7.41&lt;/D&gt;&lt;D xsi:type="xsd:double"&gt;7.24&lt;/D&gt;&lt;D xsi:type="xsd:double"&gt;7.76&lt;/D&gt;&lt;D xsi:type="xsd:double"&gt;8.34&lt;/D&gt;&lt;D xsi:type="xsd:double"&gt;9.02&lt;/D&gt;&lt;D xsi:type="xsd:double"&gt;8.31&lt;/D&gt;&lt;D xsi:type="xsd:double"&gt;8.17&lt;/D&gt;&lt;D xsi:type="xsd:double"&gt;9.17&lt;/D&gt;&lt;D xsi:type="xsd:double"&gt;9.24&lt;/D&gt;&lt;D xsi:type="xsd:double"&gt;9.39&lt;/D&gt;&lt;D xsi:type="xsd:double"&gt;9.28&lt;/D&gt;&lt;D xsi:type="xsd:double"&gt;9.07&lt;/D&gt;&lt;D xsi:type="xsd:double"&gt;8.73&lt;/D&gt;&lt;D xsi:type="xsd:double"&gt;8.66&lt;/D&gt;&lt;D xsi:type="xsd:double"&gt;8.92&lt;/D&gt;&lt;D xsi:type="xsd:double"&gt;9.48&lt;/D&gt;&lt;D xsi:type="xsd:double"&gt;9.105&lt;/D&gt;&lt;D xsi:type="xsd:double"&gt;9.61&lt;/D&gt;&lt;D xsi:type="xsd:double"&gt;9.38&lt;/D&gt;&lt;D xsi:type="xsd:double"&gt;9.075&lt;/D&gt;&lt;D xsi:type="xsd:double"&gt;8.88&lt;/D&gt;&lt;D xsi:type="xsd:double"&gt;8.6&lt;/D&gt;&lt;D xsi:type="xsd:double"&gt;8.66&lt;/D&gt;&lt;D xsi:type="xsd:double"&gt;8.63&lt;/D&gt;&lt;D xsi:type="xsd:double"&gt;8.91&lt;/D&gt;&lt;D xsi:type="xsd:double"&gt;8.33&lt;/D&gt;&lt;D xsi:type="xsd:double"&gt;8.4&lt;/D&gt;&lt;D xsi:type="xsd:double"&gt;8.84&lt;/D&gt;&lt;D xsi:type="xsd:double"&gt;8.58&lt;/D&gt;&lt;D xsi:type="xsd:double"&gt;8&lt;/D&gt;&lt;D xsi:type="xsd:double"&gt;7.87&lt;/D&gt;&lt;D xsi:type="xsd:double"&gt;7.91&lt;/D&gt;&lt;D xsi:type="xsd:double"&gt;8.02&lt;/D&gt;&lt;D xsi:type="xsd:double"&gt;8&lt;/D&gt;&lt;D xsi:type="xsd:double"&gt;7.71&lt;/D&gt;&lt;D xsi:type="xsd:double"&gt;7.64&lt;/D&gt;&lt;D xsi:type="xsd:double"&gt;7.95&lt;/D&gt;&lt;D xsi:type="xsd:double"&gt;7.92&lt;/D&gt;&lt;D xsi:type="xsd:double"&gt;8.06&lt;/D&gt;&lt;D xsi:type="xsd:double"&gt;8.87&lt;/D&gt;&lt;D xsi:type="xsd:double"&gt;8.23&lt;/D&gt;&lt;D xsi:type="xsd:double"&gt;8&lt;/D&gt;&lt;D xsi:type="xsd:double"&gt;8.41&lt;/D&gt;&lt;D xsi:type="xsd:double"&gt;7.59&lt;/D&gt;&lt;D xsi:type="xsd:double"&gt;7.18&lt;/D&gt;&lt;D xsi:type="xsd:double"&gt;7.4&lt;/D&gt;&lt;D xsi:type="xsd:double"&gt;8.04&lt;/D&gt;&lt;D xsi:type="xsd:double"&gt;7.84&lt;/D&gt;&lt;D xsi:type="xsd:double"&gt;7.99&lt;/D&gt;&lt;D xsi:type="xsd:double"&gt;7.96&lt;/D&gt;&lt;D xsi:type="xsd:double"&gt;7.94&lt;/D&gt;&lt;D xsi:type="xsd:double"&gt;8.23&lt;/D&gt;&lt;D xsi:type="xsd:double"&gt;6.83&lt;/D&gt;&lt;D xsi:type="xsd:double"&gt;7.32&lt;/D&gt;&lt;D xsi:type="xsd:double"&gt;7.2&lt;/D&gt;&lt;D xsi:type="xsd:double"&gt;7.51&lt;/D&gt;&lt;D xsi:type="xsd:double"&gt;7.73&lt;/D&gt;&lt;D xsi:type="xsd:double"&gt;7.77&lt;/D&gt;&lt;D xsi:type="xsd:double"&gt;8.51&lt;/D&gt;&lt;D xsi:type="xsd:double"&gt;7.75&lt;/D&gt;&lt;D xsi:type="xsd:double"&gt;8.43&lt;/D&gt;&lt;D xsi:type="xsd:double"&gt;8.67&lt;/D&gt;&lt;D xsi:type="xsd:double"&gt;9&lt;/D&gt;&lt;D xsi:type="xsd:double"&gt;9.31&lt;/D&gt;&lt;D xsi:type="xsd:double"&gt;9.68&lt;/D&gt;&lt;D xsi:type="xsd:double"&gt;8.73&lt;/D&gt;&lt;D xsi:type="xsd:double"&gt;9.77&lt;/D&gt;&lt;D xsi:type="xsd:double"&gt;10.57&lt;/D&gt;&lt;D xsi:type="xsd:double"&gt;12.2&lt;/D&gt;&lt;D xsi:type="xsd:double"&gt;13.06&lt;/D&gt;&lt;D xsi:type="xsd:double"&gt;14.19&lt;/D&gt;&lt;D xsi:type="xsd:double"&gt;14.02&lt;/D&gt;&lt;D xsi:type="xsd:double"&gt;13.46&lt;/D&gt;&lt;D xsi:type="xsd:double"&gt;13.05&lt;/D&gt;&lt;D xsi:type="xsd:double"&gt;13.64&lt;/D&gt;&lt;D xsi:type="xsd:double"&gt;13.16&lt;/D&gt;&lt;D xsi:type="xsd:double"&gt;12.39&lt;/D&gt;&lt;D xsi:type="xsd:double"&gt;13.67&lt;/D&gt;&lt;D xsi:type="xsd:double"&gt;14.15&lt;/D&gt;&lt;D xsi:type="xsd:double"&gt;16.29&lt;/D&gt;&lt;D xsi:type="xsd:double"&gt;17.11&lt;</t>
        </r>
      </text>
    </comment>
    <comment ref="A2" authorId="0" shapeId="0" xr:uid="{00000000-0006-0000-00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/D&gt;&lt;D xsi:type="xsd:double"&gt;18.7&lt;/D&gt;&lt;D xsi:type="xsd:double"&gt;20.57&lt;/D&gt;&lt;D xsi:type="xsd:double"&gt;20.34&lt;/D&gt;&lt;D xsi:type="xsd:double"&gt;20.33&lt;/D&gt;&lt;D xsi:type="xsd:double"&gt;21.57&lt;/D&gt;&lt;D xsi:type="xsd:double"&gt;21.66&lt;/D&gt;&lt;D xsi:type="xsd:double"&gt;18.89&lt;/D&gt;&lt;D xsi:type="xsd:double"&gt;20.29&lt;/D&gt;&lt;D xsi:type="xsd:double"&gt;19.98&lt;/D&gt;&lt;D xsi:type="xsd:double"&gt;21.86&lt;/D&gt;&lt;D xsi:type="xsd:double"&gt;25.13&lt;/D&gt;&lt;D xsi:type="xsd:double"&gt;26.32&lt;/D&gt;&lt;D xsi:type="xsd:double"&gt;29.9&lt;/D&gt;&lt;D xsi:type="xsd:double"&gt;27.31&lt;/D&gt;&lt;D xsi:type="xsd:double"&gt;29.43&lt;/D&gt;&lt;D xsi:type="xsd:double"&gt;27.76&lt;/D&gt;&lt;D xsi:type="xsd:double"&gt;29.34&lt;/D&gt;&lt;D xsi:type="xsd:double"&gt;27.88&lt;/D&gt;&lt;D xsi:type="xsd:double"&gt;30.72&lt;/D&gt;&lt;D xsi:type="xsd:double"&gt;30.67&lt;/D&gt;&lt;D xsi:type="xsd:double"&gt;29.17&lt;/D&gt;&lt;D xsi:type="xsd:double"&gt;26.23&lt;/D&gt;&lt;D xsi:type="xsd:double"&gt;27.18&lt;/D&gt;&lt;D xsi:type="xsd:double"&gt;27.62&lt;/D&gt;&lt;D xsi:type="xsd:double"&gt;24.38&lt;/D&gt;&lt;D xsi:type="xsd:double"&gt;27.42&lt;/D&gt;&lt;D xsi:type="xsd:double"&gt;29.82&lt;/D&gt;&lt;D xsi:type="xsd:double"&gt;32.06&lt;/D&gt;&lt;D xsi:type="xsd:double"&gt;34.69&lt;/D&gt;&lt;D xsi:type="xsd:double"&gt;36.35&lt;/D&gt;&lt;D xsi:type="xsd:double"&gt;32.49&lt;/D&gt;&lt;D xsi:type="xsd:double"&gt;33.88&lt;/D&gt;&lt;D xsi:type="xsd:double"&gt;33.04&lt;/D&gt;&lt;D xsi:type="xsd:double"&gt;31.13&lt;/D&gt;&lt;D xsi:type="xsd:double"&gt;28.86&lt;/D&gt;&lt;D xsi:type="xsd:double"&gt;33.14&lt;/D&gt;&lt;D xsi:type="xsd:double"&gt;32.55&lt;/D&gt;&lt;D xsi:type="xsd:double"&gt;31.35&lt;/D&gt;&lt;D xsi:type="xsd:double"&gt;29.66&lt;/D&gt;&lt;D xsi:type="xsd:double"&gt;27.73&lt;/D&gt;&lt;D xsi:type="xsd:double"&gt;28.39&lt;/D&gt;&lt;D xsi:type="xsd:double"&gt;25.99&lt;/D&gt;&lt;D xsi:type="xsd:double"&gt;25.8&lt;/D&gt;&lt;D xsi:type="xsd:double"&gt;24.98&lt;/D&gt;&lt;D xsi:type="xsd:double"&gt;25.56&lt;/D&gt;&lt;D xsi:type="xsd:double"&gt;23.61&lt;/D&gt;&lt;D xsi:type="xsd:double"&gt;24.16&lt;/D&gt;&lt;D xsi:type="xsd:double"&gt;24.74&lt;/D&gt;&lt;D xsi:type="xsd:double"&gt;23.63&lt;/D&gt;&lt;D xsi:type="xsd:double"&gt;22.81&lt;/D&gt;&lt;D xsi:type="xsd:double"&gt;23.93&lt;/D&gt;&lt;D xsi:type="xsd:double"&gt;25.88&lt;/D&gt;&lt;D xsi:type="xsd:double"&gt;26.26&lt;/D&gt;&lt;D xsi:type="xsd:double"&gt;26.94&lt;/D&gt;&lt;D xsi:type="xsd:double"&gt;26.56&lt;/D&gt;&lt;D xsi:type="xsd:double"&gt;25.84&lt;/D&gt;&lt;D xsi:type="xsd:double"&gt;25.45&lt;/D&gt;&lt;D xsi:type="xsd:double"&gt;25.24&lt;/D&gt;&lt;D xsi:type="xsd:double"&gt;27.46&lt;/D&gt;&lt;D xsi:type="xsd:double"&gt;27.52&lt;/D&gt;&lt;D xsi:type="xsd:double"&gt;26.88&lt;/D&gt;&lt;D xsi:type="xsd:double"&gt;28.695&lt;/D&gt;&lt;D xsi:type="xsd:double"&gt;28.71&lt;/D&gt;&lt;D xsi:type="xsd:double"&gt;30.41&lt;/D&gt;&lt;D xsi:type="xsd:double"&gt;31.41&lt;/D&gt;&lt;D xsi:type="xsd:double"&gt;31.17&lt;/D&gt;&lt;D xsi:type="xsd:double"&gt;33.11&lt;/D&gt;&lt;D xsi:type="xsd:double"&gt;32.34&lt;/D&gt;&lt;D xsi:type="xsd:double"&gt;28.41&lt;/D&gt;&lt;D xsi:type="xsd:double"&gt;27.16&lt;/D&gt;&lt;D xsi:type="xsd:double"&gt;28.38&lt;/D&gt;&lt;D xsi:type="xsd:double"&gt;32.18&lt;/D&gt;&lt;D xsi:type="xsd:double"&gt;30.41&lt;/D&gt;&lt;D xsi:type="xsd:double"&gt;33.78&lt;/D&gt;&lt;D xsi:type="xsd:double"&gt;32.54&lt;/D&gt;&lt;D xsi:type="xsd:double"&gt;34.68&lt;/D&gt;&lt;D xsi:type="xsd:double"&gt;36.57&lt;/D&gt;&lt;D xsi:type="xsd:double"&gt;34.09&lt;/D&gt;&lt;D xsi:type="xsd:double"&gt;33.58&lt;/D&gt;&lt;D xsi:type="xsd:double"&gt;34.18&lt;/D&gt;&lt;D xsi:type="xsd:double"&gt;33.25&lt;/D&gt;&lt;D xsi:type="xsd:double"&gt;33.8&lt;/D&gt;&lt;D xsi:type="xsd:double"&gt;33.76&lt;/D&gt;&lt;D xsi:type="xsd:double"&gt;34.58&lt;/D&gt;&lt;D xsi:type="xsd:double"&gt;33.61&lt;/D&gt;&lt;D xsi:type="xsd:double"&gt;34.95&lt;/D&gt;&lt;D xsi:type="xsd:double"&gt;35.37&lt;/D&gt;&lt;D xsi:type="xsd:double"&gt;35.33&lt;/D&gt;&lt;D xsi:type="xsd:double"&gt;32.73&lt;/D&gt;&lt;D xsi:type="xsd:double"&gt;34.65&lt;/D&gt;&lt;D xsi:type="xsd:double"&gt;34.78&lt;/D&gt;&lt;D xsi:type="xsd:double"&gt;36.22&lt;/D&gt;&lt;D xsi:type="xsd:double"&gt;38.16&lt;/D&gt;&lt;D xsi:type="xsd:double"&gt;37.77&lt;/D&gt;&lt;D xsi:type="xsd:double"&gt;37.05&lt;/D&gt;&lt;D xsi:type="xsd:double"&gt;36.56&lt;/D&gt;&lt;D xsi:type="xsd:double"&gt;33.96&lt;/D&gt;&lt;D xsi:type="xsd:double"&gt;36.11&lt;/D&gt;&lt;D xsi:type="xsd:double"&gt;38.77&lt;/D&gt;&lt;D xsi:type="xsd:double"&gt;38.87&lt;/D&gt;&lt;D xsi:type="xsd:double"&gt;37.28&lt;/D&gt;&lt;D xsi:type="xsd:double"&gt;37.76&lt;/D&gt;&lt;D xsi:type="xsd:double"&gt;37.5&lt;/D&gt;&lt;D xsi:type="xsd:double"&gt;36.5&lt;/D&gt;&lt;D xsi:type="xsd:double"&gt;36.93&lt;/D&gt;&lt;D xsi:type="xsd:double"&gt;37.27&lt;/D&gt;&lt;D xsi:type="xsd:double"&gt;38.32&lt;/D&gt;&lt;D xsi:type="xsd:double"&gt;36.09&lt;/D&gt;&lt;D xsi:type="xsd:double"&gt;33.04&lt;/D&gt;&lt;D xsi:type="xsd:double"&gt;34.05&lt;/D&gt;&lt;D xsi:type="xsd:double"&gt;35.11&lt;/D&gt;&lt;D xsi:type="xsd:double"&gt;34.24&lt;/D&gt;&lt;D xsi:type="xsd:double"&gt;32.92&lt;/D&gt;&lt;D xsi:type="xsd:double"&gt;31.64&lt;/D&gt;&lt;D xsi:type="xsd:double"&gt;30.02&lt;/D&gt;&lt;D xsi:type="xsd:double"&gt;27.29&lt;/D&gt;&lt;D xsi:type="xsd:double"&gt;25.75&lt;/D&gt;&lt;D xsi:type="xsd:double"&gt;23.97&lt;/D&gt;&lt;D xsi:type="xsd:double"&gt;22.85&lt;/D&gt;&lt;D xsi:type="xsd:double"&gt;21.89&lt;/D&gt;&lt;D xsi:type="xsd:double"&gt;20.94&lt;/D&gt;&lt;D xsi:type="xsd:double"&gt;19.63&lt;/D&gt;&lt;D xsi:type="xsd:double"&gt;19.45&lt;/D&gt;&lt;D xsi:type="xsd:double"&gt;18.08&lt;/D&gt;&lt;D xsi:type="xsd:double"&gt;19.34&lt;/D&gt;&lt;D xsi:type="xsd:double"&gt;20.1&lt;/D&gt;&lt;D xsi:type="xsd:double"&gt;22.18&lt;/D&gt;&lt;D xsi:type="xsd:double"&gt;20.39&lt;/D&gt;&lt;D xsi:type="xsd:double"&gt;19.16&lt;/D&gt;&lt;D xsi:type="xsd:double"&gt;19.93&lt;/D&gt;&lt;D xsi:type="xsd:double"&gt;20.09&lt;/D&gt;&lt;D xsi:type="xsd:double"&gt;19.2&lt;/D&gt;&lt;D xsi:type="xsd:double"&gt;18.91&lt;/D&gt;&lt;D xsi:type="xsd:double"&gt;17.59&lt;/D&gt;&lt;D xsi:type="xsd:double"&gt;19.055&lt;/D&gt;&lt;D xsi:type="xsd:double"&gt;18.28&lt;/D&gt;&lt;D xsi:type="xsd:double"&gt;18.32&lt;/D&gt;&lt;D xsi:type="xsd:double"&gt;16.87&lt;/D&gt;&lt;D xsi:type="xsd:double"&gt;13.97&lt;/D&gt;&lt;D xsi:type="xsd:double"&gt;15.86&lt;/D&gt;&lt;D xsi:type="xsd:double"&gt;15.6&lt;/D&gt;&lt;D xsi:type="xsd:double"&gt;16.54&lt;/D&gt;&lt;D xsi:type="xsd:double"&gt;16.72&lt;/D&gt;&lt;D xsi:type="xsd:double"&gt;16.49&lt;/D&gt;&lt;D xsi:type="xsd:double"&gt;18.05&lt;/D&gt;&lt;D xsi:type="xsd:double"&gt;16.93&lt;/D&gt;&lt;D xsi:type="xsd:double"&gt;15.98&lt;/D&gt;&lt;D xsi:type="xsd:double"&gt;17.16&lt;/D&gt;&lt;D xsi:type="xsd:double"&gt;18.65&lt;/D&gt;&lt;D xsi:type="xsd:double"&gt;18.92&lt;/D&gt;&lt;D xsi:type="xsd:double"&gt;17.08&lt;/D&gt;&lt;D xsi:type="xsd:double"&gt;17.31&lt;/D&gt;&lt;D xsi:type="xsd:double"&gt;18.23&lt;/D&gt;&lt;D xsi:type="xsd:double"&gt;17.64&lt;/D&gt;&lt;D xsi:type="xsd:double"&gt;18.6&lt;/D&gt;&lt;D xsi:type="xsd:double"&gt;18.41&lt;/D&gt;&lt;D xsi:type="xsd:double"&gt;19.23&lt;/D&gt;&lt;D xsi:type="xsd:double"&gt;20&lt;/D&gt;&lt;D xsi:type="xsd:double"&gt;21.06&lt;/D&gt;&lt;D xsi:type="xsd:double"&gt;21.75&lt;/D&gt;&lt;D xsi:type="xsd:double"&gt;23.02&lt;/D&gt;&lt;D xsi:type="xsd:double"&gt;22.56&lt;/D&gt;&lt;D xsi:type="xsd:double"&gt;22.57&lt;/D&gt;&lt;D xsi:type="xsd:double"&gt;21.32&lt;/D&gt;&lt;D xsi:type="xsd:double"&gt;21.93&lt;/D&gt;&lt;D xsi:type="xsd:double"&gt;19.85&lt;/D&gt;&lt;D xsi:type="xsd:double"&gt;20.7&lt;/D&gt;&lt;D xsi:type="xsd:double"&gt;21.15&lt;/D&gt;&lt;D xsi:type="xsd:double"&gt;21.95&lt;/D&gt;&lt;D xsi:type="xsd:double"&gt;22.78&lt;/D&gt;&lt;D xsi:type="xsd:double"&gt;23.02&lt;/D&gt;&lt;D xsi:type="xsd:double"&gt;22.48&lt;/D&gt;&lt;D xsi:type="xsd:double"&gt;21.41&lt;/D&gt;&lt;D xsi:type="xsd:double"&gt;21.24&lt;/D&gt;&lt;D xsi:type="xsd:double"&gt;20.51&lt;/D&gt;&lt;D xsi:type="xsd:double"&gt;19.53&lt;/D&gt;&lt;D xsi:type="xsd:double"&gt;19.53&lt;/D&gt;&lt;D xsi:type="xsd:double"&gt;19.79&lt;/D&gt;&lt;D xsi:type="xsd:double"&gt;22.47&lt;/D&gt;&lt;D xsi:type="xsd:double"&gt;22.67&lt;/D&gt;&lt;D xsi:type="xsd:double"&gt;22.67&lt;/D&gt;&lt;D xsi:type="xsd:double"&gt;24.34&lt;/D&gt;&lt;D xsi:type="xsd:double"&gt;24.9&lt;/D&gt;&lt;D xsi:type="xsd:double"&gt;25.89&lt;/D&gt;&lt;D xsi:type="xsd:double"&gt;27.47&lt;/D&gt;&lt;/FQL&gt;&lt;FQL&gt;&lt;Q&gt;STNG-US^P_PRICE(1/4/2019,NOW,W)&lt;/Q&gt;&lt;R&gt;373&lt;/R&gt;&lt;C&gt;1&lt;/C&gt;&lt;D xsi:type="xsd:double"&gt;20&lt;/D&gt;&lt;D xsi:type="xsd:double"&gt;19.8&lt;/D&gt;&lt;D xsi:type="xsd:double"&gt;21.05&lt;/D&gt;&lt;D xsi:type="xsd:double"&gt;20.43&lt;/D&gt;&lt;D xsi:type="xsd:double"&gt;18.48&lt;/D&gt;&lt;D xsi:type="xsd:double"&gt;15.59&lt;/D&gt;&lt;D xsi:type="xsd:double"&gt;19.77&lt;/D&gt;&lt;D xsi:type="xsd:double"&gt;19.43&lt;/D&gt;&lt;D xsi:type="xsd:double"&gt;18.43&lt;/D&gt;&lt;D xsi:type="xsd:double"&gt;16.98&lt;/D&gt;&lt;D xsi:type="xsd:double"&gt;18.59&lt;/D&gt;&lt;D xsi:type="xsd:double"&gt;18.83&lt;/D&gt;&lt;D xsi:type="xsd:double"&gt;19.84&lt;/D&gt;&lt;D xsi:type="xsd:double"&gt;19.5&lt;/D&gt;&lt;D xsi:type="xsd:double"&gt;24.07&lt;/D&gt;&lt;D xsi:type="xsd:double"&gt;23.88&lt;/D&gt;&lt;D xsi:type="xsd:double"&gt;25.58&lt;/D&gt;&lt;D xsi:type="xsd:double"&gt;27.73&lt;/D&gt;&lt;D xsi:type="xsd:double"&gt;27.57&lt;/D&gt;&lt;D xsi:type="xsd:double"&gt;26.45&lt;/D&gt;&lt;D xsi:type="xsd:double"&gt;26.39&lt;/D&gt;&lt;D xsi:type="xsd:double"&gt;26.03&lt;/D&gt;&lt;D xsi:type="xsd:double"&gt;26.63&lt;/D&gt;&lt;D xsi:type="xsd:double"&gt;25.4&lt;/D&gt;&lt;D xsi:type="xsd:double"&gt;26.07&lt;/D&gt;&lt;D xsi:type="xsd:double"&gt;29.52&lt;/D&gt;&lt;D xsi:type="xsd:double"&gt;30.38&lt;/D&gt;&lt;D xsi:type="xsd:double"&gt;29.51&lt;/D&gt;&lt;D xsi:type="xsd:double"&gt;27.84&lt;/D&gt;&lt;D xsi:type="xsd:double"&gt;28.31&lt;/D&gt;&lt;D xsi:type="xsd:double"&gt;25.31&lt;/D&gt;&lt;D xsi:type="xsd:double"&gt;23.5&lt;/D&gt;&lt;D xsi:type="xsd:double"&gt;23.87&lt;/D&gt;&lt;D xsi:type="xsd:double"&gt;24.6&lt;/D&gt;&lt;D xsi:type="xsd:double"&gt;26.29&lt;/D&gt;&lt;D xsi:type="xsd:double"&gt;29.51&lt;/D&gt;&lt;D xsi:type="xsd:double"&gt;31.93&lt;/D&gt;&lt;D xsi:type="xsd:double"&gt;28.21&lt;/D&gt;&lt;D xsi:type="xsd:double"&gt;29.5&lt;/D&gt;&lt;D xsi:type="xsd:double"&gt;33.65&lt;/D&gt;&lt;D xsi:type="xsd:double"&gt;34.74&lt;/D&gt;&lt;D xsi:type="xsd:double"&gt;34.87&lt;/D&gt;&lt;D xsi:type="xsd:double"&gt;33.37&lt;/D&gt;&lt;D xsi:type="xsd:double"&gt;33.64&lt;/D&gt;&lt;D xsi:type="xsd:double"&gt;30.49&lt;/D&gt;&lt;D xsi:type="xsd:double"&gt;32.07&lt;/D&gt;&lt;D xsi:type="xsd:double"&gt;34&lt;/D&gt;&lt;D xsi:type="xsd:double"&gt;34.39&lt;/D&gt;&lt;D xsi:type="xsd:double"&gt;35.27&lt;/D&gt;&lt;D xsi:type="xsd:double"&gt;35.35&lt;/D&gt;&lt;D xsi:type="xsd:double"&gt;36.97&lt;/D&gt;&lt;D xsi:type="xsd:double"&gt;37.85&lt;/D&gt;&lt;D xsi:type="xsd:double"&gt;39.42&lt;/D&gt;&lt;D xsi:type="xsd:double"&gt;35.21&lt;/D&gt;&lt;D xsi:type="xsd:double"&gt;32.53&lt;/D&gt;&lt;D xsi:type="xsd:double"&gt;29.02&lt;/D&gt;&lt;D xsi:type="xsd:double"&gt;23.34&lt;/D&gt;&lt;D xsi:type="xsd:double"&gt;21.73&lt;/D&gt;&lt;D xsi:type="xsd:double"&gt;22.82&lt;/D&gt;&lt;D xsi:type="xsd:double"&gt;19.87&lt;/D&gt;&lt;D xsi:type="xsd:double"&gt;19.78&lt;/D&gt;&lt;D xsi:type="xsd:double"&gt;16.4&lt;/D&gt;&lt;D xsi:type="xsd:double"&gt;20.5&lt;/D&gt;&lt;D xsi:type="xsd:double"&gt;14.09&lt;/D&gt;&lt;D xsi:type="xsd:double"&gt;18.9&lt;/D&gt;&lt;D xsi:type="xsd:double"&gt;14.86&lt;/D&gt;&lt;D xsi:type="xsd:double"&gt;17.41&lt;/D&gt;&lt;D xsi:type="xsd:double"&gt;19.74&lt;/D&gt;&lt;D xsi:type="xsd:double"&gt;25&lt;/D&gt;&lt;D xsi:type="xsd:double"&gt;20.69&lt;/D&gt;&lt;D xsi:type="xsd:double"&gt;19.43&lt;/D&gt;&lt;D xsi:type="xsd:double"&gt;16.79&lt;/D&gt;&lt;D xsi:type="xsd:double"&gt;16.98&lt;/D&gt;&lt;D xsi:type="xsd:double"&gt;17.74&lt;/D&gt;&lt;D xsi:type="xsd:double"&gt;17.22&lt;/D&gt;&lt;D xsi:type="xsd:double"&gt;16.4&lt;/D&gt;&lt;D xsi:type="xsd:double"&gt;14.89&lt;/D&gt;&lt;D xsi:type="xsd:double"&gt;12.85&lt;/D&gt;&lt;D xsi:type="xsd:double"&gt;13.05&lt;/D&gt;&lt;D xsi:type="xsd:double"&gt;13.3&lt;/D&gt;&lt;D xsi:type="xsd:double"&gt;12.93&lt;/D&gt;&lt;D xsi:type="xsd:double"&gt;13.31&lt;/D&gt;&lt;D xsi:type="xsd:double"&gt;13.22&lt;/D&gt;&lt;D xsi:type="xsd:double"&gt;12.58&lt;/D&gt;&lt;D xsi:type="xsd:double"&gt;13.35&lt;/D&gt;&lt;D xsi:type="xsd:double"&gt;12.14&lt;/D&gt;&lt;D xsi:type="xsd:double"&gt;11.73&lt;/D&gt;&lt;D xsi:type="xsd:double"&gt;11.6&lt;/D&gt;&lt;D xsi:type="xsd:double"&gt;13.32&lt;/D&gt;&lt;D xsi:type="xsd:double"&gt;12.85&lt;/D&gt;&lt;D xsi:type="xsd:double"&gt;11.12&lt;/D&gt;&lt;D xsi:type="xsd:double"&gt;11.19&lt;/D&gt;&lt;D xsi:type="xsd:double"&gt;11.34&lt;/D&gt;&lt;D xsi:type="xsd:double"&gt;11.2&lt;/D&gt;&lt;D xsi:type="xsd:double"&gt;10.71&lt;/D&gt;&lt;D xsi:type="xsd:double"&gt;8.82&lt;/D&gt;&lt;D xsi:type="xsd:double"&gt;9.29&lt;/D&gt;&lt;D xsi:type="xsd:double"&gt;10.55&lt;/D&gt;&lt;D xsi:type="xsd:double"&gt;11.29&lt;/D&gt;&lt;D xsi:type="xsd:double"&gt;12.21&lt;/D&gt;&lt;D xsi:type="xsd:double"&gt;12.55&lt;/D&gt;&lt;D xsi:type="xsd:double"&gt;12.62&lt;/D&gt;&lt;D xsi:type="xsd:double"&gt;11.58&lt;/D&gt;&lt;D xsi:type="xsd:double"&gt;11.49&lt;/D&gt;&lt;D xsi:type="xsd:double"&gt;11.19&lt;/D&gt;&lt;D xsi:type="xsd:double"&gt;13.63&lt;/D&gt;&lt;D xsi:type="xsd:double"&gt;13.78&lt;/D&gt;&lt;D xsi:type="xsd:double"&gt;12.08&lt;/D&gt;&lt;D xsi:type="xsd:double"&gt;12.44&lt;/D&gt;&lt;D xsi:type="xsd:double"&gt;14.6&lt;/D&gt;&lt;D xsi:type="xsd:double"&gt;16.47&lt;/D&gt;&lt;D xsi:type="xsd:double"&gt;16.92&lt;/D&gt;&lt;D xsi:type="xsd:double"&gt;14.76&lt;/D&gt;&lt;D xsi:type="xsd:double"&gt;15.81&lt;/D&gt;&lt;D xsi:type="xsd:double"&gt;18.93&lt;/D&gt;&lt;D xsi:type="xsd:double"&gt;19.86&lt;/D&gt;&lt;D xsi:type="xsd:double"&gt;19.77&lt;/D&gt;&lt;D xsi:type="xsd:double"&gt;18.63&lt;/D&gt;&lt;D xsi:type="xsd:double"&gt;17.6&lt;/D&gt;&lt;D xsi:type="xsd:double"&gt;18.33&lt;/D&gt;&lt;D xsi:type="xsd:double"&gt;17.91&lt;/D&gt;&lt;D xsi:type="xsd:double"&gt;18.14&lt;/D&gt;&lt;D xsi:type="xsd:double"&gt;19.63&lt;/D&gt;&lt;D xsi:type="xsd:double"&gt;20.32&lt;/D&gt;&lt;D xsi:type="xsd:double"&gt;22.74&lt;/D&gt;&lt;D xsi:type="xsd:double"&gt;22.38&lt;/D&gt;&lt;D xsi:type="xsd:double"&gt;21.37&lt;/D&gt;&lt;D xsi:type="xsd:double"&gt;22.18&lt;/D&gt;&lt;D xsi:type="xsd:double"&gt;21.43&lt;/D&gt;&lt;D xsi:type="xsd:double"&gt;24.24&lt;/D&gt;&lt;D xsi:type="xsd:double"&gt;21.42&lt;/D&gt;&lt;D xsi:type="xsd:double"&gt;20.28&lt;/D&gt;&lt;D xsi:type="xsd:double"&gt;16.5&lt;/D&gt;&lt;D xsi:type="xsd:double"&gt;16.42&lt;/D&gt;&lt;D xsi:type="xsd:double"&gt;16.35&lt;/D&gt;&lt;D xsi:type="xsd:double"&gt;14.93&lt;/D&gt;&lt;D xsi:type="xsd:double"&gt;15.37&lt;/D&gt;&lt;D xsi:type="xsd:double"&gt;14.54&lt;/D&gt;&lt;D xsi:type="xsd:double"&gt;15.76&lt;/D&gt;&lt;D xsi:type="xsd:double"&gt;17.13&lt;/D&gt;&lt;D xsi:type="xsd:double"&gt;16.1&lt;/D&gt;&lt;D xsi:type="xsd:double"&gt;16.08&lt;/D&gt;&lt;D xsi:type="xsd:double"&gt;16.51&lt;/D&gt;&lt;D xsi:type="xsd:double"&gt;19.42&lt;/D&gt;&lt;D xsi:type="xsd:double"&gt;18.1&lt;/D&gt;&lt;D xsi:type="xsd:double"&gt;16.61&lt;/D&gt;&lt;D xsi:type="xsd:double"&gt;17.27&lt;/D&gt;&lt;D xsi:type="xsd:double"&gt;16.02&lt;/D&gt;&lt;D xsi:type="xsd:double"&gt;16.72&lt;/D&gt;&lt;D xsi:type="xsd:double"&gt;18.29&lt;/D&gt;&lt;D xsi:type="xsd:double"&gt;15.14&lt;/D&gt;&lt;D xsi:type="xsd:double"&gt;14.41&lt;/D&gt;&lt;D xsi:type="xsd:double"&gt;11.7&lt;/D&gt;&lt;D xsi:type="xsd:double"&gt;13.63&lt;/D&gt;&lt;D xsi:type="xsd:double"&gt;12.47&lt;/D&gt;&lt;D xsi:type="xsd:double"&gt;13.24&lt;/D&gt;&lt;D xsi:type="xsd:double"&gt;12.81&lt;/D&gt;&lt;D xsi:type="xsd:double"&gt;13.13&lt;/D&gt;&lt;D xsi:type="xsd:double"&gt;13.01&lt;/D&gt;&lt;D xsi:type="xsd:double"&gt;11.79&lt;/D&gt;&lt;D xsi:type="xsd:double"&gt;13.59&lt;/D&gt;&lt;D xsi:type="xsd:double"&gt;13.92&lt;/D&gt;&lt;D xsi:type="xsd:double"&gt;15.59&lt;/D&gt;&lt;D xsi:type="xsd:double"&gt;15.69&lt;/D&gt;&lt;D xsi:type="xsd:double"&gt;17.24&lt;/D&gt;&lt;D xsi:type="xsd:double"&gt;19.05&lt;/D&gt;&lt;D xsi:type="xsd:double"&gt;18.08&lt;/D&gt;&lt;D xsi:type="xsd:double"&gt;19.23&lt;/D&gt;&lt;D xsi:type="xsd:double"&gt;20.64&lt;/D&gt;&lt;D xsi:type="xsd:double"&gt;21.7&lt;/D&gt;&lt;D xsi:type="xsd:double"&gt;21.96&lt;/D&gt;&lt;D xsi:type="xsd:double"&gt;22.7&lt;/D&gt;&lt;D xsi:type="xsd:double"&gt;21.49&lt;/D&gt;&lt;D xsi:type="xsd:double"&gt;24.73&lt;/D&gt;&lt;D xsi:type="xsd:double"&gt;26.72&lt;/D&gt;&lt;D xsi:type="xsd:double"&gt;28.35&lt;/D&gt;&lt;D xsi:type="xsd:double"&gt;29.13&lt;/D&gt;&lt;D xsi:type="xsd:double"&gt;33.56&lt;/D&gt;&lt;D xsi:type="xsd:double"&gt;35.6&lt;/D&gt;&lt;D xsi:type="xsd:double"&gt;37.03&lt;/D&gt;&lt;D xsi:type="xsd:double"&gt;34.09&lt;/D&gt;&lt;D xsi:type="xsd:double"&gt;34.82&lt;/D&gt;&lt;D xsi:type="xsd:double"&gt;34.17&lt;/D&gt;&lt;D xsi:type="xsd:double"&gt;33.01&lt;/D&gt;&lt;D xsi:type="xsd:double"&gt;35.03&lt;/D&gt;&lt;D xsi:type="xsd:double"&gt;37.66&lt;/D&gt;&lt;D xsi:type="xsd:double"&gt;38.61&lt;/D&gt;&lt;D xsi:type="xsd:double"&gt;39.22&lt;/D&gt;&lt;D xsi:type="xsd:double"&gt;42.24&lt;/D&gt;&lt;D xsi:type="xsd:double"&gt;39.42&lt;/D&gt;&lt;D xsi:type="xsd:double"&gt;41.2&lt;/D&gt;&lt;D xsi:type="xsd:double"&gt;42.77&lt;/D&gt;&lt;D xsi:type="xsd:double"&gt;44.23&lt;/D&gt;&lt;D xsi:type="xsd:double"&gt;43.1&lt;/D&gt;&lt;D xsi:type="xsd:double"&gt;39.6&lt;/D&gt;&lt;D xsi:type="xsd:double"&gt;42.04&lt;/D&gt;&lt;D xsi:type="xsd:double"&gt;42.15&lt;/D&gt;&lt;D xsi:type="xsd:double"&gt;46.38&lt;/D&gt;&lt;D xsi:type="xsd:double"&gt;47.66&lt;/D&gt;&lt;D xsi:type="xsd:double"&gt;46.86&lt;/D&gt;&lt;D xsi:type="xsd:double"&gt;51.36&lt;/D&gt;&lt;D xsi:type="xsd:double"&gt;48.86&lt;/D&gt;&lt;D xsi:type="xsd:double"&gt;51.69&lt;/D&gt;&lt;D xsi:type="xsd:double"&gt;52.57&lt;/D&gt;&lt;D xsi:type="xsd:double"&gt;53.9&lt;/D&gt;&lt;D xsi:type="xsd:double"&gt;52.08&lt;/D&gt;&lt;D xsi:type="xsd:double"&gt;55.91&lt;/D&gt;&lt;D xsi:type="xsd:double"&gt;54.72&lt;/D&gt;&lt;D xsi:type="xsd:double"&gt;53.77&lt;/D&gt;&lt;D xsi:type="xsd:double"&gt;49.46&lt;/D&gt;&lt;D xsi:type="xsd:double"&gt;51.23&lt;/D&gt;&lt;D xsi:type="xsd:double"&gt;49.05&lt;/D&gt;&lt;D xsi:type="xsd:double"&gt;47.48&lt;/D&gt;&lt;D xsi:type="xsd:double"&gt;50.15&lt;/D&gt;&lt;D xsi:type="xsd:double"&gt;57.59&lt;/D&gt;&lt;D xsi:type="xsd:double"&gt;62.16&lt;/D&gt;&lt;D xsi:type="xsd:double"&gt;61.26&lt;/D&gt;&lt;D xsi:type="xsd:double"&gt;59.1&lt;/D&gt;&lt;D xsi:type="xsd:double"&gt;59.27&lt;/D&gt;&lt;D xsi:type="xsd:double"&gt;54&lt;/D&gt;&lt;D xsi:type="xsd:double"&gt;54.53&lt;/D&gt;&lt;D xsi:type="xsd:double"&gt;56.31&lt;/D&gt;&lt;D xsi:type="xsd:double"&gt;54.99&lt;/D&gt;&lt;D xsi:type="xsd:double"&gt;56.77&lt;/D&gt;&lt;D xsi:type="xsd:double"&gt;56.07&lt;/D&gt;&lt;D xsi:type="xsd:double"&gt;52.25&lt;/D&gt;&lt;D xsi:type="xsd:double"&gt;46.99&lt;/D&gt;&lt;D xsi:type="xsd:double"&gt;48.29&lt;/D&gt;&lt;D xsi:type="xsd:double"&gt;50.01&lt;/D&gt;&lt;D xsi:type="xsd:double"&gt;48.39&lt;/D&gt;&lt;D xsi:type="xsd:double"&gt;48.53&lt;/D&gt;&lt;D xsi:type="xsd:double"&gt;44.84&lt;/D&gt;&lt;D xsi:type="xsd:double"&gt;46.1&lt;/D&gt;&lt;D xsi:type="xsd:double"&gt;44.06&lt;/D&gt;&lt;D xsi:type="xsd:double"&gt;47.23&lt;/D&gt;&lt;D xsi:type="xsd:double"&gt;45.62&lt;/D&gt;&lt;D xsi:type="xsd:double"&gt;42.13&lt;/D&gt;&lt;D xsi:type="xsd:double"&gt;41.01&lt;/D&gt;&lt;D xsi:type="xsd:double"&gt;45.92&lt;/D&gt;&lt;D xsi:type="xsd:double"&gt;49.64&lt;/D&gt;&lt;D xsi:type="xsd:double"&gt;50.59&lt;/D&gt;&lt;D xsi:type="xsd:double"&gt;52.35&lt;/D&gt;&lt;D xsi:type="xsd:double"&gt;50.27&lt;/D&gt;&lt;D xsi:type="xsd:double"&gt;50.27&lt;/D&gt;&lt;D xsi:type="xsd:double"&gt;51.48&lt;/D&gt;&lt;D xsi:type="xsd:double"&gt;52.45&lt;/D&gt;&lt;D xsi:type="xsd:double"&gt;52.46&lt;/D&gt;&lt;D xsi:type="xsd:double"&gt;54.12&lt;/D&gt;&lt;D xsi:type="xsd:double"&gt;51.37&lt;/D&gt;&lt;D xsi:type="xsd:double"&gt;56&lt;/D&gt;&lt;D xsi:type="xsd:double"&gt;54.9&lt;/D&gt;&lt;D xsi:type="xsd:double"&gt;57.72&lt;/D&gt;&lt;D xsi:type="xsd:double"&gt;58.55&lt;/D&gt;&lt;D xsi:type="xsd:double"&gt;58.58&lt;/D&gt;&lt;D xsi:type="xsd:double"&gt;56.19&lt;/D&gt;&lt;D xsi:type="xsd:double"&gt;56.85&lt;/D&gt;&lt;D xsi:type="xsd:double"&gt;55.71&lt;/D&gt;&lt;D xsi:type="xsd:double"&gt;53.99&lt;/D&gt;&lt;D xsi:type="xsd:double"&gt;58.71&lt;/D&gt;&lt;D xsi:type="xsd:double"&gt;64.57&lt;/D&gt;&lt;D xsi:type="xsd:double"&gt;60.8&lt;/D&gt;&lt;D xsi:type="xsd:double"&gt;64.67&lt;/D&gt;&lt;D xsi:type="xsd:double"&gt;64.7&lt;/D&gt;&lt;D xsi:type="xsd:double"&gt;65.11&lt;/D&gt;&lt;D xsi:type="xsd:double"&gt;71.65&lt;/D&gt;&lt;D xsi:type="xsd:double"&gt;66.83&lt;/D&gt;&lt;D xsi:type="xsd:double"&gt;65.81&lt;/D&gt;&lt;D xsi:type="xsd:double"&gt;69.52&lt;/D&gt;&lt;D xsi:type="xsd:double"&gt;66.42&lt;/D&gt;&lt;D xsi:type="xsd:double"&gt;67.1&lt;/D&gt;&lt;D xsi:type="xsd:double"&gt;68.32&lt;/D&gt;&lt;D xsi:type="xsd:double"&gt;71.36&lt;/D&gt;&lt;D xsi:type="xsd:double"&gt;72.5&lt;/D&gt;&lt;D xsi:type="xsd:double"&gt;71.55&lt;/D&gt;&lt;D xsi:type="xsd:double"&gt;71.77&lt;/D&gt;&lt;D xsi:type="xsd:double"&gt;70.97&lt;/D&gt;&lt;D xsi:type="xsd:double"&gt;69.53&lt;/D&gt;&lt;D xsi:type="xsd:double"&gt;72.77&lt;/D&gt;&lt;D xsi:type="xsd:double"&gt;72.4&lt;/D&gt;&lt;D xsi:type="xsd:double"&gt;77.82&lt;/D&gt;&lt;D xsi:type="xsd:double"&gt;81.69&lt;/D&gt;&lt;D xsi:type="xsd:double"&gt;81.39&lt;/D&gt;&lt;D xsi:type="xsd:double"&gt;82.07&lt;/D&gt;&lt;D xsi:type="xsd:double"&gt;80.37&lt;/D&gt;&lt;D xsi:type="xsd:double"&gt;75.37&lt;/D&gt;&lt;D xsi:type="xsd:double"&gt;82.1&lt;/D&gt;&lt;D xsi:type="xsd:double"&gt;81.29&lt;/D&gt;&lt;D xsi:type="xsd:double"&gt;79.89&lt;/D&gt;&lt;D xsi:type="xsd:double"&gt;76.41&lt;/D&gt;&lt;D xsi:type="xsd:double"&gt;75.35&lt;/D&gt;&lt;D xsi:type="xsd:double"&gt;72.69&lt;/D&gt;&lt;D xsi:type="xsd:double"&gt;74.14&lt;/D&gt;&lt;D xsi:type="xsd:double"&gt;74.27&lt;/D&gt;&lt;D xsi:type="xsd:double"&gt;73.44&lt;/D&gt;&lt;D xsi:type="xsd:double"&gt;70.51&lt;/D&gt;&lt;D xsi:type="xsd:double"&gt;71.54&lt;/D&gt;&lt;D xsi:type="xsd:double"&gt;67.71&lt;/D&gt;&lt;D xsi:type="xsd:double"&gt;68.02&lt;/D&gt;&lt;D xsi:type="xsd:double"&gt;68.26&lt;/D&gt;&lt;D xsi:type="xsd:double"&gt;71.65&lt;/D&gt;&lt;D xsi:type="xsd:double"&gt;72.94&lt;/D&gt;&lt;D xsi:type="xsd:double"&gt;70.89&lt;/D&gt;&lt;D xsi:type="xsd:double"&gt;67.02&lt;/D&gt;&lt;D xsi:type="xsd:double"&gt;62.02&lt;/D&gt;&lt;D xsi:type="xsd:double"&gt;58.39&lt;/D&gt;&lt;D xsi:type="xsd:double"&gt;54.67&lt;/D&gt;&lt;D xsi:type="xsd:double"&gt;53.73&lt;/D&gt;&lt;D xsi:type="xsd:double"&gt;52.74&lt;/D&gt;&lt;D xsi:type="xsd:double"&gt;50.66&lt;/D&gt;&lt;D xsi:type="xsd:double"&gt;48.8&lt;/D&gt;&lt;D xsi:type="xsd:double"&gt;48.31&lt;/D&gt;&lt;D xsi:type="xsd:double"&gt;47.49&lt;/D&gt;&lt;D xsi:type="xsd:double"&gt;49.51&lt;/D&gt;&lt;D xsi:type="xsd:double"&gt;48.86&lt;/D&gt;&lt;D xsi:type="xsd:double"&gt;54.85&lt;/D&gt;&lt;D xsi:type="xsd:double"&gt;52.82&lt;/D&gt;&lt;D xsi:type="xsd:double"&gt;46.47&lt;/D&gt;&lt;D xsi:type="xsd:double"&gt;47.62&lt;/D&gt;&lt;D xsi:type="xsd:double"&gt;47.09&lt;/D&gt;&lt;D xsi:type="xsd:double"&gt;44.13&lt;/D&gt;&lt;D xsi:type="xsd:double"&gt;41.23&lt;/D&gt;&lt;D xsi:type="xsd:double"&gt;39.85&lt;/D&gt;&lt;D xsi:type="xsd:double"&gt;39.66&lt;/D&gt;&lt;D xsi:type="xsd:double"&gt;39.57&lt;/D&gt;&lt;D xsi:type="xsd:double"&gt;39.65&lt;/D&gt;&lt;D xsi:type="xsd:double"&gt;38.28&lt;/D&gt;&lt;D xsi:type="xsd:double"&gt;31.86&lt;/D&gt;&lt;D xsi:type="xsd:double"&gt;35.69&lt;/D&gt;&lt;D xsi:type="xsd:double"&gt;35.33&lt;/D&gt;&lt;D xsi:type="xsd:double"&gt;37.31&lt;/D&gt;&lt;D xsi:type="xsd:double"&gt;39.76&lt;/D&gt;&lt;D xsi:type="xsd:double"&gt;41.12&lt;/D&gt;&lt;D xsi:type="xsd:double"&gt;42.07&lt;/D&gt;&lt;D xsi:type="xsd:double"&gt;40.05&lt;/D&gt;&lt;D xsi:type="xsd:double"&gt;39.74&lt;/D&gt;&lt;D xsi:type="xsd:double"&gt;39.68&lt;/D&gt;&lt;D xsi:type="xsd:double"&gt;43.4&lt;/D&gt;&lt;D xsi:type="xsd:double"&gt;42.91&lt;/D&gt;&lt;D xsi:type="xsd:double"&gt;40.4&lt;/D&gt;&lt;D xsi:type="xsd:double"&gt;42.45&lt;/D&gt;&lt;D xsi:type="xsd:double"&gt;45.41&lt;/D&gt;&lt;D xsi:type="xsd:double"&gt;43.55&lt;/D&gt;&lt;D xsi:type="xsd:double"&gt;44.09&lt;/D&gt;&lt;D xsi:type="xsd:double"&gt;47.05&lt;/D&gt;&lt;D xsi:type="xsd:double"&gt;45.7&lt;/D&gt;&lt;D xsi:type="xsd:double"&gt;44.96&lt;/D&gt;&lt;D xsi:type="xsd:double"&gt;48.97&lt;/D&gt;&lt;D xsi:type="xsd:double"&gt;50.4&lt;/D&gt;&lt;D xsi:type="xsd:double"&gt;53.05&lt;/D&gt;&lt;D xsi:type="xsd:double"&gt;58.69&lt;/D&gt;&lt;D xsi:type="xsd:double"&gt;58.81&lt;/D&gt;&lt;D xsi:type="xsd:double"&gt;57.81&lt;/D&gt;&lt;D xsi:type="xsd:double"&gt;57.3&lt;/D&gt;&lt;D xsi:type="xsd:double"&gt;54.11&lt;/D&gt;&lt;D xsi:type="xsd:double"&gt;57.47&lt;/D&gt;&lt;D xsi:type="xsd:double"&gt;60.37&lt;/D&gt;&lt;D xsi:type="xsd:double"&gt;61.7&lt;/D&gt;&lt;D xsi:type="xsd:double"&gt;63.97&lt;/D&gt;&lt;D xsi:type="xsd:double"&gt;61.85&lt;/D&gt;&lt;D xsi:type="xsd:double"&gt;61.84&lt;/D&gt;&lt;D xsi:type="xsd:double"&gt;57.33&lt;/D&gt;&lt;D xsi:type="xsd:double"&gt;55.89&lt;/D&gt;&lt;D xsi:type="xsd:double"&gt;51.99&lt;/D&gt;&lt;D xsi:type="xsd:double"&gt;51.26&lt;/D&gt;&lt;D xsi:type="xsd:double"&gt;51.45&lt;/D&gt;&lt;D xsi:type="xsd:double"&gt;49.69&lt;/D&gt;&lt;D xsi:type="xsd:double"&gt;54.81&lt;/D&gt;&lt;D xsi:type="xsd:double"&gt;59.08&lt;/D&gt;&lt;D xsi:type="xsd:double"&gt;58.53&lt;/D&gt;&lt;D xsi:type="xsd:double"&gt;63.62&lt;/D&gt;&lt;D xsi:type="xsd:double"&gt;68.43&lt;/D&gt;&lt;D xsi:type="xsd:double"&gt;70.51&lt;/D&gt;&lt;D xsi:type="xsd:double"&gt;71.66&lt;/D&gt;&lt;/FQL&gt;&lt;FQL&gt;&lt;Q&gt;INSW-US^P_PRICE(1/4/2019,NOW,W)&lt;/Q&gt;&lt;R&gt;373&lt;/R&gt;&lt;C&gt;1&lt;/C&gt;&lt;D xsi:type="xsd:double"&gt;18.76&lt;/D&gt;&lt;D xsi:type="xsd:double"&gt;17.53&lt;/D&gt;&lt;D xsi:type="xsd:double"&gt;18.47&lt;/D&gt;&lt;D xsi:type="xsd:double"&gt;17.44&lt;/D&gt;&lt;D xsi:type="xsd:double"&gt;18&lt;/D&gt;&lt;D xsi:type="xsd:double"&gt;16.43&lt;/D&gt;&lt;D xsi:type="xsd:double"&gt;17.71&lt;/D&gt;&lt;D xsi:type="xsd:double"&gt;18.11&lt;/D&gt;&lt;D xsi:type="xsd:double"&gt;16.66&lt;/D&gt;&lt;D xsi:type="xsd:double"&gt;16.78&lt;/D&gt;&lt;D xsi:type="xsd:double"&gt;18.59&lt;/D&gt;&lt;D xsi:type="xsd:double"&gt;17.58&lt;/D&gt;&lt;D xsi:type="xsd:double"&gt;17.14&lt;/D&gt;&lt;D xsi:type="xsd:double"&gt;17.21&lt;/D&gt;&lt;D xsi:type="xsd:double"&gt;19.89&lt;/D&gt;&lt;D xsi:type="xsd:double"&gt;19.25&lt;/D&gt;&lt;D xsi:type="xsd:double"&gt;18.12&lt;/D&gt;&lt;D xsi:type="xsd:double"&gt;18.39&lt;/D&gt;&lt;D xsi:type="xsd:double"&gt;20.04&lt;/D&gt;&lt;D xsi:type="xsd:double"&gt;19.43&lt;/D&gt;&lt;D xsi:type="xsd:double"&gt;18.59&lt;/D&gt;&lt;D xsi:type="xsd:double"&gt;17.8&lt;/D&gt;&lt;D xsi:type="xsd:double"&gt;18.31&lt;/D&gt;&lt;D xsi:type="xsd:double"&gt;17.28&lt;/D&gt;&lt;D xsi:type="xsd:double"&gt;18.12&lt;/D&gt;&lt;D xsi:type="xsd:double"&gt;19&lt;/D&gt;&lt;D xsi:type="xsd:double"&gt;19.04&lt;/D&gt;&lt;D xsi:type="xsd:double"&gt;19.46&lt;/D&gt;&lt;D xsi:type="xsd:double"&gt;17.58&lt;/D&gt;&lt;D xsi:type="xsd:double"&gt;17.4&lt;/D&gt;&lt;D xsi:type="xsd:double"&gt;15.99&lt;/D&gt;&lt;D xsi:type="xsd:double"&gt;15.88&lt;/D&gt;&lt;D xsi:type="xsd:double"&gt;16.03&lt;/D&gt;&lt;D xsi:type="xsd:double"&gt;16.62&lt;/D&gt;&lt;D xsi:type="xsd:double"&gt;17.22&lt;/D&gt;&lt;D xsi:type="xsd:double"&gt;17.95&lt;/D&gt;&lt;D xsi:type="xsd:double"&gt;19.01&lt;/D&gt;&lt;D xsi:type="xsd:double"&gt;18.27&lt;/D&gt;&lt;D xsi:type="xsd:double"&gt;19.14&lt;/D&gt;&lt;D xsi:type="xsd:double"&gt;20.75&lt;/D&gt;&lt;D xsi:type="xsd:double"&gt;25.46&lt;/D&gt;&lt;D xsi:type="xsd:double"&gt;25.36&lt;/D&gt;&lt;D xsi:type="xsd:double"&gt;26.34&lt;/D&gt;&lt;D xsi:type="xsd:double"&gt;25.29&lt;/D&gt;&lt;D xsi:type="xsd:double"&gt;24.35&lt;/D&gt;&lt;D xsi:type="xsd:double"&gt;26.13&lt;/D&gt;&lt;D xsi:type="xsd:double"&gt;26.98&lt;/D&gt;&lt;D xsi:type="xsd:double"&gt;26.48&lt;/D&gt;&lt;D xsi:type="xsd:double"&gt;27.73&lt;/D&gt;&lt;D xsi:type="xsd:double"&gt;27.85&lt;/D&gt;&lt;D xsi:type="xsd:double"&gt;29.06&lt;/D&gt;&lt;D xsi:type="xsd:double"&gt;28.96&lt;/D&gt;&lt;D xsi:type="xsd:double"&gt;30&lt;/D&gt;&lt;D xsi:type="xsd:double"&gt;29.08&lt;/D&gt;&lt;D xsi:type="xsd:double"&gt;26.55&lt;/D&gt;&lt;D xsi:type="xsd:double"&gt;24.6&lt;/D&gt;&lt;D xsi:type="xsd:double"&gt;22.26&lt;/D&gt;&lt;D xsi:type="xsd:double"&gt;20.47&lt;/D&gt;&lt;D xsi:type="xsd:double"&gt;21.22&lt;/D&gt;&lt;D xsi:type="xsd:double"&gt;20.25&lt;/D&gt;&lt;D xsi:type="xsd:double"&gt;19.89&lt;/D&gt;&lt;D xsi:type="xsd:double"&gt;19.47&lt;/D&gt;&lt;D xsi:type="xsd:double"&gt;23.44&lt;/D&gt;&lt;D xsi:type="xsd:double"&gt;17.43&lt;/D&gt;&lt;D xsi:type="xsd:double"&gt;22.71&lt;/D&gt;&lt;D xsi:type="xsd:double"&gt;20.44&lt;/D&gt;&lt;D xsi:type="xsd:double"&gt;23.06&lt;/D&gt;&lt;D xsi:type="xsd:double"&gt;23.98&lt;/D&gt;&lt;D xsi:type="xsd:double"&gt;26.12&lt;/D&gt;&lt;D xsi:type="xsd:double"&gt;23.93&lt;/D&gt;&lt;D xsi:type="xsd:double"&gt;21.82&lt;/D&gt;&lt;D xsi:type="xsd:double"&gt;21.3&lt;/D&gt;&lt;D xsi:type="xsd:double"&gt;21.53&lt;/D&gt;&lt;D xsi:type="xsd:double"&gt;22.68&lt;/D&gt;&lt;D xsi:type="xsd:double"&gt;21.61&lt;/D&gt;&lt;D xsi:type="xsd:double"&gt;19.89&lt;/D&gt;&lt;D xsi:type="xsd:double"&gt;18.49&lt;/D&gt;&lt;D xsi:type="xsd:double"&gt;16.05&lt;/D&gt;&lt;D xsi:type="xsd:double"&gt;15.73&lt;/D&gt;&lt;D xsi:type="xsd:double"&gt;16.52&lt;/D&gt;&lt;D xsi:type="xsd:double"&gt;16.52&lt;/D&gt;&lt;D xsi:type="xsd:double"&gt;17.13&lt;/D&gt;&lt;D xsi:type="xsd:double"&gt;17.27&lt;/D&gt;&lt;D xsi:type="xsd:double"&gt;17.39&lt;/D&gt;&lt;D xsi:type="xsd:double"&gt;19.05&lt;/D&gt;&lt;D xsi:type="xsd:double"&gt;17.83&lt;/D&gt;&lt;D xsi:type="xsd:double"&gt;16.93&lt;/D&gt;&lt;D xsi:type="xsd:double"&gt;15.78&lt;/D&gt;&lt;D xsi:type="xsd:double"&gt;16.88&lt;/D&gt;&lt;D xsi:type="xsd:double"&gt;16.52&lt;/D&gt;&lt;D xsi:type="xsd:double"&gt;14.43&lt;/D&gt;&lt;D xsi:type="xsd:double"&gt;15.06&lt;/D&gt;&lt;D xsi:type="xsd:double"&gt;15.74&lt;/D&gt;&lt;D xsi:type="xsd:double"&gt;15.6&lt;/D&gt;&lt;D xsi:type="xsd:double"&gt;14.13&lt;/D&gt;&lt;D xsi:type="xsd:double"&gt;13.54&lt;/D&gt;&lt;D xsi:type="xsd:double"&gt;14.55&lt;/D&gt;&lt;D xsi:type="xsd:double"&gt;15.93&lt;/D&gt;&lt;D xsi:type="xsd:double"&gt;17.06&lt;/D&gt;&lt;D xsi:type="xsd:double"&gt;17.76&lt;/D&gt;&lt;D xsi:type="xsd:double"&gt;18.36&lt;/D&gt;&lt;D xsi:type="xsd:double"&gt;18.66&lt;/D&gt;&lt;D xsi:type="xsd:double"&gt;17.08&lt;/D&gt;&lt;D xsi:type="xsd:double"&gt;16.55&lt;/D&gt;&lt;D xsi:type="xsd:double"&gt;16.33&lt;/D&gt;&lt;D xsi:type="xsd:double"&gt;18.58&lt;/D&gt;&lt;D xsi:type="xsd:double"&gt;18.07&lt;/D&gt;&lt;D xsi:type="xsd:double"&gt;17.23&lt;/D&gt;&lt;D xsi:type="xsd:double"&gt;16.01&lt;/D&gt;&lt;D xsi:type="xsd:double"&gt;17.72&lt;/D&gt;&lt;D xsi:type="xsd:double"&gt;20.15&lt;/D&gt;&lt;D xsi:type="xsd:double"&gt;19.8&lt;/D&gt;&lt;D xsi:type="xsd:double"&gt;17.34&lt;/D&gt;&lt;D xsi:type="xsd:double"&gt;18.51&lt;/D&gt;&lt;D xsi:type="xsd:double"&gt;19.54&lt;/D&gt;&lt;D xsi:type="xsd:double"&gt;20.7&lt;/D&gt;&lt;D xsi:type="xsd:double"&gt;20.01&lt;/D&gt;&lt;D xsi:type="xsd:double"&gt;19.08&lt;/D&gt;&lt;D xsi:type="xsd:double"&gt;19.15&lt;/D&gt;&lt;D xsi:type="xsd:double"&gt;18.01&lt;/D&gt;&lt;D xsi:type="xsd:double"&gt;17.7&lt;/D&gt;&lt;D xsi:type="xsd:double"&gt;17.68&lt;/D&gt;&lt;D xsi:type="xsd:double"&gt;20.45&lt;/D&gt;&lt;D xsi:type="xsd:double"&gt;20.07&lt;/D&gt;&lt;D xsi:type="xsd:double"&gt;21.09&lt;/D&gt;&lt;D xsi:type="xsd:double"&gt;20.04&lt;/D&gt;&lt;D xsi:type="xsd:double"&gt;19.88&lt;/D&gt;&lt;D xsi:type="xsd:double"&gt;20.19&lt;/D&gt;&lt;D xsi:type="xsd:double"&gt;19.38&lt;/D&gt;&lt;D xsi:type="xsd:double"&gt;20.36&lt;/D&gt;&lt;D xsi:type="xsd:double"&gt;19.5&lt;/D&gt;&lt;D xsi:type="xsd:double"&gt;19.05&lt;/D&gt;&lt;D xsi:type="xsd:double"&gt;16&lt;/D&gt;&lt;D xsi:type="xsd:double"&gt;16.73&lt;/D&gt;&lt;D xsi:type="xsd:double"&gt;16.45&lt;/D&gt;&lt;D xsi:type="xsd:double"&gt;16.07&lt;/D&gt;&lt;D xsi:type="xsd:double"&gt;16.02&lt;/D&gt;&lt;D xsi:type="xsd:double"&gt;15.94&lt;/D&gt;&lt;D xsi:type="xsd:double"&gt;17.07&lt;/D&gt;&lt;D xsi:type="xsd:double"&gt;18.13&lt;/D&gt;&lt;D xsi:type="xsd:double"&gt;17.46&lt;/D&gt;&lt;D xsi:type="xsd:double"&gt;16.69&lt;/D&gt;&lt;D xsi:type="xsd:double"&gt;17.55&lt;/D&gt;&lt;D xsi:type="xsd:double"&gt;19.01&lt;/D&gt;&lt;D xsi:type="xsd:double"&gt;17.19&lt;/D&gt;&lt;D xsi:type="xsd:double"&gt;17.06&lt;/D&gt;&lt;D xsi:type="xsd:double"&gt;18.2&lt;/D&gt;&lt;D xsi:type="xsd:double"&gt;17.55&lt;/D&gt;&lt;D xsi:type="xsd:double"&gt;18.75&lt;/D&gt;&lt;D xsi:type="xsd:double"&gt;18.14&lt;/D&gt;&lt;D xsi:type="xsd:double"&gt;15.59&lt;/D&gt;&lt;D xsi:type="xsd:double"&gt;15.01&lt;/D&gt;&lt;D xsi:type="xsd:double"&gt;14.36&lt;/D&gt;&lt;D xsi:type="xsd:double"&gt;15.99&lt;/D&gt;&lt;D xsi:type="xsd:double"&gt;15.24&lt;/D&gt;&lt;D xsi:type="xsd:double"&gt;14.7&lt;/D&gt;&lt;D xsi:type="xsd:double"&gt;14.68&lt;/D&gt;&lt;D xsi:type="xsd:double"&gt;15.21&lt;/D&gt;&lt;D xsi:type="xsd:double"&gt;15.31&lt;/D&gt;&lt;D xsi:type="xsd:double"&gt;13.77&lt;/D&gt;&lt;D xsi:type="xsd:double"&gt;14.31&lt;/D&gt;&lt;D xsi:type="xsd:double"&gt;15.01&lt;/D&gt;&lt;D xsi:type="xsd:double"&gt;16.26&lt;/D&gt;&lt;D xsi:type="xsd:double"&gt;16.29&lt;/D&gt;&lt;D xsi:type="xsd:double"&gt;17.96&lt;/D&gt;&lt;D xsi:type="xsd:double"&gt;18.49&lt;/D&gt;&lt;D xsi:type="xsd:double"&gt;17.13&lt;/D&gt;&lt;D xsi:type="xsd:double"&gt;16.78&lt;/D&gt;&lt;D xsi:type="xsd:double"&gt;17.64&lt;/D&gt;&lt;D xsi:type="xsd:double"&gt;18.85&lt;/D&gt;&lt;D xsi:type="xsd:double"&gt;19.8&lt;/D&gt;&lt;D xsi:type="xsd:double"&gt;20.67&lt;/D&gt;&lt;D xsi:type="xsd:double"&gt;20.36&lt;/D&gt;&lt;D xsi:type="xsd:double"&gt;21.13&lt;/D&gt;&lt;D xsi:type="xsd:double"&gt;22.77&lt;/D&gt;&lt;D xsi:type="xsd:double"&gt;21.94&lt;/D&gt;&lt;D xsi:type="xsd:double"&gt;23.47&lt;/D&gt;&lt;D xsi:type="xsd:double"&gt;24.51&lt;/D&gt;&lt;D xsi:type="xsd:double"&gt;24.45&lt;/D&gt;&lt;D xsi:type="xsd:double"&gt;23.98&lt;/D&gt;&lt;D xsi:type="xsd:double"&gt;21&lt;/D&gt;&lt;D xsi:type="xsd:double"&gt;20.33&lt;/D&gt;&lt;D xsi:type="xsd:double"&gt;21.16&lt;/D&gt;&lt;D xsi:type="xsd:double"&gt;18.65&lt;/D&gt;&lt;D xsi:type="xsd:double"&gt;20.32&lt;/D&gt;&lt;D xsi:type="xsd:double"&gt;21.68&lt;/D&gt;&lt;D xsi:type="xsd:double"&gt;23.65&lt;/D&gt;&lt;D xsi:type="xsd:double"&gt;24.78&lt;/D&gt;&lt;D xsi:type="xsd:double"&gt;28.48&lt;/D&gt;&lt;D xsi:type="xsd:double"&gt;29.83&lt;/D&gt;&lt;D xsi:type="xsd:double"&gt;29.68&lt;/D&gt;&lt;D xsi:type="xsd:double"&gt;30.64&lt;/D&gt;&lt;D xsi:type="xsd:double"&gt;32.53&lt;/D&gt;&lt;D xsi:type="xsd:double"&gt;33.59&lt;/D&gt;&lt;D xsi:type="xsd:double"&gt;33.68&lt;/D&gt;&lt;D xsi:type="xsd:double"&gt;35.13&lt;/D&gt;&lt;D xsi:type="xsd:double"&gt;34.26&lt;/D&gt;&lt;D xsi:type="xsd:double"&gt;38.4&lt;/D&gt;&lt;D xsi:type="xsd:double"&gt;40.37&lt;/D&gt;&lt;D xsi:type="xsd:double"&gt;41.15&lt;/D&gt;&lt;D xsi:type="xsd:double"&gt;44.95&lt;/D&gt;&lt;D xsi:type="xsd:double"&gt;43.3&lt;/D&gt;&lt;D xsi:type="xsd:double"&gt;45.9&lt;/D&gt;&lt;D xsi:type="xsd:double"&gt;44.74&lt;/D&gt;&lt;D xsi:type="xsd:double"&gt;43.56&lt;/D&gt;&lt;D xsi:type="xsd:double"&gt;38.36&lt;/D&gt;&lt;D xsi:type="xsd:double"&gt;38.67&lt;/D&gt;&lt;D xsi:type="xsd:double"&gt;37.92&lt;/D&gt;&lt;D xsi:type="xsd:double"&gt;37.02&lt;/D&gt;&lt;D xsi:type="xsd:double"&gt;34.5&lt;/D&gt;&lt;D xsi:type="xsd:double"&gt;37.97&lt;/D&gt;&lt;D xsi:type="xsd:double"&gt;39&lt;/D&gt;&lt;D xsi:type="xsd:double"&gt;37.86&lt;/D&gt;&lt;D xsi:type="xsd:double"&gt;40.2&lt;/D&gt;&lt;D xsi:type="xsd:double"&gt;43.34&lt;/D&gt;&lt;D xsi:type="xsd:double"&gt;44.71&lt;/D&gt;&lt;D xsi:type="xsd:double"&gt;47.09&lt;/D&gt;&lt;D xsi:type="xsd:double"&gt;52.88&lt;/D&gt;&lt;D xsi:type="xsd:double"&gt;47.46&lt;/D&gt;&lt;D xsi:type="xsd:double"&gt;40.72&lt;/D&gt;&lt;D xsi:type="xsd:double"&gt;42.16&lt;/D&gt;&lt;D xsi:type="xsd:double"&gt;41.68&lt;/D&gt;&lt;D xsi:type="xsd:double"&gt;37.95&lt;/D&gt;&lt;D xsi:type="xsd:double"&gt;40.21&lt;/D&gt;&lt;D xsi:type="xsd:double"&gt;40.03&lt;/D&gt;&lt;D xsi:type="xsd:double"&gt;39.82&lt;/D&gt;&lt;D xsi:type="xsd:double"&gt;37.75&lt;/D&gt;&lt;D xsi:type="xsd:double"&gt;39.15&lt;/D&gt;&lt;D xsi:type="xsd:double"&gt;38.82&lt;/D&gt;&lt;D xsi:type="xsd:double"&gt;37.81&lt;/D&gt;&lt;D xsi:type="xsd:double"&gt;37.82&lt;/D&gt;&lt;D xsi:type="xsd:double"&gt;36.83&lt;/D&gt;&lt;D xsi:type="xsd:double"&gt;37.65&lt;/D&gt;&lt;D xsi:type="xsd:double"&gt;37.46&lt;/D&gt;&lt;D xsi:type="xsd:double"&gt;38.24&lt;/D&gt;&lt;D xsi:type="xsd:double"&gt;38.28&lt;/D&gt;&lt;D xsi:type="xsd:double"&gt;35.91&lt;/D&gt;&lt;D xsi:type="xsd:double"&gt;36.72&lt;/D&gt;&lt;D xsi:type="xsd:double"&gt;41.66&lt;/D&gt;&lt;D xsi:type="xsd:double"&gt;43.96&lt;/D&gt;&lt;D xsi:type="xsd:double"&gt;45.23&lt;/D&gt;&lt;D xsi:type="xsd:double"&gt;46.71&lt;/D&gt;&lt;D xsi:type="xsd:double"&gt;44.4&lt;/D&gt;&lt;D xsi:type="xsd:double"&gt;43.15&lt;/D&gt;&lt;D xsi:type="xsd:double"&gt;43.47&lt;/D&gt;&lt;D xsi:type="xsd:double"&gt;40.97&lt;/D&gt;&lt;D xsi:type="xsd:double"&gt;42.57&lt;/D&gt;&lt;D xsi:type="xsd:double"&gt;45&lt;/D&gt;&lt;D xsi:type="xsd:double"&gt;42.71&lt;/D&gt;&lt;D xsi:type="xsd:double"&gt;45.89&lt;/D&gt;&lt;D xsi:type="xsd:double"&gt;45.1&lt;/D&gt;&lt;D xsi:type="xsd:double"&gt;49.22&lt;/D&gt;&lt;D xsi:type="xsd:double"&gt;49.5&lt;/D&gt;&lt;D xsi:type="xsd:double"&gt;47.6&lt;/D&gt;&lt;D xsi:type="xsd:double"&gt;46.59&lt;/D&gt;&lt;D xsi:type="xsd:double"&gt;47.18&lt;/D&gt;&lt;D xsi:type="xsd:double"&gt;46.76&lt;/D&gt;&lt;D xsi:type="xsd:double"&gt;44.48&lt;/D&gt;&lt;D xsi:type="xsd:double"&gt;44.63&lt;/D&gt;&lt;D xsi:type="xsd:double"&gt;48.25&lt;/D&gt;&lt;D xsi:type="xsd:double"&gt;45.48&lt;/D&gt;&lt;D xsi:type="xsd:double"&gt;48.84&lt;/D&gt;&lt;D xsi:type="xsd:double"&gt;51.11&lt;/D&gt;&lt;D xsi:type="xsd:double"&gt;52.48&lt;/D&gt;&lt;D xsi:type="xsd:double"&gt;53.65&lt;/D&gt;&lt;D xsi:type="xsd:double"&gt;51.74&lt;/D&gt;&lt;D xsi:type="xsd:double"&gt;51.43&lt;/D&gt;&lt;D xsi:type="xsd:double"&gt;52.96&lt;/D&gt;&lt;D xsi:type="xsd:double"&gt;51.45&lt;/D&gt;&lt;D xsi:type="xsd:double"&gt;53.99&lt;/D&gt;&lt;D xsi:type="xsd:double"&gt;53.12&lt;/D&gt;&lt;D xsi:type="xsd:double"&gt;52.1&lt;/D&gt;&lt;D xsi:type="xsd:double"&gt;52.79&lt;/D&gt;&lt;D xsi:type="xsd:double"&gt;53.2&lt;/D&gt;&lt;D xsi:type="xsd:double"&gt;53.76&lt;/D&gt;&lt;D xsi:type="xsd:double"&gt;52.16&lt;/D&gt;&lt;D xsi:type="xsd:double"&gt;53.03&lt;/D&gt;&lt;D xsi:type="xsd:double"&gt;55.13&lt;/D&gt;&lt;D xsi:type="xsd:double"&gt;56.17&lt;/D&gt;&lt;D xsi:type="xsd:double"&gt;61.42&lt;/D&gt;&lt;D xsi:type="xsd:double"&gt;63.31&lt;/D&gt;&lt;D xsi:type="xsd:double"&gt;65.13&lt;/D&gt;&lt;D xsi:type="xsd:double"&gt;64.42&lt;/D&gt;&lt;D xsi:type="xsd:double"&gt;61.66&lt;/D&gt;&lt;D xsi:type="xsd:double"&gt;54.89&lt;/D&gt;&lt;D xsi:type="xsd:double"&gt;59.91&lt;/D&gt;&lt;D xsi:type="xsd:double"&gt;59.13&lt;/D&gt;&lt;D xsi:type="xsd:double"&gt;58.33&lt;/D&gt;&lt;D xsi:type="xsd:double"&gt;55.69&lt;/D&gt;&lt;D xsi:type="xsd:double"&gt;56.17&lt;/D&gt;&lt;D xsi:type="xsd:double"&gt;54.84&lt;/D&gt;&lt;D xsi:type="xsd:double"&gt;51.85&lt;/D&gt;&lt;D xsi:type="xsd:double"&gt;49.12&lt;/D&gt;&lt;D xsi:type="xsd:double"&gt;50.69&lt;/D&gt;&lt;D xsi:type="xsd:double"&gt;50.88&lt;/D&gt;&lt;D xsi:type="xsd:double"&gt;51.83&lt;/D&gt;&lt;D xsi:type="xsd:double"&gt;49.86&lt;/D&gt;&lt;D xsi:type="xsd:double"&gt;49.32&lt;/D&gt;&lt;D xsi:type="xsd:double"&gt;50.24&lt;/D&gt;&lt;D xsi:type="xsd:double"&gt;51.82&lt;/D&gt;&lt;D xsi:type="xsd:double"&gt;53.5&lt;/D&gt;&lt;D xsi:type="xsd:double"&gt;51.93&lt;/D&gt;&lt;D xsi:type="xsd:double"&gt;49.98&lt;/D&gt;&lt;D xsi:type="xsd:double"&gt;45.44&lt;/D&gt;&lt;D xsi:type="xsd:double"&gt;43.57&lt;/D&gt;&lt;D xsi:type="xsd:double"&gt;43.08&lt;/D&gt;&lt;D xsi:type="xsd:double"&gt;41.23&lt;/D&gt;&lt;D xsi:type="xsd:double"&gt;41.4&lt;/D&gt;&lt;D xsi:type="xsd:double"&gt;39&lt;/D&gt;&lt;D xsi:type="xsd:double"&gt;37.06&lt;/D&gt;&lt;D xsi:type="xsd:double"&gt;34.97&lt;/D&gt;&lt;D xsi:type="xsd:double"&gt;32.53&lt;/D&gt;&lt;D xsi:type="xsd:double"&gt;35.79&lt;/D&gt;&lt;D xsi:type="xsd:double"&gt;35.4&lt;/D&gt;&lt;D xsi:type="xsd:double"&gt;40.67&lt;/D&gt;&lt;D xsi:type="xsd:double"&gt;38.45&lt;/D&gt;&lt;D xsi:type="xsd:double"&gt;35.78&lt;/D&gt;&lt;D xsi:type="xsd:double"&gt;38.95&lt;/D&gt;&lt;D xsi:type="xsd:double"&gt;39.34&lt;/D&gt;&lt;D xsi:type="xsd:double"&gt;38.23&lt;/D&gt;&lt;D xsi:type="xsd:double"&gt;36.73&lt;/D&gt;&lt;D xsi:type="xsd:double"&gt;33.33&lt;/D&gt;&lt;D xsi:type="xsd:double"&gt;35.11&lt;/D&gt;&lt;D xsi:type="xsd:double"&gt;33.55&lt;/D&gt;&lt;D xsi:type="xsd:double"&gt;33.8&lt;/D&gt;&lt;D xsi:type="xsd:double"&gt;33.14&lt;/D&gt;&lt;D xsi:type="xsd:double"&gt;28.76&lt;/D&gt;&lt;D xsi:type="xsd:double"&gt;33.24&lt;/D&gt;&lt;D xsi:type="xsd:double"&gt;33.34&lt;/D&gt;&lt;D xsi:type="xsd:double"&gt;33.94&lt;/D&gt;&lt;D xsi:type="xsd:double"&gt;34.91&lt;/D&gt;&lt;D xsi:type="xsd:double"&gt;37.68&lt;/D&gt;&lt;D xsi:type="xsd:double"&gt;39.24&lt;/D&gt;&lt;D xsi:type="xsd:double"&gt;37.35&lt;/D&gt;&lt;D xsi:type="xsd:double"&gt;37.05&lt;/D&gt;&lt;D xsi:type="xsd:double"&gt;37.35&lt;/D&gt;&lt;D xsi:type="xsd:double"&gt;39.91&lt;/D&gt;&lt;D xsi:type="xsd:double"&gt;40.16&lt;/D&gt;&lt;D xsi:type="xsd:double"&gt;37.02&lt;/D&gt;&lt;D xsi:type="xsd:double"&gt;39.33&lt;/D&gt;&lt;D xsi:type="xsd:double"&gt;40.04&lt;/D&gt;&lt;D xsi:type="xsd:double"&gt;38.88&lt;/D&gt;&lt;D xsi:type="xsd:double"&gt;40.27&lt;/D&gt;&lt;D xsi:type="xsd:double"&gt;40.19&lt;/D&gt;&lt;D xsi:type="xsd:double"&gt;42.86&lt;/D&gt;&lt;D xsi:type="xsd:double"&gt;41.64&lt;/D&gt;&lt;D xsi:type="xsd:double"&gt;44.73&lt;/D&gt;&lt;D xsi:type="xsd:double"&gt;45.42&lt;/D&gt;&lt;D xsi:type="xsd:double"&gt;46.79&lt;/D&gt;&lt;D xsi:type="xsd:double"&gt;47.11&lt;/D&gt;&lt;D xsi:type="xsd:double"&gt;47.61&lt;/D&gt;&lt;D xsi:type="xsd:double"&gt;47.22&lt;/D&gt;&lt;D xsi:type="xsd:double"&gt;47.09&lt;/D&gt;&lt;D xsi:type="xsd:double"&gt;43.5&lt;/D&gt;&lt;D xsi:type="xsd:double"&gt;46.11&lt;/D&gt;&lt;D xsi:type="xsd:double"&gt;48.27&lt;/D&gt;&lt;D xsi:type="xsd:double"&gt;51.23&lt;/D&gt;&lt;D xsi:type="xsd:double"&gt;53.31&lt;/D&gt;&lt;D xsi:type="xsd:double"&gt;53.98&lt;/D&gt;&lt;D xsi:type="xsd:double"&gt;54.49&lt;/D&gt;&lt;D xsi:type="xsd:double"&gt;52.97&lt;/D&gt;&lt;D xsi:type="xsd:double"&gt;51.13&lt;/D&gt;&lt;D xsi:type="xsd:double"&gt;48.55&lt;/D&gt;&lt;D xsi:type="xsd:double"&gt;48.37&lt;/D&gt;&lt;D xsi:type="xsd:double"&gt;48.54&lt;/D&gt;&lt;D xsi:type="xsd:double"&gt;46.99&lt;/D&gt;&lt;D xsi:type="xsd:double"&gt;54.41&lt;/D&gt;&lt;D xsi:type="xsd:double"&gt;56.37&lt;/D&gt;&lt;D xsi:type="xsd:double"&gt;57.26&lt;/D&gt;&lt;D xsi:type="xsd:double"&gt;59.65&lt;/D&gt;&lt;D xsi:type="xsd:double"&gt;61.06&lt;/D&gt;&lt;D xsi:type="xsd:double"&gt;63.95&lt;/D&gt;&lt;D xsi:type="xsd:double"&gt;67.47&lt;/D&gt;&lt;/FQL&gt;&lt;FQL&gt;&lt;Q&gt;DHT-US^P_PRICE(1/4/2019,NOW,W)&lt;/Q&gt;&lt;R&gt;373&lt;/R&gt;&lt;C&gt;1&lt;/C&gt;&lt;D xsi:type="xsd:double"&gt;4.26&lt;/D&gt;&lt;D xsi:type="xsd:double"&gt;4.28&lt;/D&gt;&lt;D xsi:type="xsd:double"&gt;4.37&lt;/D&gt;&lt;D xsi:type="xsd:double"&gt;4.13&lt;/D&gt;&lt;D xsi:type="xsd:double"&gt;3.99&lt;/D&gt;&lt;D xsi:type="xsd:double"&gt;3.9&lt;/D&gt;&lt;D xsi:type="xsd:double"&gt;4.24&lt;/D&gt;&lt;D xsi:type="xsd:double"&gt;4.28&lt;/D&gt;&lt;D xsi:type="xsd:double"&gt;4.42&lt;/D&gt;&lt;D xsi:type="xsd:double"&gt;4.36&lt;/D&gt;&lt;D xsi:type="xsd:double"&gt;4.56&lt;/D&gt;&lt;D xsi:type="xsd:double"&gt;4.53&lt;/D&gt;&lt;D xsi:type="xsd:double"&gt;4.46&lt;/D&gt;&lt;D xsi:type="xsd:double"&gt;4.63&lt;/D&gt;&lt;D xsi:type="xsd:double"&gt;5.06&lt;/D&gt;&lt;D xsi:type="xsd:double"&gt;4.91&lt;/D&gt;&lt;D xsi:type="xsd:double"&gt;5.2&lt;/D&gt;&lt;D xsi:type="xsd:double"&gt;5.7&lt;/D&gt;&lt;D xsi:type="xsd:double"&gt;5.8&lt;/D&gt;&lt;D xsi:type="xsd:double"&gt;6.03&lt;/D&gt;&lt;D xsi:type="xsd:double"&gt;5.71&lt;/D&gt;&lt;D xsi:type="xsd:double"&gt;5.56&lt;/D&gt;&lt;D xsi:type="xsd:double"&gt;5.73&lt;/D&gt;&lt;D xsi:type="xsd:double"&gt;5.44&lt;/D&gt;&lt;D xsi:type="xsd:double"&gt;5.54&lt;/D&gt;&lt;D xsi:type="xsd:double"&gt;5.91&lt;/D&gt;&lt;D xsi:type="xsd:double"&gt;6.04&lt;/D&gt;&lt;D xsi:type="xsd:double"&gt;5.98&lt;/D&gt;&lt;D xsi:type="xsd:double"&gt;5.84&lt;/D&gt;&lt;D xsi:type="xsd:double"&gt;5.91&lt;/D&gt;&lt;D xsi:type="xsd:double"&gt;5.51&lt;/D&gt;&lt;D xsi:type="x</t>
        </r>
      </text>
    </comment>
    <comment ref="A3" authorId="0" shapeId="0" xr:uid="{00000000-0006-0000-00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>sd:double"&gt;5.28&lt;/D&gt;&lt;D xsi:type="xsd:double"&gt;5.32&lt;/D&gt;&lt;D xsi:type="xsd:double"&gt;5.49&lt;/D&gt;&lt;D xsi:type="xsd:double"&gt;5.62&lt;/D&gt;&lt;D xsi:type="xsd:double"&gt;5.73&lt;/D&gt;&lt;D xsi:type="xsd:double"&gt;6.07&lt;/D&gt;&lt;D xsi:type="xsd:double"&gt;6.01&lt;/D&gt;&lt;D xsi:type="xsd:double"&gt;6.03&lt;/D&gt;&lt;D xsi:type="xsd:double"&gt;6.88&lt;/D&gt;&lt;D xsi:type="xsd:double"&gt;7.47&lt;/D&gt;&lt;D xsi:type="xsd:double"&gt;7.19&lt;/D&gt;&lt;D xsi:type="xsd:double"&gt;7.76&lt;/D&gt;&lt;D xsi:type="xsd:double"&gt;7.79&lt;/D&gt;&lt;D xsi:type="xsd:double"&gt;7.21&lt;/D&gt;&lt;D xsi:type="xsd:double"&gt;7.72&lt;/D&gt;&lt;D xsi:type="xsd:double"&gt;7.44&lt;/D&gt;&lt;D xsi:type="xsd:double"&gt;7.34&lt;/D&gt;&lt;D xsi:type="xsd:double"&gt;7.36&lt;/D&gt;&lt;D xsi:type="xsd:double"&gt;7.21&lt;/D&gt;&lt;D xsi:type="xsd:double"&gt;7.59&lt;/D&gt;&lt;D xsi:type="xsd:double"&gt;7.92&lt;/D&gt;&lt;D xsi:type="xsd:double"&gt;8.59&lt;/D&gt;&lt;D xsi:type="xsd:double"&gt;7.89&lt;/D&gt;&lt;D xsi:type="xsd:double"&gt;7.51&lt;/D&gt;&lt;D xsi:type="xsd:double"&gt;6.71&lt;/D&gt;&lt;D xsi:type="xsd:double"&gt;5.63&lt;/D&gt;&lt;D xsi:type="xsd:double"&gt;5.35&lt;/D&gt;&lt;D xsi:type="xsd:double"&gt;5.59&lt;/D&gt;&lt;D xsi:type="xsd:double"&gt;5.51&lt;/D&gt;&lt;D xsi:type="xsd:double"&gt;5.55&lt;/D&gt;&lt;D xsi:type="xsd:double"&gt;5.15&lt;/D&gt;&lt;D xsi:type="xsd:double"&gt;6.6&lt;/D&gt;&lt;D xsi:type="xsd:double"&gt;5.53&lt;/D&gt;&lt;D xsi:type="xsd:double"&gt;6.9&lt;/D&gt;&lt;D xsi:type="xsd:double"&gt;6.06&lt;/D&gt;&lt;D xsi:type="xsd:double"&gt;6.52&lt;/D&gt;&lt;D xsi:type="xsd:double"&gt;7.58&lt;/D&gt;&lt;D xsi:type="xsd:double"&gt;7.72&lt;/D&gt;&lt;D xsi:type="xsd:double"&gt;7.1&lt;/D&gt;&lt;D xsi:type="xsd:double"&gt;6.72&lt;/D&gt;&lt;D xsi:type="xsd:double"&gt;6.32&lt;/D&gt;&lt;D xsi:type="xsd:double"&gt;5.69&lt;/D&gt;&lt;D xsi:type="xsd:double"&gt;5.94&lt;/D&gt;&lt;D xsi:type="xsd:double"&gt;5.89&lt;/D&gt;&lt;D xsi:type="xsd:double"&gt;5.91&lt;/D&gt;&lt;D xsi:type="xsd:double"&gt;5.32&lt;/D&gt;&lt;D xsi:type="xsd:double"&gt;5.04&lt;/D&gt;&lt;D xsi:type="xsd:double"&gt;5.1&lt;/D&gt;&lt;D xsi:type="xsd:double"&gt;5.44&lt;/D&gt;&lt;D xsi:type="xsd:double"&gt;5.38&lt;/D&gt;&lt;D xsi:type="xsd:double"&gt;5.51&lt;/D&gt;&lt;D xsi:type="xsd:double"&gt;5.68&lt;/D&gt;&lt;D xsi:type="xsd:double"&gt;5.73&lt;/D&gt;&lt;D xsi:type="xsd:double"&gt;6.2&lt;/D&gt;&lt;D xsi:type="xsd:double"&gt;6.21&lt;/D&gt;&lt;D xsi:type="xsd:double"&gt;5.28&lt;/D&gt;&lt;D xsi:type="xsd:double"&gt;5.25&lt;/D&gt;&lt;D xsi:type="xsd:double"&gt;5.78&lt;/D&gt;&lt;D xsi:type="xsd:double"&gt;5.64&lt;/D&gt;&lt;D xsi:type="xsd:double"&gt;5.13&lt;/D&gt;&lt;D xsi:type="xsd:double"&gt;5.18&lt;/D&gt;&lt;D xsi:type="xsd:double"&gt;5.36&lt;/D&gt;&lt;D xsi:type="xsd:double"&gt;5.17&lt;/D&gt;&lt;D xsi:type="xsd:double"&gt;5.04&lt;/D&gt;&lt;D xsi:type="xsd:double"&gt;4.81&lt;/D&gt;&lt;D xsi:type="xsd:double"&gt;5&lt;/D&gt;&lt;D xsi:type="xsd:double"&gt;5.29&lt;/D&gt;&lt;D xsi:type="xsd:double"&gt;5.12&lt;/D&gt;&lt;D xsi:type="xsd:double"&gt;5.28&lt;/D&gt;&lt;D xsi:type="xsd:double"&gt;5.53&lt;/D&gt;&lt;D xsi:type="xsd:double"&gt;5.55&lt;/D&gt;&lt;D xsi:type="xsd:double"&gt;5.33&lt;/D&gt;&lt;D xsi:type="xsd:double"&gt;5.36&lt;/D&gt;&lt;D xsi:type="xsd:double"&gt;5.23&lt;/D&gt;&lt;D xsi:type="xsd:double"&gt;5.73&lt;/D&gt;&lt;D xsi:type="xsd:double"&gt;5.69&lt;/D&gt;&lt;D xsi:type="xsd:double"&gt;5.51&lt;/D&gt;&lt;D xsi:type="xsd:double"&gt;5.37&lt;/D&gt;&lt;D xsi:type="xsd:double"&gt;5.97&lt;/D&gt;&lt;D xsi:type="xsd:double"&gt;5.95&lt;/D&gt;&lt;D xsi:type="xsd:double"&gt;5.83&lt;/D&gt;&lt;D xsi:type="xsd:double"&gt;5.58&lt;/D&gt;&lt;D xsi:type="xsd:double"&gt;5.71&lt;/D&gt;&lt;D xsi:type="xsd:double"&gt;6.25&lt;/D&gt;&lt;D xsi:type="xsd:double"&gt;6.45&lt;/D&gt;&lt;D xsi:type="xsd:double"&gt;6.51&lt;/D&gt;&lt;D xsi:type="xsd:double"&gt;6.05&lt;/D&gt;&lt;D xsi:type="xsd:double"&gt;6.07&lt;/D&gt;&lt;D xsi:type="xsd:double"&gt;5.84&lt;/D&gt;&lt;D xsi:type="xsd:double"&gt;5.83&lt;/D&gt;&lt;D xsi:type="xsd:double"&gt;5.9&lt;/D&gt;&lt;D xsi:type="xsd:double"&gt;5.89&lt;/D&gt;&lt;D xsi:type="xsd:double"&gt;5.82&lt;/D&gt;&lt;D xsi:type="xsd:double"&gt;6.29&lt;/D&gt;&lt;D xsi:type="xsd:double"&gt;6.4&lt;/D&gt;&lt;D xsi:type="xsd:double"&gt;6.15&lt;/D&gt;&lt;D xsi:type="xsd:double"&gt;6.5&lt;/D&gt;&lt;D xsi:type="xsd:double"&gt;6.34&lt;/D&gt;&lt;D xsi:type="xsd:double"&gt;6.67&lt;/D&gt;&lt;D xsi:type="xsd:double"&gt;6.57&lt;/D&gt;&lt;D xsi:type="xsd:double"&gt;6.3&lt;/D&gt;&lt;D xsi:type="xsd:double"&gt;5.79&lt;/D&gt;&lt;D xsi:type="xsd:double"&gt;5.78&lt;/D&gt;&lt;D xsi:type="xsd:double"&gt;5.8&lt;/D&gt;&lt;D xsi:type="xsd:double"&gt;5.48&lt;/D&gt;&lt;D xsi:type="xsd:double"&gt;5.4&lt;/D&gt;&lt;D xsi:type="xsd:double"&gt;5.32&lt;/D&gt;&lt;D xsi:type="xsd:double"&gt;5.49&lt;/D&gt;&lt;D xsi:type="xsd:double"&gt;5.83&lt;/D&gt;&lt;D xsi:type="xsd:double"&gt;5.81&lt;/D&gt;&lt;D xsi:type="xsd:double"&gt;5.8&lt;/D&gt;&lt;D xsi:type="xsd:double"&gt;6.07&lt;/D&gt;&lt;D xsi:type="xsd:double"&gt;6.71&lt;/D&gt;&lt;D xsi:type="xsd:double"&gt;6.43&lt;/D&gt;&lt;D xsi:type="xsd:double"&gt;6.66&lt;/D&gt;&lt;D xsi:type="xsd:double"&gt;6.72&lt;/D&gt;&lt;D xsi:type="xsd:double"&gt;6.51&lt;/D&gt;&lt;D xsi:type="xsd:double"&gt;6.27&lt;/D&gt;&lt;D xsi:type="xsd:double"&gt;6.3&lt;/D&gt;&lt;D xsi:type="xsd:double"&gt;5.7&lt;/D&gt;&lt;D xsi:type="xsd:double"&gt;5.59&lt;/D&gt;&lt;D xsi:type="xsd:double"&gt;5.23&lt;/D&gt;&lt;D xsi:type="xsd:double"&gt;5.48&lt;/D&gt;&lt;D xsi:type="xsd:double"&gt;5.25&lt;/D&gt;&lt;D xsi:type="xsd:double"&gt;5.25&lt;/D&gt;&lt;D xsi:type="xsd:double"&gt;5.19&lt;/D&gt;&lt;D xsi:type="xsd:double"&gt;5.34&lt;/D&gt;&lt;D xsi:type="xsd:double"&gt;5.6&lt;/D&gt;&lt;D xsi:type="xsd:double"&gt;4.93&lt;/D&gt;&lt;D xsi:type="xsd:double"&gt;4.92&lt;/D&gt;&lt;D xsi:type="xsd:double"&gt;4.98&lt;/D&gt;&lt;D xsi:type="xsd:double"&gt;5.68&lt;/D&gt;&lt;D xsi:type="xsd:double"&gt;5.47&lt;/D&gt;&lt;D xsi:type="xsd:double"&gt;5.95&lt;/D&gt;&lt;D xsi:type="xsd:double"&gt;6.12&lt;/D&gt;&lt;D xsi:type="xsd:double"&gt;5.51&lt;/D&gt;&lt;D xsi:type="xsd:double"&gt;5.8&lt;/D&gt;&lt;D xsi:type="xsd:double"&gt;5.66&lt;/D&gt;&lt;D xsi:type="xsd:double"&gt;5.86&lt;/D&gt;&lt;D xsi:type="xsd:double"&gt;6.6&lt;/D&gt;&lt;D xsi:type="xsd:double"&gt;6.31&lt;/D&gt;&lt;D xsi:type="xsd:double"&gt;5.89&lt;/D&gt;&lt;D xsi:type="xsd:double"&gt;5.62&lt;/D&gt;&lt;D xsi:type="xsd:double"&gt;5.59&lt;/D&gt;&lt;D xsi:type="xsd:double"&gt;5.45&lt;/D&gt;&lt;D xsi:type="xsd:double"&gt;5.73&lt;/D&gt;&lt;D xsi:type="xsd:double"&gt;6.11&lt;/D&gt;&lt;D xsi:type="xsd:double"&gt;6.09&lt;/D&gt;&lt;D xsi:type="xsd:double"&gt;5.76&lt;/D&gt;&lt;D xsi:type="xsd:double"&gt;5.35&lt;/D&gt;&lt;D xsi:type="xsd:double"&gt;6.21&lt;/D&gt;&lt;D xsi:type="xsd:double"&gt;6.08&lt;/D&gt;&lt;D xsi:type="xsd:double"&gt;6.11&lt;/D&gt;&lt;D xsi:type="xsd:double"&gt;6.4&lt;/D&gt;&lt;D xsi:type="xsd:double"&gt;6.6&lt;/D&gt;&lt;D xsi:type="xsd:double"&gt;6.57&lt;/D&gt;&lt;D xsi:type="xsd:double"&gt;7.2&lt;/D&gt;&lt;D xsi:type="xsd:double"&gt;7.83&lt;/D&gt;&lt;D xsi:type="xsd:double"&gt;7.87&lt;/D&gt;&lt;D xsi:type="xsd:double"&gt;7.74&lt;/D&gt;&lt;D xsi:type="xsd:double"&gt;7.7&lt;/D&gt;&lt;D xsi:type="xsd:double"&gt;8.49&lt;/D&gt;&lt;D xsi:type="xsd:double"&gt;8.71&lt;/D&gt;&lt;D xsi:type="xsd:double"&gt;8.36&lt;/D&gt;&lt;D xsi:type="xsd:double"&gt;7.56&lt;/D&gt;&lt;D xsi:type="xsd:double"&gt;7.53&lt;/D&gt;&lt;D xsi:type="xsd:double"&gt;8.02&lt;/D&gt;&lt;D xsi:type="xsd:double"&gt;8.76&lt;/D&gt;&lt;D xsi:type="xsd:double"&gt;8.86&lt;/D&gt;&lt;D xsi:type="xsd:double"&gt;9.45&lt;/D&gt;&lt;D xsi:type="xsd:double"&gt;9.59&lt;/D&gt;&lt;D xsi:type="xsd:double"&gt;10.46&lt;/D&gt;&lt;D xsi:type="xsd:double"&gt;10.24&lt;/D&gt;&lt;D xsi:type="xsd:double"&gt;10.22&lt;/D&gt;&lt;D xsi:type="xsd:double"&gt;9.18&lt;/D&gt;&lt;D xsi:type="xsd:double"&gt;9.43&lt;/D&gt;&lt;D xsi:type="xsd:double"&gt;9.01&lt;/D&gt;&lt;D xsi:type="xsd:double"&gt;8.88&lt;/D&gt;&lt;D xsi:type="xsd:double"&gt;8.49&lt;/D&gt;&lt;D xsi:type="xsd:double"&gt;8.72&lt;/D&gt;&lt;D xsi:type="xsd:double"&gt;8.55&lt;/D&gt;&lt;D xsi:type="xsd:double"&gt;8.45&lt;/D&gt;&lt;D xsi:type="xsd:double"&gt;8.47&lt;/D&gt;&lt;D xsi:type="xsd:double"&gt;10.38&lt;/D&gt;&lt;D xsi:type="xsd:double"&gt;10.96&lt;/D&gt;&lt;D xsi:type="xsd:double"&gt;11.46&lt;/D&gt;&lt;D xsi:type="xsd:double"&gt;12.05&lt;/D&gt;&lt;D xsi:type="xsd:double"&gt;11.52&lt;/D&gt;&lt;D xsi:type="xsd:double"&gt;10.32&lt;/D&gt;&lt;D xsi:type="xsd:double"&gt;10.71&lt;/D&gt;&lt;D xsi:type="xsd:double"&gt;10.81&lt;/D&gt;&lt;D xsi:type="xsd:double"&gt;9.43&lt;/D&gt;&lt;D xsi:type="xsd:double"&gt;10.07&lt;/D&gt;&lt;D xsi:type="xsd:double"&gt;9.65&lt;/D&gt;&lt;D xsi:type="xsd:double"&gt;9.49&lt;/D&gt;&lt;D xsi:type="xsd:double"&gt;8.45&lt;/D&gt;&lt;D xsi:type="xsd:double"&gt;8.35&lt;/D&gt;&lt;D xsi:type="xsd:double"&gt;8.15&lt;/D&gt;&lt;D xsi:type="xsd:double"&gt;8.22&lt;/D&gt;&lt;D xsi:type="xsd:double"&gt;8.11&lt;/D&gt;&lt;D xsi:type="xsd:double"&gt;8.13&lt;/D&gt;&lt;D xsi:type="xsd:double"&gt;8.74&lt;/D&gt;&lt;D xsi:type="xsd:double"&gt;8.35&lt;/D&gt;&lt;D xsi:type="xsd:double"&gt;8.53&lt;/D&gt;&lt;D xsi:type="xsd:double"&gt;8.65&lt;/D&gt;&lt;D xsi:type="xsd:double"&gt;8.65&lt;/D&gt;&lt;D xsi:type="xsd:double"&gt;8.74&lt;/D&gt;&lt;D xsi:type="xsd:double"&gt;9.65&lt;/D&gt;&lt;D xsi:type="xsd:double"&gt;9.85&lt;/D&gt;&lt;D xsi:type="xsd:double"&gt;9.58&lt;/D&gt;&lt;D xsi:type="xsd:double"&gt;10.03&lt;/D&gt;&lt;D xsi:type="xsd:double"&gt;9.57&lt;/D&gt;&lt;D xsi:type="xsd:double"&gt;9.16&lt;/D&gt;&lt;D xsi:type="xsd:double"&gt;9.04&lt;/D&gt;&lt;D xsi:type="xsd:double"&gt;9&lt;/D&gt;&lt;D xsi:type="xsd:double"&gt;10&lt;/D&gt;&lt;D xsi:type="xsd:double"&gt;10.3&lt;/D&gt;&lt;D xsi:type="xsd:double"&gt;9.71&lt;/D&gt;&lt;D xsi:type="xsd:double"&gt;10.7&lt;/D&gt;&lt;D xsi:type="xsd:double"&gt;10.48&lt;/D&gt;&lt;D xsi:type="xsd:double"&gt;11.09&lt;/D&gt;&lt;D xsi:type="xsd:double"&gt;11.28&lt;/D&gt;&lt;D xsi:type="xsd:double"&gt;10.11&lt;/D&gt;&lt;D xsi:type="xsd:double"&gt;10.36&lt;/D&gt;&lt;D xsi:type="xsd:double"&gt;10.43&lt;/D&gt;&lt;D xsi:type="xsd:double"&gt;10.24&lt;/D&gt;&lt;D xsi:type="xsd:double"&gt;9.79&lt;/D&gt;&lt;D xsi:type="xsd:double"&gt;10.11&lt;/D&gt;&lt;D xsi:type="xsd:double"&gt;10.49&lt;/D&gt;&lt;D xsi:type="xsd:double"&gt;9.81&lt;/D&gt;&lt;D xsi:type="xsd:double"&gt;10.94&lt;/D&gt;&lt;D xsi:type="xsd:double"&gt;10.96&lt;/D&gt;&lt;D xsi:type="xsd:double"&gt;10.98&lt;/D&gt;&lt;D xsi:type="xsd:double"&gt;11.16&lt;/D&gt;&lt;D xsi:type="xsd:double"&gt;10.58&lt;/D&gt;&lt;D xsi:type="xsd:double"&gt;11.05&lt;/D&gt;&lt;D xsi:type="xsd:double"&gt;11.53&lt;/D&gt;&lt;D xsi:type="xsd:double"&gt;10.75&lt;/D&gt;&lt;D xsi:type="xsd:double"&gt;11.01&lt;/D&gt;&lt;D xsi:type="xsd:double"&gt;11.1&lt;/D&gt;&lt;D xsi:type="xsd:double"&gt;11.22&lt;/D&gt;&lt;D xsi:type="xsd:double"&gt;11.15&lt;/D&gt;&lt;D xsi:type="xsd:double"&gt;11.5&lt;/D&gt;&lt;D xsi:type="xsd:double"&gt;11.64&lt;/D&gt;&lt;D xsi:type="xsd:double"&gt;11.37&lt;/D&gt;&lt;D xsi:type="xsd:double"&gt;11.26&lt;/D&gt;&lt;D xsi:type="xsd:double"&gt;11.51&lt;/D&gt;&lt;D xsi:type="xsd:double"&gt;11.63&lt;/D&gt;&lt;D xsi:type="xsd:double"&gt;12.1&lt;/D&gt;&lt;D xsi:type="xsd:double"&gt;12.49&lt;/D&gt;&lt;D xsi:type="xsd:double"&gt;12.21&lt;/D&gt;&lt;D xsi:type="xsd:double"&gt;12.1&lt;/D&gt;&lt;D xsi:type="xsd:double"&gt;11.58&lt;/D&gt;&lt;D xsi:type="xsd:double"&gt;11.21&lt;/D&gt;&lt;D xsi:type="xsd:double"&gt;11.68&lt;/D&gt;&lt;D xsi:type="xsd:double"&gt;11.57&lt;/D&gt;&lt;D xsi:type="xsd:double"&gt;10.95&lt;/D&gt;&lt;D xsi:type="xsd:double"&gt;10.91&lt;/D&gt;&lt;D xsi:type="xsd:double"&gt;11.24&lt;/D&gt;&lt;D xsi:type="xsd:double"&gt;11.54&lt;/D&gt;&lt;D xsi:type="xsd:double"&gt;11.25&lt;/D&gt;&lt;D xsi:type="xsd:double"&gt;10.92&lt;/D&gt;&lt;D xsi:type="xsd:double"&gt;11.35&lt;/D&gt;&lt;D xsi:type="xsd:double"&gt;10.67&lt;/D&gt;&lt;D xsi:type="xsd:double"&gt;10.83&lt;/D&gt;&lt;D xsi:type="xsd:double"&gt;10.51&lt;/D&gt;&lt;D xsi:type="xsd:double"&gt;10.95&lt;/D&gt;&lt;D xsi:type="xsd:double"&gt;10.79&lt;/D&gt;&lt;D xsi:type="xsd:double"&gt;11.07&lt;/D&gt;&lt;D xsi:type="xsd:double"&gt;11.9&lt;/D&gt;&lt;D xsi:type="xsd:double"&gt;11.72&lt;/D&gt;&lt;D xsi:type="xsd:double"&gt;11.39&lt;/D&gt;&lt;D xsi:type="xsd:double"&gt;10.56&lt;/D&gt;&lt;D xsi:type="xsd:double"&gt;10.3&lt;/D&gt;&lt;D xsi:type="xsd:double"&gt;10.46&lt;/D&gt;&lt;D xsi:type="xsd:double"&gt;10.45&lt;/D&gt;&lt;D xsi:type="xsd:double"&gt;10.23&lt;/D&gt;&lt;D xsi:type="xsd:double"&gt;9.42&lt;/D&gt;&lt;D xsi:type="xsd:double"&gt;9.42&lt;/D&gt;&lt;D xsi:type="xsd:double"&gt;9.12&lt;/D&gt;&lt;D xsi:type="xsd:double"&gt;8.95&lt;/D&gt;&lt;D xsi:type="xsd:double"&gt;9.24&lt;/D&gt;&lt;D xsi:type="xsd:double"&gt;9.35&lt;/D&gt;&lt;D xsi:type="xsd:double"&gt;10.71&lt;/D&gt;&lt;D xsi:type="xsd:double"&gt;10.76&lt;/D&gt;&lt;D xsi:type="xsd:double"&gt;10.8&lt;/D&gt;&lt;D xsi:type="xsd:double"&gt;11.32&lt;/D&gt;&lt;D xsi:type="xsd:double"&gt;11.36&lt;/D&gt;&lt;D xsi:type="xsd:double"&gt;11.19&lt;/D&gt;&lt;D xsi:type="xsd:double"&gt;10.84&lt;/D&gt;&lt;D xsi:type="xsd:double"&gt;10.34&lt;/D&gt;&lt;D xsi:type="xsd:double"&gt;10.75&lt;/D&gt;&lt;D xsi:type="xsd:double"&gt;10.52&lt;/D&gt;&lt;D xsi:type="xsd:double"&gt;10.67&lt;/D&gt;&lt;D xsi:type="xsd:double"&gt;10.71&lt;/D&gt;&lt;D xsi:type="xsd:double"&gt;9.45&lt;/D&gt;&lt;D xsi:type="xsd:double"&gt;10.6&lt;/D&gt;&lt;D xsi:type="xsd:double"&gt;10.42&lt;/D&gt;&lt;D xsi:type="xsd:double"&gt;10.59&lt;/D&gt;&lt;D xsi:type="xsd:double"&gt;10.91&lt;/D&gt;&lt;D xsi:type="xsd:double"&gt;11.08&lt;/D&gt;&lt;D xsi:type="xsd:double"&gt;11.77&lt;/D&gt;&lt;D xsi:type="xsd:double"&gt;11.69&lt;/D&gt;&lt;D xsi:type="xsd:double"&gt;11.58&lt;/D&gt;&lt;D xsi:type="xsd:double"&gt;11.38&lt;/D&gt;&lt;D xsi:type="xsd:double"&gt;12.15&lt;/D&gt;&lt;D xsi:type="xsd:double"&gt;11.74&lt;/D&gt;&lt;D xsi:type="xsd:double"&gt;11.04&lt;/D&gt;&lt;D xsi:type="xsd:double"&gt;11.05&lt;/D&gt;&lt;D xsi:type="xsd:double"&gt;11.21&lt;/D&gt;&lt;D xsi:type="xsd:double"&gt;10.86&lt;/D&gt;&lt;D xsi:type="xsd:double"&gt;10.95&lt;/D&gt;&lt;D xsi:type="xsd:double"&gt;11.19&lt;/D&gt;&lt;D xsi:type="xsd:double"&gt;11.43&lt;/D&gt;&lt;D xsi:type="xsd:double"&gt;11.2&lt;/D&gt;&lt;D xsi:type="xsd:double"&gt;11.63&lt;/D&gt;&lt;D xsi:type="xsd:double"&gt;11.72&lt;/D&gt;&lt;D xsi:type="xsd:double"&gt;12.46&lt;/D&gt;&lt;D xsi:type="xsd:double"&gt;12.34&lt;/D&gt;&lt;D xsi:type="xsd:double"&gt;12.5&lt;/D&gt;&lt;D xsi:type="xsd:double"&gt;12.31&lt;/D&gt;&lt;D xsi:type="xsd:double"&gt;11.85&lt;/D&gt;&lt;D xsi:type="xsd:double"&gt;11.41&lt;/D&gt;&lt;D xsi:type="xsd:double"&gt;12.11&lt;/D&gt;&lt;D xsi:type="xsd:double"&gt;12.5&lt;/D&gt;&lt;D xsi:type="xsd:double"&gt;13.28&lt;/D&gt;&lt;D xsi:type="xsd:double"&gt;13.34&lt;/D&gt;&lt;D xsi:type="xsd:double"&gt;13.67&lt;/D&gt;&lt;D xsi:type="xsd:double"&gt;13.73&lt;/D&gt;&lt;D xsi:type="xsd:double"&gt;13.03&lt;/D&gt;&lt;D xsi:type="xsd:double"&gt;12.76&lt;/D&gt;&lt;D xsi:type="xsd:double"&gt;12.44&lt;/D&gt;&lt;D xsi:type="xsd:double"&gt;12.23&lt;/D&gt;&lt;D xsi:type="xsd:double"&gt;12.22&lt;/D&gt;&lt;D xsi:type="xsd:double"&gt;11.74&lt;/D&gt;&lt;D xsi:type="xsd:double"&gt;13.42&lt;/D&gt;&lt;D xsi:type="xsd:double"&gt;13.26&lt;/D&gt;&lt;D xsi:type="xsd:double"&gt;13.82&lt;/D&gt;&lt;D xsi:type="xsd:double"&gt;14.33&lt;/D&gt;&lt;D xsi:type="xsd:double"&gt;14.87&lt;/D&gt;&lt;D xsi:type="xsd:double"&gt;15.91&lt;/D&gt;&lt;D xsi:type="xsd:double"&gt;17.45&lt;/D&gt;&lt;/FQL&gt;&lt;FQL&gt;&lt;Q&gt;FRO-US^P_PRICE(1/4/2019,NOW,W)&lt;/Q&gt;&lt;R&gt;373&lt;/R&gt;&lt;C&gt;1&lt;/C&gt;&lt;D xsi:type="xsd:double"&gt;5.95&lt;/D&gt;&lt;D xsi:type="xsd:double"&gt;5.61&lt;/D&gt;&lt;D xsi:type="xsd:double"&gt;5.8&lt;/D&gt;&lt;D xsi:type="xsd:double"&gt;5.46&lt;/D&gt;&lt;D xsi:type="xsd:double"&gt;5.07&lt;/D&gt;&lt;D xsi:type="xsd:double"&gt;4.9&lt;/D&gt;&lt;D xsi:type="xsd:double"&gt;5.85&lt;/D&gt;&lt;D xsi:type="xsd:double"&gt;6.06&lt;/D&gt;&lt;D xsi:type="xsd:double"&gt;6.57&lt;/D&gt;&lt;D xsi:type="xsd:double"&gt;6.33&lt;/D&gt;&lt;D xsi:type="xsd:double"&gt;6.5&lt;/D&gt;&lt;D xsi:type="xsd:double"&gt;6.86&lt;/D&gt;&lt;D xsi:type="xsd:double"&gt;6.46&lt;/D&gt;&lt;D xsi:type="xsd:double"&gt;6.87&lt;/D&gt;&lt;D xsi:type="xsd:double"&gt;7.91&lt;/D&gt;&lt;D xsi:type="xsd:double"&gt;7.76&lt;/D&gt;&lt;D xsi:type="xsd:double"&gt;8.04&lt;/D&gt;&lt;D xsi:type="xsd:double"&gt;8.24&lt;/D&gt;&lt;D xsi:type="xsd:double"&gt;7.9&lt;/D&gt;&lt;D xsi:type="xsd:double"&gt;9.01&lt;/D&gt;&lt;D xsi:type="xsd:double"&gt;8.55&lt;/D&gt;&lt;D xsi:type="xsd:double"&gt;7.84&lt;/D&gt;&lt;D xsi:type="xsd:double"&gt;7.81&lt;/D&gt;&lt;D xsi:type="xsd:double"&gt;7.6&lt;/D&gt;&lt;D xsi:type="xsd:double"&gt;8.35&lt;/D&gt;&lt;D xsi:type="xsd:double"&gt;8&lt;/D&gt;&lt;D xsi:type="xsd:double"&gt;8.03&lt;/D&gt;&lt;D xsi:type="xsd:double"&gt;8.04&lt;/D&gt;&lt;D xsi:type="xsd:double"&gt;7.78&lt;/D&gt;&lt;D xsi:type="xsd:double"&gt;8.05&lt;/D&gt;&lt;D xsi:type="xsd:double"&gt;7.27&lt;/D&gt;&lt;D xsi:type="xsd:double"&gt;7.17&lt;/D&gt;&lt;D xsi:type="xsd:double"&gt;7.01&lt;/D&gt;&lt;D xsi:type="xsd:double"&gt;7.92&lt;/D&gt;&lt;D xsi:type="xsd:double"&gt;8.51&lt;/D&gt;&lt;D xsi:type="xsd:double"&gt;8.5&lt;/D&gt;&lt;D xsi:type="xsd:double"&gt;9.19&lt;/D&gt;&lt;D xsi:type="xsd:double"&gt;9.01&lt;/D&gt;&lt;D xsi:type="xsd:double"&gt;9.12&lt;/D&gt;&lt;D xsi:type="xsd:double"&gt;10.28&lt;/D&gt;&lt;D xsi:type="xsd:double"&gt;11.43&lt;/D&gt;&lt;D xsi:type="xsd:double"&gt;10.68&lt;/D&gt;&lt;D xsi:type="xsd:double"&gt;10.31&lt;/D&gt;&lt;D xsi:type="xsd:double"&gt;10.55&lt;/D&gt;&lt;D xsi:type="xsd:double"&gt;9.66&lt;/D&gt;&lt;D xsi:type="xsd:double"&gt;10.55&lt;/D&gt;&lt;D xsi:type="xsd:double"&gt;11.08&lt;/D&gt;&lt;D xsi:type="xsd:double"&gt;11.23&lt;/D&gt;&lt;D xsi:type="xsd:double"&gt;11.19&lt;/D&gt;&lt;D xsi:type="xsd:double"&gt;11.31&lt;/D&gt;&lt;D xsi:type="xsd:double"&gt;12.01&lt;/D&gt;&lt;D xsi:type="xsd:double"&gt;12.4&lt;/D&gt;&lt;D xsi:type="xsd:double"&gt;13.18&lt;/D&gt;&lt;D xsi:type="xsd:double"&gt;12.55&lt;/D&gt;&lt;D xsi:type="xsd:double"&gt;12.38&lt;/D&gt;&lt;D xsi:type="xsd:double"&gt;10.81&lt;/D&gt;&lt;D xsi:type="xsd:double"&gt;8.76&lt;/D&gt;&lt;D xsi:type="xsd:double"&gt;7.8&lt;/D&gt;&lt;D xsi:type="xsd:double"&gt;8.18&lt;/D&gt;&lt;D xsi:type="xsd:double"&gt;8.13&lt;/D&gt;&lt;D xsi:type="xsd:double"&gt;8.19&lt;/D&gt;&lt;D xsi:type="xsd:double"&gt;7.04&lt;/D&gt;&lt;D xsi:type="xsd:double"&gt;9.35&lt;/D&gt;&lt;D xsi:type="xsd:double"&gt;6.38&lt;/D&gt;&lt;D xsi:type="xsd:double"&gt;9.39&lt;/D&gt;&lt;D xsi:type="xsd:double"&gt;7.89&lt;/D&gt;&lt;D xsi:type="xsd:double"&gt;8.78&lt;/D&gt;&lt;D xsi:type="xsd:double"&gt;9.6&lt;/D&gt;&lt;D xsi:type="xsd:double"&gt;10.6&lt;/D&gt;&lt;D xsi:type="xsd:double"&gt;9.05&lt;/D&gt;&lt;D xsi:type="xsd:double"&gt;8.07&lt;/D&gt;&lt;D xsi:type="xsd:double"&gt;7.55&lt;/D&gt;&lt;D xsi:type="xsd:double"&gt;8.07&lt;/D&gt;&lt;D xsi:type="xsd:double"&gt;9.13&lt;/D&gt;&lt;D xsi:type="xsd:double"&gt;8.16&lt;/D&gt;&lt;D xsi:type="xsd:double"&gt;7.95&lt;/D&gt;&lt;D xsi:type="xsd:double"&gt;7.6&lt;/D&gt;&lt;D xsi:type="xsd:double"&gt;7&lt;/D&gt;&lt;D xsi:type="xsd:double"&gt;6.97&lt;/D&gt;&lt;D xsi:type="xsd:double"&gt;7.55&lt;/D&gt;&lt;D xsi:type="xsd:double"&gt;7.65&lt;/D&gt;&lt;D xsi:type="xsd:double"&gt;7.68&lt;/D&gt;&lt;D xsi:type="xsd:double"&gt;8&lt;/D&gt;&lt;D xsi:type="xsd:double"&gt;8.2&lt;/D&gt;&lt;D xsi:type="xsd:double"&gt;8.63&lt;/D&gt;&lt;D xsi:type="xsd:double"&gt;8.35&lt;/D&gt;&lt;D xsi:type="xsd:double"&gt;7.83&lt;/D&gt;&lt;D xsi:type="xsd:double"&gt;7.62&lt;/D&gt;&lt;D xsi:type="xsd:double"&gt;7.49&lt;/D&gt;&lt;D xsi:type="xsd:double"&gt;7.18&lt;/D&gt;&lt;D xsi:type="xsd:double"&gt;6.43&lt;/D&gt;&lt;D xsi:type="xsd:double"&gt;6.52&lt;/D&gt;&lt;D xsi:type="xsd:double"&gt;6.76&lt;/D&gt;&lt;D xsi:type="xsd:double"&gt;6.67&lt;/D&gt;&lt;D xsi:type="xsd:double"&gt;6.19&lt;/D&gt;&lt;D xsi:type="xsd:double"&gt;5.41&lt;/D&gt;&lt;D xsi:type="xsd:double"&gt;5.63&lt;/D&gt;&lt;D xsi:type="xsd:double"&gt;6.3&lt;/D&gt;&lt;D xsi:type="xsd:double"&gt;6.94&lt;/D&gt;&lt;D xsi:type="xsd:double"&gt;6.61&lt;/D&gt;&lt;D xsi:type="xsd:double"&gt;6.63&lt;/D&gt;&lt;D xsi:type="xsd:double"&gt;6.74&lt;/D&gt;&lt;D xsi:type="xsd:double"&gt;6.46&lt;/D&gt;&lt;D xsi:type="xsd:double"&gt;6.43&lt;/D&gt;&lt;D xsi:type="xsd:double"&gt;6.22&lt;/D&gt;&lt;D xsi:type="xsd:double"&gt;6.6&lt;/D&gt;&lt;D xsi:type="xsd:double"&gt;6.29&lt;/D&gt;&lt;D xsi:type="xsd:double"&gt;6.18&lt;/D&gt;&lt;D xsi:type="xsd:double"&gt;5.9&lt;/D&gt;&lt;D xsi:type="xsd:double"&gt;6.49&lt;/D&gt;&lt;D xsi:type="xsd:double"&gt;7.13&lt;/D&gt;&lt;D xsi:type="xsd:double"&gt;7.38&lt;/D&gt;&lt;D xsi:type="xsd:double"&gt;6.77&lt;/D&gt;&lt;D xsi:type="xsd:double"&gt;7.08&lt;/D&gt;&lt;D xsi:type="xsd:double"&gt;7.69&lt;/D&gt;&lt;D xsi:type="xsd:double"&gt;7.8&lt;/D&gt;&lt;D xsi:type="xsd:double"&gt;8.09&lt;/D&gt;&lt;D xsi:type="xsd:double"&gt;7.35&lt;/D&gt;&lt;D xsi:type="xsd:double"&gt;7.37&lt;/D&gt;&lt;D xsi:type="xsd:double"&gt;7.04&lt;/D&gt;&lt;D xsi:type="xsd:double"&gt;7.4&lt;/D&gt;&lt;D xsi:type="xsd:double"&gt;7.64&lt;/D&gt;&lt;D xsi:type="xsd:double"&gt;7.96&lt;/D&gt;&lt;D xsi:type="xsd:double"&gt;7.89&lt;/D&gt;&lt;D xsi:type="xsd:double"&gt;8.9&lt;/D&gt;&lt;D xsi:type="xsd:double"&gt;8.52&lt;/D&gt;&lt;D xsi:type="xsd:double"&gt;8.38&lt;/D&gt;&lt;D xsi:type="xsd:double"&gt;8.87&lt;/D&gt;&lt;D xsi:type="xsd:double"&gt;8.18&lt;/D&gt;&lt;D xsi:type="xsd:double"&gt;8.84&lt;/D&gt;&lt;D xsi:type="xsd:double"&gt;8.93&lt;/D&gt;&lt;D xsi:type="xsd:double"&gt;8.68&lt;/D&gt;&lt;D xsi:type="xsd:double"&gt;7.93&lt;/D&gt;&lt;D xsi:type="xsd:double"&gt;8.03&lt;/D&gt;&lt;D xsi:type="xsd:double"&gt;7.96&lt;/D&gt;&lt;D xsi:type="xsd:double"&gt;7.58&lt;/D&gt;&lt;D xsi:type="xsd:double"&gt;7.4&lt;/D&gt;&lt;D xsi:type="xsd:double"&gt;7.24&lt;/D&gt;&lt;D xsi:type="xsd:double"&gt;7.37&lt;/D&gt;&lt;D xsi:type="xsd:double"&gt;7.67&lt;/D&gt;&lt;D xsi:type="xsd:double"&gt;7.8&lt;/D&gt;&lt;D xsi:type="xsd:double"&gt;7.95&lt;/D&gt;&lt;D xsi:type="xsd:double"&gt;8.45&lt;/D&gt;&lt;D xsi:type="xsd:double"&gt;9.65&lt;/D&gt;&lt;D xsi:type="xsd:double"&gt;8.84&lt;/D&gt;&lt;D xsi:type="xsd:double"&gt;9.02&lt;/D&gt;&lt;D xsi:type="xsd:double"&gt;9.27&lt;/D&gt;&lt;D xsi:type="xsd:double"&gt;8.81&lt;/D&gt;&lt;D xsi:type="xsd:double"&gt;8.62&lt;/D&gt;&lt;D xsi:type="xsd:double"&gt;8.41&lt;/D&gt;&lt;D xsi:type="xsd:double"&gt;7.25&lt;/D&gt;&lt;D xsi:type="xsd:double"&gt;6.8&lt;/D&gt;&lt;D xsi:type="xsd:double"&gt;6.61&lt;/D&gt;&lt;D xsi:type="xsd:double"&gt;7.12&lt;/D&gt;&lt;D xsi:type="xsd:double"&gt;6.69&lt;/D&gt;&lt;D xsi:type="xsd:double"&gt;7.08&lt;/D&gt;&lt;D xsi:type="xsd:double"&gt;7.07&lt;/D&gt;&lt;D xsi:type="xsd:double"&gt;7.48&lt;/D&gt;&lt;D xsi:type="xsd:double"&gt;7.55&lt;/D&gt;&lt;D xsi:type="xsd:double"&gt;6.5&lt;/D&gt;&lt;D xsi:type="xsd:double"&gt;6.63&lt;/D&gt;&lt;D xsi:type="xsd:double"&gt;6.92&lt;/D&gt;&lt;D xsi:type="xsd:double"&gt;7.61&lt;/D&gt;&lt;D xsi:type="xsd:double"&gt;8.06&lt;/D&gt;&lt;D xsi:type="xsd:double"&gt;9.06&lt;/D&gt;&lt;D xsi:type="xsd:double"&gt;9.44&lt;/D&gt;&lt;D xsi:type="xsd:double"&gt;8.28&lt;/D&gt;&lt;D xsi:type="xsd:double"&gt;8.68&lt;/D&gt;&lt;D xsi:type="xsd:double"&gt;8.72&lt;/D&gt;&lt;D xsi:type="xsd:double"&gt;9.18&lt;/D&gt;&lt;D xsi:type="xsd:double"&gt;9.81&lt;/D&gt;&lt;D xsi:type="xsd:double"&gt;9.46&lt;/D&gt;&lt;D xsi:type="xsd:double"&gt;8.61&lt;/D&gt;&lt;D xsi:type="xsd:double"&gt;8.33&lt;/D&gt;&lt;D xsi:type="xsd:double"&gt;8.76&lt;/D&gt;&lt;D xsi:type="xsd:double"&gt;7.99&lt;/D&gt;&lt;D xsi:type="xsd:double"&gt;8.74&lt;/D&gt;&lt;D xsi:type="xsd:double"&gt;11.43&lt;/D&gt;&lt;D xsi:type="xsd:double"&gt;10.4&lt;/D&gt;&lt;D xsi:type="xsd:double"&gt;9.32&lt;/D&gt;&lt;D xsi:type="xsd:double"&gt;8.34&lt;/D&gt;&lt;D xsi:type="xsd:double"&gt;8.98&lt;/D&gt;&lt;D xsi:type="xsd:double"&gt;9.02&lt;/D&gt;&lt;D xsi:type="xsd:double"&gt;8.34&lt;/D&gt;&lt;D xsi:type="xsd:double"&gt;8.89&lt;/D&gt;&lt;D xsi:type="xsd:double"&gt;9.17&lt;/D&gt;&lt;D xsi:type="xsd:double"&gt;9.59&lt;/D&gt;&lt;D xsi:type="xsd:double"&gt;10.49&lt;/D&gt;&lt;D xsi:type="xsd:double"&gt;11.38&lt;/D&gt;&lt;D xsi:type="xsd:double"&gt;11.73&lt;/D&gt;&lt;D xsi:type="xsd:double"&gt;11.89&lt;/D&gt;&lt;D xsi:type="xsd:double"&gt;11.92&lt;/D&gt;&lt;D xsi:type="xsd:double"&gt;12.78&lt;/D&gt;&lt;D xsi:type="xsd:double"&gt;12.79&lt;/D&gt;&lt;D xsi:type="xsd:double"&gt;12.11&lt;/D&gt;&lt;D xsi:type="xsd:double"&gt;10.93&lt;/D&gt;&lt;D xsi:type="xsd:double"&gt;10.89&lt;/D&gt;&lt;D xsi:type="xsd:double"&gt;11.92&lt;/D&gt;&lt;D xsi:type="xsd:double"&gt;12.44&lt;/D&gt;&lt;D xsi:type="xsd:double"&gt;12.47&lt;/D&gt;&lt;D xsi:type="xsd:double"&gt;13.67&lt;/D&gt;&lt;D xsi:type="xsd:double"&gt;13.4&lt;/D&gt;&lt;D xsi:type="xsd:double"&gt;14.3&lt;/D&gt;&lt;D xsi:type="xsd:double"&gt;13.76&lt;/D&gt;&lt;D xsi:type="xsd:double"&gt;14.42&lt;/D&gt;&lt;D xsi:type="xsd:double"&gt;12.83&lt;/D&gt;&lt;D xsi:type="xsd:double"&gt;13.53&lt;/D&gt;&lt;D xsi:type="xsd:double"&gt;12.49&lt;/D&gt;&lt;D xsi:type="xsd:double"&gt;12.14&lt;/D&gt;&lt;D xsi:type="xsd:double"&gt;11.13&lt;/D&gt;&lt;D xsi:type="xsd:double"&gt;14.12&lt;/D&gt;&lt;D xsi:type="xsd:double"&gt;14.06&lt;/D&gt;&lt;D xsi:type="xsd:double"&gt;13.94&lt;/D&gt;&lt;D xsi:type="xsd:double"&gt;14.58&lt;/D&gt;&lt;D xsi:type="xsd:double"&gt;16.2&lt;/D&gt;&lt;D xsi:type="xsd:double"&gt;17.17&lt;/D&gt;&lt;D xsi:type="xsd:double"&gt;18.04&lt;/D&gt;&lt;D xsi:type="xsd:double"&gt;18.98&lt;/D&gt;&lt;D xsi:type="xsd:double"&gt;17.93&lt;/D&gt;&lt;D xsi:type="xsd:double"&gt;15.9&lt;/D&gt;&lt;D xsi:type="xsd:double"&gt;16.31&lt;/D&gt;&lt;D xsi:type="xsd:double"&gt;16.56&lt;/D&gt;&lt;D xsi:type="xsd:double"&gt;14.91&lt;/D&gt;&lt;D xsi:type="xsd:double"&gt;16.02&lt;/D&gt;&lt;D xsi:type="xsd:double"&gt;15.41&lt;/D&gt;&lt;D xsi:type="xsd:double"&gt;15.47&lt;/D&gt;&lt;D xsi:type="xsd:double"&gt;15.1&lt;/D&gt;&lt;D xsi:type="xsd:double"&gt;14.81&lt;/D&gt;&lt;D xsi:type="xsd:double"&gt;14.78&lt;/D&gt;&lt;D xsi:type="xsd:double"&gt;15.14&lt;/D&gt;&lt;D xsi:type="xsd:double"&gt;14.77&lt;/D&gt;&lt;D xsi:type="xsd:double"&gt;14.67&lt;/D&gt;&lt;D xsi:type="xsd:double"&gt;15.24&lt;/D&gt;&lt;D xsi:type="xsd:double"&gt;14.35&lt;/D&gt;&lt;D xsi:type="xsd:double"&gt;14.53&lt;/D&gt;&lt;D xsi:type="xsd:double"&gt;15.34&lt;/D&gt;&lt;D xsi:type="xsd:double"&gt;15.26&lt;/D&gt;&lt;D xsi:type="xsd:double"&gt;14.81&lt;/D&gt;&lt;D xsi:type="xsd:double"&gt;16.08&lt;/D&gt;&lt;D xsi:type="xsd:double"&gt;17.24&lt;/D&gt;&lt;D xsi:type="xsd:double"&gt;17.55&lt;/D&gt;&lt;D xsi:type="xsd:double"&gt;18.07&lt;/D&gt;&lt;D xsi:type="xsd:double"&gt;18.38&lt;/D&gt;&lt;D xsi:type="xsd:double"&gt;17.48&lt;/D&gt;&lt;D xsi:type="xsd:double"&gt;17.2&lt;/D&gt;&lt;D xsi:type="xsd:double"&gt;16.34&lt;/D&gt;&lt;D xsi:type="xsd:double"&gt;18&lt;/D&gt;&lt;D xsi:type="xsd:double"&gt;18.78&lt;/D&gt;&lt;D xsi:type="xsd:double"&gt;18.27&lt;/D&gt;&lt;D xsi:type="xsd:double"&gt;20.61&lt;/D&gt;&lt;D xsi:type="xsd:double"&gt;21.07&lt;/D&gt;&lt;D xsi:type="xsd:double"&gt;22.27&lt;/D&gt;&lt;D xsi:type="xsd:double"&gt;22.67&lt;/D&gt;&lt;D xsi:type="xsd:double"&gt;21.45&lt;/D&gt;&lt;D xsi:type="xsd:double"&gt;21.82&lt;/D&gt;&lt;D xsi:type="xsd:double"&gt;22.55&lt;/D&gt;&lt;D xsi:type="xsd:double"&gt;20.11&lt;/D&gt;&lt;D xsi:type="xsd:double"&gt;19.34&lt;/D&gt;&lt;D xsi:type="xsd:double"&gt;20.09&lt;/D&gt;&lt;D xsi:type="xsd:double"&gt;21.47&lt;/D&gt;&lt;D xsi:type="xsd:double"&gt;20.05&lt;/D&gt;&lt;D xsi:type="xsd:double"&gt;22.24&lt;/D&gt;&lt;D xsi:type="xsd:double"&gt;22.14&lt;/D&gt;&lt;D xsi:type="xsd:double"&gt;22.24&lt;/D&gt;&lt;D xsi:type="xsd:double"&gt;22.74&lt;/D&gt;&lt;D xsi:type="xsd:double"&gt;21.43&lt;/D&gt;&lt;D xsi:type="xsd:double"&gt;22.27&lt;/D&gt;&lt;D xsi:type="xsd:double"&gt;24.15&lt;/D&gt;&lt;D xsi:type="xsd:double"&gt;22.89&lt;/D&gt;&lt;D xsi:type="xsd:double"&gt;22.58&lt;/D&gt;&lt;D xsi:type="xsd:double"&gt;23.2&lt;/D&gt;&lt;D xsi:type="xsd:double"&gt;23.65&lt;/D&gt;&lt;D xsi:type="xsd:double"&gt;23.04&lt;/D&gt;&lt;D xsi:type="xsd:double"&gt;23.38&lt;/D&gt;&lt;D xsi:type="xsd:double"&gt;23.92&lt;/D&gt;&lt;D xsi:type="xsd:double"&gt;24.08&lt;/D&gt;&lt;D xsi:type="xsd:double"&gt;23.1&lt;/D&gt;&lt;D xsi:type="xsd:double"&gt;23.8&lt;/D&gt;&lt;D xsi:type="xsd:double"&gt;24.74&lt;/D&gt;&lt;D xsi:type="xsd:double"&gt;26.19&lt;/D&gt;&lt;D xsi:type="xsd:double"&gt;27.48&lt;/D&gt;&lt;D xsi:type="xsd:double"&gt;28.55&lt;/D&gt;&lt;D xsi:type="xsd:double"&gt;28.32&lt;/D&gt;&lt;D xsi:type="xsd:double"&gt;26.25&lt;/D&gt;&lt;D xsi:type="xsd:double"&gt;24.04&lt;/D&gt;&lt;D xsi:type="xsd:double"&gt;25.69&lt;/D&gt;&lt;D xsi:type="xsd:double"&gt;25.76&lt;/D&gt;&lt;D xsi:type="xsd:double"&gt;24.36&lt;/D&gt;&lt;D xsi:type="xsd:double"&gt;23.54&lt;/D&gt;&lt;D xsi:type="xsd:double"&gt;23.96&lt;/D&gt;&lt;D xsi:type="xsd:double"&gt;23.59&lt;/D&gt;&lt;D xsi:type="xsd:double"&gt;23.3&lt;/D&gt;&lt;D xsi:type="xsd:double"&gt;23.06&lt;/D&gt;&lt;D xsi:type="xsd:double"&gt;25.16&lt;/D&gt;&lt;D xsi:type="xsd:double"&gt;24&lt;/D&gt;&lt;D xsi:type="xsd:double"&gt;24.14&lt;/D&gt;&lt;D xsi:type="xsd:double"&gt;22.22&lt;/D&gt;&lt;D xsi:type="xsd:double"&gt;22.37&lt;/D&gt;&lt;D xsi:type="xsd:double"&gt;22.25&lt;/D&gt;&lt;D xsi:type="xsd:double"&gt;22.83&lt;/D&gt;&lt;D xsi:type="xsd:double"&gt;24.51&lt;/D&gt;&lt;D xsi:type="xsd:double"&gt;24.26&lt;/D&gt;&lt;D xsi:type="xsd:double"&gt;22.11&lt;/D&gt;&lt;D xsi:type="xsd:double"&gt;20.23&lt;/D&gt;&lt;D xsi:type="xsd:double"&gt;19.39&lt;/D&gt;&lt;D xsi:type="xsd:double"&gt;19&lt;/D&gt;&lt;D xsi:type="xsd:double"&gt;19.23&lt;/D&gt;&lt;D xsi:type="xsd:double"&gt;19.55&lt;/D&gt;&lt;D xsi:type="xsd:double"&gt;16.18&lt;/D&gt;&lt;D xsi:type="xsd:double"&gt;15.29&lt;/D&gt;&lt;D xsi:type="xsd:double"&gt;14.21&lt;/D&gt;&lt;D xsi:type="xsd:double"&gt;13.38&lt;/D&gt;&lt;D xsi:type="xsd:double"&gt;14&lt;/D&gt;&lt;D xsi:type="xsd:double"&gt;14.25&lt;/D&gt;&lt;D xsi:type="xsd:double"&gt;17.23&lt;/D&gt;&lt;D xsi:type="xsd:double"&gt;17.36&lt;/D&gt;&lt;D xsi:type="xsd:double"&gt;16&lt;/D&gt;&lt;D xsi:type="xsd:double"&gt;17.32&lt;/D&gt;&lt;D xsi:type="xsd:double"&gt;17.84&lt;/D&gt;&lt;D xsi:type="xsd:double"&gt;17.67&lt;/D&gt;&lt;D xsi:type="xsd:double"&gt;16.54&lt;/D&gt;&lt;D xsi:type="xsd:double"&gt;16.05&lt;/D&gt;&lt;D xsi:type="xsd:double"&gt;16.58&lt;/D&gt;&lt;D xsi:type="xsd:double"&gt;15.43&lt;/D&gt;&lt;D xsi:type="xsd:double"&gt;16.1&lt;/D&gt;&lt;D xsi:type="xsd:double"&gt;14.97&lt;/D&gt;&lt;D xsi:type="xsd:double"&gt;12.83&lt;/D&gt;&lt;D xsi:type="xsd:double"&gt;15.5&lt;/D&gt;&lt;D xsi:type="xsd:double"&gt;15.44&lt;/D&gt;&lt;D xsi:type="xsd:double"&gt;16.56&lt;/D&gt;&lt;D xsi:type="xsd:double"&gt;17.13&lt;/D&gt;&lt;D xsi:type="xsd:double"&gt;17.35&lt;/D&gt;&lt;D xsi:type="xsd:double"&gt;18.32&lt;/D&gt;&lt;D xsi:type="xsd:double"&gt;18.34&lt;/D&gt;&lt;D xsi:type="xsd:double"&gt;18.28&lt;/D&gt;&lt;D xsi:type="xsd:double"&gt;17.63&lt;/D&gt;&lt;D xsi:type="xsd:double"&gt;19.74&lt;/D&gt;&lt;D xsi:type="xsd:double"&gt;18.98&lt;/D&gt;&lt;D xsi:type="xsd:double"&gt;16.98&lt;/D&gt;&lt;D xsi:type="xsd:double"&gt;17.44&lt;/D&gt;&lt;D xsi:type="xsd:double"&gt;19.08&lt;/D&gt;&lt;D xsi:type="xsd:double"&gt;18.33&lt;/D&gt;&lt;D xsi:type="xsd:double"&gt;18.52&lt;/D&gt;&lt;D xsi:type="xsd:double"&gt;18.8&lt;/D&gt;&lt;D xsi:type="xsd:double"&gt;19.14&lt;/D&gt;&lt;D xsi:type="xsd:double"&gt;18.79&lt;/D&gt;&lt;D xsi:type="xsd:double"&gt;20.57&lt;/D&gt;&lt;D xsi:type="xsd:double"&gt;20.9&lt;/D&gt;&lt;D xsi:type="xsd:double"&gt;22.15&lt;/D&gt;&lt;D xsi:type="xsd:double"&gt;23.23&lt;/D&gt;&lt;D xsi:type="xsd:double"&gt;23.21&lt;/D&gt;&lt;D xsi:type="xsd:double"&gt;23.09&lt;/D&gt;&lt;D xsi:type="xsd:double"&gt;23.16&lt;/D&gt;&lt;D xsi:type="xsd:double"&gt;22.73&lt;/D&gt;&lt;D xsi:type="xsd:double"&gt;23.36&lt;/D&gt;&lt;D xsi:type="xsd:double"&gt;23.54&lt;/D&gt;&lt;D xsi:type="xsd:double"&gt;25.04&lt;/D&gt;&lt;D xsi:type="xsd:double"&gt;23.66&lt;/D&gt;&lt;D xsi:type="xsd:double"&gt;25.48&lt;/D&gt;&lt;D xsi:type="xsd:double"&gt;25.9&lt;/D&gt;&lt;D xsi:type="xsd:double"&gt;23.52&lt;/D&gt;&lt;D xsi:type="xsd:double"&gt;23.38&lt;/D&gt;&lt;D xsi:type="xsd:double"&gt;22.86&lt;/D&gt;&lt;D xsi:type="xsd:double"&gt;21.72&lt;/D&gt;&lt;D xsi:type="xsd:double"&gt;21.81&lt;/D&gt;&lt;D xsi:type="xsd:double"&gt;20.58&lt;/D&gt;&lt;D xsi:type="xsd:double"&gt;24.98&lt;/D&gt;&lt;D xsi:type="xsd:double"&gt;26.29&lt;/D&gt;&lt;D xsi:type="xsd:double"&gt;26.06&lt;/D&gt;&lt;D xsi:type="xsd:double"&gt;28.58&lt;/D&gt;&lt;D xsi:type="xsd:double"&gt;29.37&lt;/D&gt;&lt;D xsi:type="xsd:double"&gt;30.92&lt;/D&gt;&lt;D xsi:type="xsd:double"&gt;34.72&lt;/D&gt;&lt;/FQL&gt;&lt;FQL&gt;&lt;Q&gt;NVGS-US^P_PRICE(1/4/2019,NOW,W)&lt;/Q&gt;&lt;R&gt;373&lt;/R&gt;&lt;C&gt;1&lt;/C&gt;&lt;D xsi:type="xsd:double"&gt;9.85&lt;/D&gt;&lt;D xsi:type="xsd:double"&gt;9.27&lt;/D&gt;&lt;D xsi:type="xsd:double"&gt;9.27&lt;/D&gt;&lt;D xsi:type="xsd:double"&gt;9.49&lt;/D&gt;&lt;D xsi:type="xsd:double"&gt;10.01&lt;/D&gt;&lt;D xsi:type="xsd:double"&gt;10.01&lt;/D&gt;&lt;D xsi:type="xsd:double"&gt;10.83&lt;/D&gt;&lt;D xsi:type="xsd:double"&gt;10.77&lt;/D&gt;&lt;D xsi:type="xsd:double"&gt;10.86&lt;/D&gt;&lt;D xsi:type="xsd:double"&gt;10.81&lt;/D&gt;&lt;D xsi:type="xsd:double"&gt;11.06&lt;/D&gt;&lt;D xsi:type="xsd:double"&gt;11.02&lt;/D&gt;&lt;D xsi:type="xsd:double"&gt;11&lt;/D&gt;&lt;D xsi:type="xsd:double"&gt;11.2&lt;/D&gt;&lt;D xsi:type="xsd:double"&gt;11.12&lt;/D&gt;&lt;D xsi:type="xsd:double"&gt;10.95&lt;/D&gt;&lt;D xsi:type="xsd:double"&gt;11.32&lt;/D&gt;&lt;D xsi:type="xsd:double"&gt;11.26&lt;/D&gt;&lt;D xsi:type="xsd:double"&gt;11.08&lt;/D&gt;&lt;D xsi:type="xsd:double"&gt;10.01&lt;/D&gt;&lt;D xsi:type="xsd:double"&gt;9.99&lt;/D&gt;&lt;D xsi:type="xsd:double"&gt;9.97&lt;/D&gt;&lt;D xsi:type="xsd:double"&gt;9.81&lt;/D&gt;&lt;D xsi:type="xsd:double"&gt;9.32&lt;/D&gt;&lt;D xsi:type="xsd:double"&gt;9.55&lt;/D&gt;&lt;D xsi:type="xsd:double"&gt;9.36&lt;/D&gt;&lt;D xsi:type="xsd:double"&gt;9.85&lt;/D&gt;&lt;D xsi:type="xsd:double"&gt;10.32&lt;/D&gt;&lt;D xsi:type="xsd:double"&gt;10.26&lt;/D&gt;&lt;D xsi:type="xsd:double"&gt;10.6&lt;/D&gt;&lt;D xsi:type="xsd:double"&gt;10.12&lt;/D&gt;&lt;D xsi:type="xsd:double"&gt;9.48&lt;/D&gt;&lt;D xsi:type="xsd:double"&gt;9.24&lt;/D&gt;&lt;D xsi:type="xsd:double"&gt;9.4&lt;/D&gt;&lt;D xsi:type="xsd:double"&gt;9.39&lt;/D&gt;&lt;D xsi:type="xsd:double"&gt;9.53&lt;/D&gt;&lt;D xsi:type="xsd:double"&gt;9.81&lt;/D&gt;&lt;D xsi:type="xsd:double"&gt;11.06&lt;/D&gt;&lt;D xsi:type="xsd:double"&gt;10.7&lt;/D&gt;&lt;D xsi:type="xsd:double"&gt;10.48&lt;/D&gt;&lt;D xsi:type="xsd:double"&gt;11.41&lt;/D&gt;&lt;D xsi:type="xsd:double"&gt;11.37&lt;/D&gt;&lt;D xsi:type="xsd:double"&gt;11.59&lt;/D&gt;&lt;D xsi:type="xsd:double"&gt;11.07&lt;/D&gt;&lt;D xsi:type="xsd:double"&gt;11.06&lt;/D&gt;&lt;D xsi:type="xsd:double"&gt;12.75&lt;/D&gt;&lt;D xsi:type="xsd:double"&gt;12.26&lt;/D&gt;&lt;D xsi:type="xsd:double"&gt;12.04&lt;/D&gt;&lt;D xsi:type="xsd:double"&gt;12.36&lt;/D&gt;&lt;D xsi:type="xsd:double"&gt;12.49&lt;/D&gt;&lt;D xsi:type="xsd:double"&gt;13.17&lt;/D&gt;&lt;D xsi:type="xsd:double"&gt;13.18&lt;/D&gt;&lt;D xsi:type="xsd:double"&gt;13.61&lt;/D&gt;&lt;D xsi:type="xsd:double"&gt;13.73&lt;/D&gt;&lt;D xsi:type="xsd:double"&gt;13.06&lt;/D&gt;&lt;D xsi:type="xsd:double"&gt;12.61&lt;/D&gt;&lt;D xsi:type="xsd:double"&gt;12.05&lt;/D&gt;&lt;D xsi:type="xsd:double"&gt;11.92&lt;/D&gt;&lt;D xsi:type="xsd:double"&gt;11.55&lt;/D&gt;&lt;D xsi:type="xsd:double"&gt;11.25&lt;/D&gt;&lt;D xsi:type="xsd:double"&gt;9.21&lt;/D&gt;&lt;D xsi:type="xsd:double"&gt;7.61&lt;/D&gt;&lt;D xsi:type="xsd:double"&gt;6.55&lt;/D&gt;&lt;D xsi:type="xsd:double"&gt;4.23&lt;/D&gt;&lt;D xsi:type="xsd:double"&gt;4.87&lt;/D&gt;&lt;D xsi:type="xsd:double"&gt;4.29&lt;/D&gt;&lt;D xsi:type="xsd:double"&gt;5.52&lt;/D&gt;&lt;D xsi:type="xsd:double"&gt;5.75&lt;/D&gt;&lt;D xsi:type="xsd:double"&gt;6.34&lt;/D&gt;&lt;D xsi:type="xsd:double"&gt;6.64&lt;/D&gt;&lt;D xsi:type="xsd:double"&gt;6.16&lt;/D&gt;&lt;D xsi:type="xsd:double"&gt;5.47&lt;/D&gt;&lt;D xsi:type="xsd:double"&gt;5.55&lt;/D&gt;&lt;D xsi:type="xsd:double"&gt;7&lt;/D&gt;&lt;D xsi:type="xsd:double"&gt;7.81&lt;/D&gt;&lt;D xsi:type="xsd:double"&gt;6.9&lt;/D&gt;&lt;D xsi:type="xsd:double"&gt;7.75&lt;/D&gt;&lt;D xsi:type="xsd:double"&gt;6.25&lt;/D&gt;&lt;D xsi:type="xsd:double"&gt;6.67&lt;/D&gt;&lt;D xsi:type="xsd:double"&gt;6.82&lt;/D&gt;&lt;D xsi:type="xsd:double"&gt;6.95&lt;/D&gt;&lt;D xsi:type="xsd:double"&gt;7.31&lt;/D&gt;&lt;D xsi:type="xsd:double"&gt;7.64&lt;/D&gt;&lt;D xsi:type="xsd:double"&gt;8.28&lt;/D&gt;&lt;D xsi:type="xsd:double"&gt;9.15&lt;/D&gt;&lt;D xsi:type="xsd:double"&gt;9.25&lt;/D&gt;&lt;D xsi:type="xsd:double"&gt;9.22&lt;/D&gt;&lt;D xsi:type="xsd:double"&gt;9.15&lt;/D&gt;&lt;D xsi:type="xsd:double"&gt;9.39&lt;/D&gt;&lt;D xsi:type="xsd:double"&gt;9.5&lt;/D&gt;&lt;D xsi:type="xsd:double"&gt;8.18&lt;/D&gt;&lt;D xsi:type="xsd:double"&gt;8.54&lt;/D&gt;&lt;D xsi:type="xsd:double"&gt;8.96&lt;/D&gt;&lt;D xsi:type="xsd:double"&gt;8.16&lt;/D&gt;&lt;D xsi:type="xsd:double"&gt;8.08&lt;/D&gt;&lt;D xsi:type="xsd:double"&gt;6.85&lt;/D&gt;&lt;D xsi:type="xsd:double"&gt;6.18&lt;/D&gt;&lt;D xsi:type="xsd:double"&gt;7.49&lt;/D&gt;&lt;D xsi:type="xsd:double"&gt;7.86&lt;/D&gt;&lt;D xsi:type="xsd:double"&gt;8.25&lt;/D&gt;&lt;D xsi:type="xsd:double"&gt;8.1&lt;/D&gt;&lt;D xsi:type="xsd:double"&gt;8.89&lt;/D&gt;&lt;D xsi:type="xsd:double"&gt;11.15&lt;/D&gt;&lt;D xsi:type="xsd:double"&gt;11.15&lt;/D&gt;&lt;D xsi:type="xsd:double"&gt;10.95&lt;/D&gt;&lt;D xsi:type="xsd:double"&gt;10.43&lt;/D&gt;&lt;D xsi:type="xsd:double"&gt;10.98&lt;/D&gt;&lt;D xsi:type="xsd:double"&gt;10.93&lt;/D&gt;&lt;D xsi:type="xsd:double"&gt;9.59&lt;/D&gt;&lt;D xsi:type="xsd:double"&gt;9.69&lt;/D&gt;&lt;D xsi:type="xsd:double"&gt;10.46&lt;/D&gt;&lt;D xsi:type="xsd:double"&gt;10.22&lt;/D&gt;&lt;D xsi:type="xsd:double"&gt;10.02&lt;/D&gt;&lt;D xsi:type="xsd:double"&gt;10.1&lt;/D&gt;&lt;D xsi:type="xsd:double"&gt;10.76&lt;/D&gt;&lt;D xsi:type="xsd:double"&gt;9.72&lt;/D&gt;&lt;D xsi:type="xsd:double"&gt;9.36&lt;/D&gt;&lt;D xsi:type="xsd:double"&gt;9.15&lt;/D&gt;&lt;D xsi:type="xsd:double"&gt;9.1&lt;/D&gt;&lt;D xsi:type="xsd:double"&gt;9.65&lt;/D&gt;&lt;D xsi:type="xsd:double"&gt;10.17&lt;/D&gt;&lt;D xsi:type="xsd:double"&gt;10.57&lt;/D&gt;&lt;D xsi:type="xsd:double"&gt;11.7&lt;/D&gt;&lt;D xsi:type="xsd:double"&gt;11.24&lt;/D&gt;&lt;D xsi:type="xsd:double"&gt;10.82&lt;/D&gt;&lt;D xsi:type="xsd:double"&gt;10.54&lt;/D&gt;&lt;D xsi:type="xsd:double"&gt;10.14&lt;/D&gt;&lt;D xsi:type="xsd:double"&gt;11.05&lt;/D&gt;&lt;D xsi:type="xsd:double"&gt;10.64&lt;/D&gt;&lt;D xsi:type="xsd:double"&gt;11.14&lt;/D&gt;&lt;D xsi:type="xsd:double"&gt;10.58&lt;/D&gt;&lt;D xsi:type="xsd:double"&gt;10.3&lt;/D&gt;&lt;D xsi:type="xsd:double"&gt;9.44&lt;/D&gt;&lt;D xsi:type="xsd:double"&gt;9.3&lt;/D&gt;&lt;D xsi:type="xsd:double"&gt;9.6&lt;/D&gt;&lt;D xsi:type="xsd:double"&gt;9.49&lt;/D&gt;&lt;D xsi:type="xsd:double"&gt;9.25&lt;/D&gt;&lt;D xsi:type="xsd:double"&gt;8.77&lt;/D&gt;&lt;D xsi:type="xsd:double"&gt;9&lt;/D&gt;&lt;D xsi:type="xsd:double"&gt;8.99&lt;/D&gt;&lt;D xsi:type="xsd:double"&gt;8.67&lt;/D&gt;&lt;D xsi:type="xsd:double"&gt;8.54&lt;/D&gt;&lt;D xsi:type="xsd:double"&gt;8.59&lt;/D&gt;&lt;D xsi:type="xsd:double"&gt;9.16&lt;/D&gt;&lt;D xsi:type="xsd:double"&gt;8.75&lt;/D&gt;&lt;D xsi:type="xsd:double"&gt;8.67&lt;/D&gt;&lt;D xsi:type="xsd:double"&gt;8.48&lt;/D&gt;&lt;D xsi:type="xsd:double"&gt;8.3&lt;/D&gt;&lt;D xsi:type="xsd:double"&gt;8.43&lt;/D&gt;&lt;D xsi:type="xsd:double"&gt;9&lt;/D&gt;&lt;D xsi:type="xsd:double"&gt;8.37&lt;/D&gt;&lt;D xsi:type="xsd:double"&gt;8.03&lt;/D&gt;&lt;D xsi:type="xsd:double"&gt;9.63&lt;/D&gt;&lt;D xsi:type="xsd:double"&gt;9.84&lt;/D&gt;&lt;D xsi:type="xsd:double"&gt;8.81&lt;/D&gt;&lt;D xsi:type="xsd:double"&gt;8.8&lt;/D&gt;&lt;D xsi:type="xsd:double"&gt;8.87&lt;/D&gt;&lt;D xsi:type="xsd:double"&gt;9.1&lt;/D&gt;&lt;D xsi:type="xsd:double"&gt;9.43&lt;/D&gt;&lt;D xsi:type="xsd:double"&gt;8.71&lt;/D&gt;&lt;D xsi:type="xsd:double"&gt;8.64&lt;/D&gt;&lt;D xsi:type="xsd:double"&gt;9.34&lt;/D&gt;&lt;D xsi:type="xsd:double"&gt;9.47&lt;/D&gt;&lt;D xsi:type="xsd:double"&gt;10.04&lt;/D&gt;&lt;D xsi:type="xsd:double"&gt;10.27&lt;/D&gt;&lt;D xsi:type="xsd:double"&gt;10.39&lt;/D&gt;&lt;D xsi:type="xsd:double"&gt;11.22&lt;/D&gt;&lt;D xsi:type="xsd:double"&gt;10.77&lt;/D&gt;&lt;D xsi:type="xsd:double"&gt;12.84&lt;/D&gt;&lt;D xsi:type="xsd:double"&gt;12.48&lt;/D&gt;&lt;D xsi:type="xsd:double"&gt;12.74&lt;/D&gt;&lt;D xsi:type="xsd:double"&gt;14.02&lt;/D&gt;&lt;D xsi:type="xsd:double"&gt;12.8&lt;/D&gt;&lt;D xsi:type="xsd:double"&gt;13.02&lt;/D&gt;&lt;D xsi:type="xsd:double"&gt;13.39&lt;/D&gt;&lt;D xsi:type="xsd:double"&gt;12.74&lt;/D&gt;&lt;D xsi:type="xsd:double"&gt;14.02&lt;/D&gt;&lt;D xsi:type="xsd:double"&gt;13.56&lt;/D&gt;&lt;D xsi:type="xsd:double"&gt;14.37&lt;/D&gt;&lt;D xsi:type="xsd:double"&gt;12.81&lt;/D&gt;&lt;D xsi:type="xsd:double"&gt;11.13&lt;/D&gt;&lt;D xsi:type="xsd:double"&gt;10.93&lt;/D&gt;&lt;D xsi:type="xsd:double"&gt;11.11&lt;/D&gt;&lt;D xsi:type="xsd:double"&gt;10.69&lt;/D&gt;&lt;D xsi:type="xsd:double"&gt;10.45&lt;/D&gt;&lt;D xsi:type="xsd:double"&gt;10.99&lt;/D&gt;&lt;D xsi:type="xsd:double"&gt;11.65&lt;/D&gt;&lt;D xsi:type="xsd:double"&gt;11.12&lt;/D&gt;&lt;D xsi:type="xsd:double"&gt;11.51&lt;/D&gt;&lt;D xsi:type="xsd:double"&gt;11.29&lt;/D&gt;&lt;D xsi:type="xsd:double"&gt;12.58&lt;/D&gt;&lt;D xsi:type="xsd:double"&gt;11.92&lt;/D&gt;&lt;D xsi:type="xsd:double"&gt;11.85&lt;/D&gt;&lt;D xsi:type="xsd:double"&gt;11.4&lt;/D&gt;&lt;D xsi:type="xsd:double"&gt;10.98&lt;/D&gt;&lt;D xsi:type="xsd:double"&gt;11.45&lt;/D&gt;&lt;D xsi:type="xsd:double"&gt;11.84&lt;/D&gt;&lt;D xsi:type="xsd:double"&gt;11.74&lt;/D&gt;&lt;D xsi:type="xsd:double"&gt;12.26&lt;/D&gt;&lt;D xsi:type="xsd:double"&gt;12.3&lt;/D&gt;&lt;D xsi:type="xsd:double"&gt;12.85&lt;/D&gt;&lt;D xsi:type="xsd:double"&gt;12.7&lt;/D&gt;&lt;D xsi:type="xsd:double"&gt;12.46&lt;/D&gt;&lt;D xsi:type="xsd:double"&gt;12.35&lt;/D&gt;&lt;D xsi:type="xsd:double"&gt;12.4&lt;/D&gt;&lt;D xsi:type="xsd:double"&gt;11.67&lt;/D&gt;&lt;D xsi:type="xsd:double"&gt;11.95&lt;/D&gt;&lt;D xsi:type="xsd:double"&gt;11.93&lt;/D&gt;&lt;D xsi:type="xsd:double"&gt;11.96&lt;/D&gt;&lt;D xsi:type="xsd:double"&gt;11.48&lt;/D&gt;&lt;D xsi:type="xsd:double"&gt;12.09&lt;/D&gt;&lt;D xsi:type="xsd:double"&gt;12.31&lt;/D&gt;&lt;D xsi:type="xsd:double"&gt;12.97&lt;/D&gt;&lt;D xsi:type="xsd:double"&gt;13.01&lt;/D&gt;&lt;D xsi:type="xsd:double"&gt;13.35&lt;/D&gt;&lt;D xsi:type="xsd:double"&gt;13.34&lt;/D&gt;&lt;D xsi:type="xsd:double"&gt;13.69&lt;/D&gt;&lt;D xsi:type="xsd:double"&gt;14.04&lt;/D&gt;&lt;D xsi:type="xsd:double"&gt;12.81&lt;/D&gt;&lt;D xsi:type="xsd:double"&gt;12.06&lt;/D&gt;&lt;D xsi:type="xsd:double"&gt;13.34&lt;/D&gt;&lt;D xsi:type="xsd:double"&gt;14&lt;/D&gt;&lt;D xsi:type="xsd:double"&gt;13.54&lt;/D&gt;&lt;D xsi:type="xsd:double"&gt;14&lt;/D&gt;&lt;D xsi:type="xsd:double"&gt;13.96&lt;/D&gt;&lt;D xsi:type="xsd:double"&gt;13.81&lt;/D&gt;&lt;D xsi:type="xsd:double"&gt;12.78&lt;/D&gt;&lt;D xsi:type="xsd:double"&gt;13.01&lt;/D&gt;&lt;D xsi:type="xsd:double"&gt;13.04&lt;/D&gt;&lt;D xsi:type="xsd:double"&gt;13.17&lt;/D&gt;&lt;D xsi:type="xsd:double"&gt;13.28&lt;/D&gt;&lt;D xsi:type="xsd:double"&gt;13.01&lt;/D&gt;&lt;D xsi:type="xsd:double"&gt;12.81&lt;/D&gt;&lt;D xsi:type="xsd:double"&gt;12.82&lt;/D&gt;&lt;D xsi:type="xsd:double"&gt;13.01&lt;/D&gt;&lt;D xsi:type="xsd:double"&gt;13.14&lt;/D&gt;&lt;D xsi:type="xsd:double"&gt;13.42&lt;/D&gt;&lt;D xsi:type="xsd:double"&gt;13.5&lt;/D&gt;&lt;D xsi:type="xsd:double"&gt;13.76&lt;/D&gt;&lt;D xsi:type="xsd:double"&gt;13.6&lt;/D&gt;&lt;D xsi:type="xsd:double"&gt;13.94&lt;/D&gt;&lt;D xsi:type="xsd:double"&gt;13.63&lt;/D&gt;&lt;D xsi:type="xsd:double"&gt;13.27&lt;/D&gt;&lt;D xsi:type="xsd:double"&gt;14.1&lt;/D&gt;&lt;D xsi:type="xsd:double"&gt;13.88&lt;/D&gt;&lt;D xsi:type="xsd:double"&gt;14&lt;/D&gt;&lt;D xsi:type="xsd:double"&gt;14.66&lt;/D&gt;&lt;D xsi:type="xsd:double"&gt;14.77&lt;/D&gt;&lt;D xsi:type="xsd:double"&gt;14.24&lt;/D&gt;&lt;D xsi:type="xsd:double"&gt;14.23&lt;/D&gt;&lt;D xsi:type="xsd:double"&gt;14.21&lt;/D&gt;&lt;D xsi:type="xsd:double"&gt;14.14&lt;/D&gt;&lt;D xsi:type="xsd:double"&gt;14.33&lt;/D&gt;&lt;D xsi:type="xsd:double"&gt;14.28&lt;/D&gt;&lt;D xsi:type="xsd:double"&gt;14.31&lt;/D&gt;&lt;D xsi:type="xsd:double"&gt;15.08&lt;/D&gt;&lt;D xsi:type="xsd:double"&gt;14.94&lt;/D&gt;&lt;D xsi:type="xsd:double"&gt;14.14&lt;/D&gt;&lt;D xsi:type="xsd:double"&gt;14.47&lt;/D&gt;&lt;D xsi:type="xsd:double"&gt;14.88&lt;/D&gt;&lt;D xsi:type="xsd:double"&gt;14.55&lt;/D&gt;&lt;D xsi:type="xsd:double"&gt;15.68&lt;/D&gt;&lt;D xsi:type="xsd:double"&gt;15.41&lt;/D&gt;&lt;D xsi:type="xsd:doubl</t>
        </r>
      </text>
    </comment>
    <comment ref="A4" authorId="0" shapeId="0" xr:uid="{00000000-0006-0000-0000-000004000000}">
      <text>
        <r>
          <rPr>
            <sz val="11"/>
            <color theme="1"/>
            <rFont val="맑은 고딕"/>
            <family val="2"/>
            <charset val="129"/>
            <scheme val="minor"/>
          </rPr>
          <t>e"&gt;15.96&lt;/D&gt;&lt;D xsi:type="xsd:double"&gt;16.2&lt;/D&gt;&lt;D xsi:type="xsd:double"&gt;15.66&lt;/D&gt;&lt;D xsi:type="xsd:double"&gt;15.33&lt;/D&gt;&lt;D xsi:type="xsd:double"&gt;15.53&lt;/D&gt;&lt;D xsi:type="xsd:double"&gt;15.18&lt;/D&gt;&lt;D xsi:type="xsd:double"&gt;15.01&lt;/D&gt;&lt;D xsi:type="xsd:double"&gt;15.05&lt;/D&gt;&lt;D xsi:type="xsd:double"&gt;15.35&lt;/D&gt;&lt;D xsi:type="xsd:double"&gt;15.06&lt;/D&gt;&lt;D xsi:type="xsd:double"&gt;15.35&lt;/D&gt;&lt;D xsi:type="xsd:double"&gt;15.43&lt;/D&gt;&lt;D xsi:type="xsd:double"&gt;15.05&lt;/D&gt;&lt;D xsi:type="xsd:double"&gt;14.97&lt;/D&gt;&lt;D xsi:type="xsd:double"&gt;15.21&lt;/D&gt;&lt;D xsi:type="xsd:double"&gt;15.41&lt;/D&gt;&lt;D xsi:type="xsd:double"&gt;16.32&lt;/D&gt;&lt;D xsi:type="xsd:double"&gt;16.69&lt;/D&gt;&lt;D xsi:type="xsd:double"&gt;17.32&lt;/D&gt;&lt;D xsi:type="xsd:double"&gt;17.49&lt;/D&gt;&lt;D xsi:type="xsd:double"&gt;16.49&lt;/D&gt;&lt;D xsi:type="xsd:double"&gt;15.88&lt;/D&gt;&lt;D xsi:type="xsd:double"&gt;16.72&lt;/D&gt;&lt;D xsi:type="xsd:double"&gt;17.46&lt;/D&gt;&lt;D xsi:type="xsd:double"&gt;17.7&lt;/D&gt;&lt;D xsi:type="xsd:double"&gt;17.1&lt;/D&gt;&lt;D xsi:type="xsd:double"&gt;16.92&lt;/D&gt;&lt;D xsi:type="xsd:double"&gt;16.23&lt;/D&gt;&lt;D xsi:type="xsd:double"&gt;15.72&lt;/D&gt;&lt;D xsi:type="xsd:double"&gt;15.45&lt;/D&gt;&lt;D xsi:type="xsd:double"&gt;16.08&lt;/D&gt;&lt;D xsi:type="xsd:double"&gt;16.4&lt;/D&gt;&lt;D xsi:type="xsd:double"&gt;16.81&lt;/D&gt;&lt;D xsi:type="xsd:double"&gt;15.53&lt;/D&gt;&lt;D xsi:type="xsd:double"&gt;15.66&lt;/D&gt;&lt;D xsi:type="xsd:double"&gt;15.95&lt;/D&gt;&lt;D xsi:type="xsd:double"&gt;16.37&lt;/D&gt;&lt;D xsi:type="xsd:double"&gt;16.66&lt;/D&gt;&lt;D xsi:type="xsd:double"&gt;16.26&lt;/D&gt;&lt;D xsi:type="xsd:double"&gt;16.57&lt;/D&gt;&lt;D xsi:type="xsd:double"&gt;15.85&lt;/D&gt;&lt;D xsi:type="xsd:double"&gt;15.4&lt;/D&gt;&lt;D xsi:type="xsd:double"&gt;15.61&lt;/D&gt;&lt;D xsi:type="xsd:double"&gt;16.13&lt;/D&gt;&lt;D xsi:type="xsd:double"&gt;16.32&lt;/D&gt;&lt;D xsi:type="xsd:double"&gt;15.66&lt;/D&gt;&lt;D xsi:type="xsd:double"&gt;15.38&lt;/D&gt;&lt;D xsi:type="xsd:double"&gt;15.45&lt;/D&gt;&lt;D xsi:type="xsd:double"&gt;14.93&lt;/D&gt;&lt;D xsi:type="xsd:double"&gt;14.98&lt;/D&gt;&lt;D xsi:type="xsd:double"&gt;15.79&lt;/D&gt;&lt;D xsi:type="xsd:double"&gt;17.1&lt;/D&gt;&lt;D xsi:type="xsd:double"&gt;16.68&lt;/D&gt;&lt;D xsi:type="xsd:double"&gt;16.36&lt;/D&gt;&lt;D xsi:type="xsd:double"&gt;16.61&lt;/D&gt;&lt;D xsi:type="xsd:double"&gt;16.52&lt;/D&gt;&lt;D xsi:type="xsd:double"&gt;16.38&lt;/D&gt;&lt;D xsi:type="xsd:double"&gt;15.67&lt;/D&gt;&lt;D xsi:type="xsd:double"&gt;15.18&lt;/D&gt;&lt;D xsi:type="xsd:double"&gt;14.41&lt;/D&gt;&lt;D xsi:type="xsd:double"&gt;13.68&lt;/D&gt;&lt;D xsi:type="xsd:double"&gt;13.91&lt;/D&gt;&lt;D xsi:type="xsd:double"&gt;13.38&lt;/D&gt;&lt;D xsi:type="xsd:double"&gt;10.92&lt;/D&gt;&lt;D xsi:type="xsd:double"&gt;12.5&lt;/D&gt;&lt;D xsi:type="xsd:double"&gt;12.68&lt;/D&gt;&lt;D xsi:type="xsd:double"&gt;12.84&lt;/D&gt;&lt;D xsi:type="xsd:double"&gt;13.07&lt;/D&gt;&lt;D xsi:type="xsd:double"&gt;13.45&lt;/D&gt;&lt;D xsi:type="xsd:double"&gt;14.05&lt;/D&gt;&lt;D xsi:type="xsd:double"&gt;13.99&lt;/D&gt;&lt;D xsi:type="xsd:double"&gt;14.17&lt;/D&gt;&lt;D xsi:type="xsd:double"&gt;13.86&lt;/D&gt;&lt;D xsi:type="xsd:double"&gt;14.58&lt;/D&gt;&lt;D xsi:type="xsd:double"&gt;14.62&lt;/D&gt;&lt;D xsi:type="xsd:double"&gt;14.53&lt;/D&gt;&lt;D xsi:type="xsd:double"&gt;15.23&lt;/D&gt;&lt;D xsi:type="xsd:double"&gt;15.52&lt;/D&gt;&lt;D xsi:type="xsd:double"&gt;15.76&lt;/D&gt;&lt;D xsi:type="xsd:double"&gt;16.02&lt;/D&gt;&lt;D xsi:type="xsd:double"&gt;15.47&lt;/D&gt;&lt;D xsi:type="xsd:double"&gt;15.86&lt;/D&gt;&lt;D xsi:type="xsd:double"&gt;15.72&lt;/D&gt;&lt;D xsi:type="xsd:double"&gt;16.4&lt;/D&gt;&lt;D xsi:type="xsd:double"&gt;16.09&lt;/D&gt;&lt;D xsi:type="xsd:double"&gt;16.62&lt;/D&gt;&lt;D xsi:type="xsd:double"&gt;16.52&lt;/D&gt;&lt;D xsi:type="xsd:double"&gt;16.5&lt;/D&gt;&lt;D xsi:type="xsd:double"&gt;16.02&lt;/D&gt;&lt;D xsi:type="xsd:double"&gt;15.76&lt;/D&gt;&lt;D xsi:type="xsd:double"&gt;14.4&lt;/D&gt;&lt;D xsi:type="xsd:double"&gt;14.91&lt;/D&gt;&lt;D xsi:type="xsd:double"&gt;15.73&lt;/D&gt;&lt;D xsi:type="xsd:double"&gt;16.44&lt;/D&gt;&lt;D xsi:type="xsd:double"&gt;17.05&lt;/D&gt;&lt;D xsi:type="xsd:double"&gt;17.65&lt;/D&gt;&lt;D xsi:type="xsd:double"&gt;17.99&lt;/D&gt;&lt;D xsi:type="xsd:double"&gt;17.89&lt;/D&gt;&lt;D xsi:type="xsd:double"&gt;17.76&lt;/D&gt;&lt;D xsi:type="xsd:double"&gt;17.49&lt;/D&gt;&lt;D xsi:type="xsd:double"&gt;17.3&lt;/D&gt;&lt;D xsi:type="xsd:double"&gt;17.18&lt;/D&gt;&lt;D xsi:type="xsd:double"&gt;17.35&lt;/D&gt;&lt;D xsi:type="xsd:double"&gt;17.95&lt;/D&gt;&lt;D xsi:type="xsd:double"&gt;18&lt;/D&gt;&lt;D xsi:type="xsd:double"&gt;18.39&lt;/D&gt;&lt;D xsi:type="xsd:double"&gt;18.53&lt;/D&gt;&lt;D xsi:type="xsd:double"&gt;18.23&lt;/D&gt;&lt;D xsi:type="xsd:double"&gt;19.3&lt;/D&gt;&lt;D xsi:type="xsd:double"&gt;20.19&lt;/D&gt;&lt;/FQL&gt;&lt;FQL&gt;&lt;Q&gt;LPG-US^P_PRICE(1/4/2019,NOW,W)&lt;/Q&gt;&lt;R&gt;373&lt;/R&gt;&lt;C&gt;1&lt;/C&gt;&lt;D xsi:type="xsd:double"&gt;6.07&lt;/D&gt;&lt;D xsi:type="xsd:double"&gt;6.34&lt;/D&gt;&lt;D xsi:type="xsd:double"&gt;6.09&lt;/D&gt;&lt;D xsi:type="xsd:double"&gt;5.8&lt;/D&gt;&lt;D xsi:type="xsd:double"&gt;5.53&lt;/D&gt;&lt;D xsi:type="xsd:double"&gt;5.61&lt;/D&gt;&lt;D xsi:type="xsd:double"&gt;6.1&lt;/D&gt;&lt;D xsi:type="xsd:double"&gt;6.13&lt;/D&gt;&lt;D xsi:type="xsd:double"&gt;5.75&lt;/D&gt;&lt;D xsi:type="xsd:double"&gt;5.29&lt;/D&gt;&lt;D xsi:type="xsd:double"&gt;5.77&lt;/D&gt;&lt;D xsi:type="xsd:double"&gt;5.92&lt;/D&gt;&lt;D xsi:type="xsd:double"&gt;6.42&lt;/D&gt;&lt;D xsi:type="xsd:double"&gt;7.69&lt;/D&gt;&lt;D xsi:type="xsd:double"&gt;7.88&lt;/D&gt;&lt;D xsi:type="xsd:double"&gt;7.95&lt;/D&gt;&lt;D xsi:type="xsd:double"&gt;8.13&lt;/D&gt;&lt;D xsi:type="xsd:double"&gt;8&lt;/D&gt;&lt;D xsi:type="xsd:double"&gt;7.71&lt;/D&gt;&lt;D xsi:type="xsd:double"&gt;7.71&lt;/D&gt;&lt;D xsi:type="xsd:double"&gt;7.41&lt;/D&gt;&lt;D xsi:type="xsd:double"&gt;7.06&lt;/D&gt;&lt;D xsi:type="xsd:double"&gt;7.87&lt;/D&gt;&lt;D xsi:type="xsd:double"&gt;8.3&lt;/D&gt;&lt;D xsi:type="xsd:double"&gt;8.85&lt;/D&gt;&lt;D xsi:type="xsd:double"&gt;9.02&lt;/D&gt;&lt;D xsi:type="xsd:double"&gt;9.1&lt;/D&gt;&lt;D xsi:type="xsd:double"&gt;9.6&lt;/D&gt;&lt;D xsi:type="xsd:double"&gt;9.38&lt;/D&gt;&lt;D xsi:type="xsd:double"&gt;9.75&lt;/D&gt;&lt;D xsi:type="xsd:double"&gt;8.75&lt;/D&gt;&lt;D xsi:type="xsd:double"&gt;8.82&lt;/D&gt;&lt;D xsi:type="xsd:double"&gt;9.37&lt;/D&gt;&lt;D xsi:type="xsd:double"&gt;9.66&lt;/D&gt;&lt;D xsi:type="xsd:double"&gt;10.39&lt;/D&gt;&lt;D xsi:type="xsd:double"&gt;10.65&lt;/D&gt;&lt;D xsi:type="xsd:double"&gt;10.59&lt;/D&gt;&lt;D xsi:type="xsd:double"&gt;10.88&lt;/D&gt;&lt;D xsi:type="xsd:double"&gt;10.7&lt;/D&gt;&lt;D xsi:type="xsd:double"&gt;10.94&lt;/D&gt;&lt;D xsi:type="xsd:double"&gt;11.49&lt;/D&gt;&lt;D xsi:type="xsd:double"&gt;12.09&lt;/D&gt;&lt;D xsi:type="xsd:double"&gt;12.41&lt;/D&gt;&lt;D xsi:type="xsd:double"&gt;12.87&lt;/D&gt;&lt;D xsi:type="xsd:double"&gt;12.43&lt;/D&gt;&lt;D xsi:type="xsd:double"&gt;12.92&lt;/D&gt;&lt;D xsi:type="xsd:double"&gt;14.28&lt;/D&gt;&lt;D xsi:type="xsd:double"&gt;14.35&lt;/D&gt;&lt;D xsi:type="xsd:double"&gt;14.24&lt;/D&gt;&lt;D xsi:type="xsd:double"&gt;14.78&lt;/D&gt;&lt;D xsi:type="xsd:double"&gt;14.78&lt;/D&gt;&lt;D xsi:type="xsd:double"&gt;14.94&lt;/D&gt;&lt;D xsi:type="xsd:double"&gt;15.34&lt;/D&gt;&lt;D xsi:type="xsd:double"&gt;15.34&lt;/D&gt;&lt;D xsi:type="xsd:double"&gt;14.83&lt;/D&gt;&lt;D xsi:type="xsd:double"&gt;13.94&lt;/D&gt;&lt;D xsi:type="xsd:double"&gt;13.12&lt;/D&gt;&lt;D xsi:type="xsd:double"&gt;12.75&lt;/D&gt;&lt;D xsi:type="xsd:double"&gt;12.84&lt;/D&gt;&lt;D xsi:type="xsd:double"&gt;12.17&lt;/D&gt;&lt;D xsi:type="xsd:double"&gt;11.12&lt;/D&gt;&lt;D xsi:type="xsd:double"&gt;9.89&lt;/D&gt;&lt;D xsi:type="xsd:double"&gt;8.88&lt;/D&gt;&lt;D xsi:type="xsd:double"&gt;7.25&lt;/D&gt;&lt;D xsi:type="xsd:double"&gt;8.15&lt;/D&gt;&lt;D xsi:type="xsd:double"&gt;7.35&lt;/D&gt;&lt;D xsi:type="xsd:double"&gt;8.2&lt;/D&gt;&lt;D xsi:type="xsd:double"&gt;9.09&lt;/D&gt;&lt;D xsi:type="xsd:double"&gt;8.89&lt;/D&gt;&lt;D xsi:type="xsd:double"&gt;9&lt;/D&gt;&lt;D xsi:type="xsd:double"&gt;8.55&lt;/D&gt;&lt;D xsi:type="xsd:double"&gt;7.53&lt;/D&gt;&lt;D xsi:type="xsd:double"&gt;7.83&lt;/D&gt;&lt;D xsi:type="xsd:double"&gt;8.22&lt;/D&gt;&lt;D xsi:type="xsd:double"&gt;8.3&lt;/D&gt;&lt;D xsi:type="xsd:double"&gt;8.05&lt;/D&gt;&lt;D xsi:type="xsd:double"&gt;7.87&lt;/D&gt;&lt;D xsi:type="xsd:double"&gt;7.36&lt;/D&gt;&lt;D xsi:type="xsd:double"&gt;7.35&lt;/D&gt;&lt;D xsi:type="xsd:double"&gt;7.67&lt;/D&gt;&lt;D xsi:type="xsd:double"&gt;7.67&lt;/D&gt;&lt;D xsi:type="xsd:double"&gt;8.11&lt;/D&gt;&lt;D xsi:type="xsd:double"&gt;8.54&lt;/D&gt;&lt;D xsi:type="xsd:double"&gt;8.85&lt;/D&gt;&lt;D xsi:type="xsd:double"&gt;9.27&lt;/D&gt;&lt;D xsi:type="xsd:double"&gt;8.6&lt;/D&gt;&lt;D xsi:type="xsd:double"&gt;8.5&lt;/D&gt;&lt;D xsi:type="xsd:double"&gt;7.96&lt;/D&gt;&lt;D xsi:type="xsd:double"&gt;8.87&lt;/D&gt;&lt;D xsi:type="xsd:double"&gt;8.5&lt;/D&gt;&lt;D xsi:type="xsd:double"&gt;7.6&lt;/D&gt;&lt;D xsi:type="xsd:double"&gt;8.42&lt;/D&gt;&lt;D xsi:type="xsd:double"&gt;8.77&lt;/D&gt;&lt;D xsi:type="xsd:double"&gt;9.24&lt;/D&gt;&lt;D xsi:type="xsd:double"&gt;8.78&lt;/D&gt;&lt;D xsi:type="xsd:double"&gt;8.2&lt;/D&gt;&lt;D xsi:type="xsd:double"&gt;8.09&lt;/D&gt;&lt;D xsi:type="xsd:double"&gt;9.05&lt;/D&gt;&lt;D xsi:type="xsd:double"&gt;9.87&lt;/D&gt;&lt;D xsi:type="xsd:double"&gt;11.27&lt;/D&gt;&lt;D xsi:type="xsd:double"&gt;11.51&lt;/D&gt;&lt;D xsi:type="xsd:double"&gt;12.08&lt;/D&gt;&lt;D xsi:type="xsd:double"&gt;11.29&lt;/D&gt;&lt;D xsi:type="xsd:double"&gt;11.78&lt;/D&gt;&lt;D xsi:type="xsd:double"&gt;12.19&lt;/D&gt;&lt;D xsi:type="xsd:double"&gt;14.43&lt;/D&gt;&lt;D xsi:type="xsd:double"&gt;13.58&lt;/D&gt;&lt;D xsi:type="xsd:double"&gt;12.67&lt;/D&gt;&lt;D xsi:type="xsd:double"&gt;11.59&lt;/D&gt;&lt;D xsi:type="xsd:double"&gt;13.45&lt;/D&gt;&lt;D xsi:type="xsd:double"&gt;14.17&lt;/D&gt;&lt;D xsi:type="xsd:double"&gt;13.43&lt;/D&gt;&lt;D xsi:type="xsd:double"&gt;12.45&lt;/D&gt;&lt;D xsi:type="xsd:double"&gt;12.99&lt;/D&gt;&lt;D xsi:type="xsd:double"&gt;14.19&lt;/D&gt;&lt;D xsi:type="xsd:double"&gt;13.7&lt;/D&gt;&lt;D xsi:type="xsd:double"&gt;13.74&lt;/D&gt;&lt;D xsi:type="xsd:double"&gt;13.06&lt;/D&gt;&lt;D xsi:type="xsd:double"&gt;12.86&lt;/D&gt;&lt;D xsi:type="xsd:double"&gt;12.9&lt;/D&gt;&lt;D xsi:type="xsd:double"&gt;13.09&lt;/D&gt;&lt;D xsi:type="xsd:double"&gt;13.29&lt;/D&gt;&lt;D xsi:type="xsd:double"&gt;13.89&lt;/D&gt;&lt;D xsi:type="xsd:double"&gt;15.03&lt;/D&gt;&lt;D xsi:type="xsd:double"&gt;14.99&lt;/D&gt;&lt;D xsi:type="xsd:double"&gt;14.21&lt;/D&gt;&lt;D xsi:type="xsd:double"&gt;14.18&lt;/D&gt;&lt;D xsi:type="xsd:double"&gt;14.71&lt;/D&gt;&lt;D xsi:type="xsd:double"&gt;14.26&lt;/D&gt;&lt;D xsi:type="xsd:double"&gt;15.08&lt;/D&gt;&lt;D xsi:type="xsd:double"&gt;13.75&lt;/D&gt;&lt;D xsi:type="xsd:double"&gt;12.8&lt;/D&gt;&lt;D xsi:type="xsd:double"&gt;12.46&lt;/D&gt;&lt;D xsi:type="xsd:double"&gt;12.07&lt;/D&gt;&lt;D xsi:type="xsd:double"&gt;12.1&lt;/D&gt;&lt;D xsi:type="xsd:double"&gt;12.46&lt;/D&gt;&lt;D xsi:type="xsd:double"&gt;12.06&lt;/D&gt;&lt;D xsi:type="xsd:double"&gt;11.78&lt;/D&gt;&lt;D xsi:type="xsd:double"&gt;13.29&lt;/D&gt;&lt;D xsi:type="xsd:double"&gt;13.56&lt;/D&gt;&lt;D xsi:type="xsd:double"&gt;12.57&lt;/D&gt;&lt;D xsi:type="xsd:double"&gt;11.46&lt;/D&gt;&lt;D xsi:type="xsd:double"&gt;12.33&lt;/D&gt;&lt;D xsi:type="xsd:double"&gt;12.76&lt;/D&gt;&lt;D xsi:type="xsd:double"&gt;12.69&lt;/D&gt;&lt;D xsi:type="xsd:double"&gt;12.49&lt;/D&gt;&lt;D xsi:type="xsd:double"&gt;12.17&lt;/D&gt;&lt;D xsi:type="xsd:double"&gt;12.12&lt;/D&gt;&lt;D xsi:type="xsd:double"&gt;12.81&lt;/D&gt;&lt;D xsi:type="xsd:double"&gt;12.96&lt;/D&gt;&lt;D xsi:type="xsd:double"&gt;12.68&lt;/D&gt;&lt;D xsi:type="xsd:double"&gt;12.51&lt;/D&gt;&lt;D xsi:type="xsd:double"&gt;12.17&lt;/D&gt;&lt;D xsi:type="xsd:double"&gt;12.76&lt;/D&gt;&lt;D xsi:type="xsd:double"&gt;12.55&lt;/D&gt;&lt;D xsi:type="xsd:double"&gt;12.66&lt;/D&gt;&lt;D xsi:type="xsd:double"&gt;12.69&lt;/D&gt;&lt;D xsi:type="xsd:double"&gt;13.87&lt;/D&gt;&lt;D xsi:type="xsd:double"&gt;13.44&lt;/D&gt;&lt;D xsi:type="xsd:double"&gt;11.55&lt;/D&gt;&lt;D xsi:type="xsd:double"&gt;12.04&lt;/D&gt;&lt;D xsi:type="xsd:double"&gt;12.42&lt;/D&gt;&lt;D xsi:type="xsd:double"&gt;12.65&lt;/D&gt;&lt;D xsi:type="xsd:double"&gt;12.58&lt;/D&gt;&lt;D xsi:type="xsd:double"&gt;13.51&lt;/D&gt;&lt;D xsi:type="xsd:double"&gt;14.29&lt;/D&gt;&lt;D xsi:type="xsd:double"&gt;13.98&lt;/D&gt;&lt;D xsi:type="xsd:double"&gt;13.64&lt;/D&gt;&lt;D xsi:type="xsd:double"&gt;14.86&lt;/D&gt;&lt;D xsi:type="xsd:double"&gt;14.74&lt;/D&gt;&lt;D xsi:type="xsd:double"&gt;15.37&lt;/D&gt;&lt;D xsi:type="xsd:double"&gt;15.77&lt;/D&gt;&lt;D xsi:type="xsd:double"&gt;14.86&lt;/D&gt;&lt;D xsi:type="xsd:double"&gt;14.72&lt;/D&gt;&lt;D xsi:type="xsd:double"&gt;17.32&lt;/D&gt;&lt;D xsi:type="xsd:double"&gt;15.36&lt;/D&gt;&lt;D xsi:type="xsd:double"&gt;15.81&lt;/D&gt;&lt;D xsi:type="xsd:double"&gt;16.86&lt;/D&gt;&lt;D xsi:type="xsd:double"&gt;18.07&lt;/D&gt;&lt;D xsi:type="xsd:double"&gt;16.86&lt;/D&gt;&lt;D xsi:type="xsd:double"&gt;14.43&lt;/D&gt;&lt;D xsi:type="xsd:double"&gt;14.69&lt;/D&gt;&lt;D xsi:type="xsd:double"&gt;14.96&lt;/D&gt;&lt;D xsi:type="xsd:double"&gt;14.65&lt;/D&gt;&lt;D xsi:type="xsd:double"&gt;15.27&lt;/D&gt;&lt;D xsi:type="xsd:double"&gt;15.72&lt;/D&gt;&lt;D xsi:type="xsd:double"&gt;16.12&lt;/D&gt;&lt;D xsi:type="xsd:double"&gt;15.7&lt;/D&gt;&lt;D xsi:type="xsd:double"&gt;15.42&lt;/D&gt;&lt;D xsi:type="xsd:double"&gt;15.09&lt;/D&gt;&lt;D xsi:type="xsd:double"&gt;15.45&lt;/D&gt;&lt;D xsi:type="xsd:double"&gt;14.56&lt;/D&gt;&lt;D xsi:type="xsd:double"&gt;14.52&lt;/D&gt;&lt;D xsi:type="xsd:double"&gt;13.96&lt;/D&gt;&lt;D xsi:type="xsd:double"&gt;13.07&lt;/D&gt;&lt;D xsi:type="xsd:double"&gt;13.57&lt;/D&gt;&lt;D xsi:type="xsd:double"&gt;14.51&lt;/D&gt;&lt;D xsi:type="xsd:double"&gt;14.96&lt;/D&gt;&lt;D xsi:type="xsd:double"&gt;15.76&lt;/D&gt;&lt;D xsi:type="xsd:double"&gt;17.57&lt;/D&gt;&lt;D xsi:type="xsd:double"&gt;18.85&lt;/D&gt;&lt;D xsi:type="xsd:double"&gt;18.62&lt;/D&gt;&lt;D xsi:type="xsd:double"&gt;19.13&lt;/D&gt;&lt;D xsi:type="xsd:double"&gt;19.36&lt;/D&gt;&lt;D xsi:type="xsd:double"&gt;20.49&lt;/D&gt;&lt;D xsi:type="xsd:double"&gt;18.49&lt;/D&gt;&lt;D xsi:type="xsd:double"&gt;19.17&lt;/D&gt;&lt;D xsi:type="xsd:double"&gt;19.52&lt;/D&gt;&lt;D xsi:type="xsd:double"&gt;18.95&lt;/D&gt;&lt;D xsi:type="xsd:double"&gt;16.36&lt;/D&gt;&lt;D xsi:type="xsd:double"&gt;17.83&lt;/D&gt;&lt;D xsi:type="xsd:double"&gt;18.44&lt;/D&gt;&lt;D xsi:type="xsd:double"&gt;18.64&lt;/D&gt;&lt;D xsi:type="xsd:double"&gt;22.26&lt;/D&gt;&lt;D xsi:type="xsd:double"&gt;22.51&lt;/D&gt;&lt;D xsi:type="xsd:double"&gt;21.69&lt;/D&gt;&lt;D xsi:type="xsd:double"&gt;21.89&lt;/D&gt;&lt;D xsi:type="xsd:double"&gt;22.49&lt;/D&gt;&lt;D xsi:type="xsd:double"&gt;21.24&lt;/D&gt;&lt;D xsi:type="xsd:double"&gt;19.52&lt;/D&gt;&lt;D xsi:type="xsd:double"&gt;20.66&lt;/D&gt;&lt;D xsi:type="xsd:double"&gt;19.94&lt;/D&gt;&lt;D xsi:type="xsd:double"&gt;19.65&lt;/D&gt;&lt;D xsi:type="xsd:double"&gt;21.66&lt;/D&gt;&lt;D xsi:type="xsd:double"&gt;21.88&lt;/D&gt;&lt;D xsi:type="xsd:double"&gt;22.22&lt;/D&gt;&lt;D xsi:type="xsd:double"&gt;21.11&lt;/D&gt;&lt;D xsi:type="xsd:double"&gt;21.79&lt;/D&gt;&lt;D xsi:type="xsd:double"&gt;23.79&lt;/D&gt;&lt;D xsi:type="xsd:double"&gt;24.28&lt;/D&gt;&lt;D xsi:type="xsd:double"&gt;24.08&lt;/D&gt;&lt;D xsi:type="xsd:double"&gt;23.64&lt;/D&gt;&lt;D xsi:type="xsd:double"&gt;24.47&lt;/D&gt;&lt;D xsi:type="xsd:double"&gt;24.17&lt;/D&gt;&lt;D xsi:type="xsd:double"&gt;25.65&lt;/D&gt;&lt;D xsi:type="xsd:double"&gt;26.22&lt;/D&gt;&lt;D xsi:type="xsd:double"&gt;24.53&lt;/D&gt;&lt;D xsi:type="xsd:double"&gt;25.68&lt;/D&gt;&lt;D xsi:type="xsd:double"&gt;29.19&lt;/D&gt;&lt;D xsi:type="xsd:double"&gt;28.33&lt;/D&gt;&lt;D xsi:type="xsd:double"&gt;25.44&lt;/D&gt;&lt;D xsi:type="xsd:double"&gt;24.61&lt;/D&gt;&lt;D xsi:type="xsd:double"&gt;24.96&lt;/D&gt;&lt;D xsi:type="xsd:double"&gt;27.09&lt;/D&gt;&lt;D xsi:type="xsd:double"&gt;27.96&lt;/D&gt;&lt;D xsi:type="xsd:double"&gt;27.28&lt;/D&gt;&lt;D xsi:type="xsd:double"&gt;29.38&lt;/D&gt;&lt;D xsi:type="xsd:double"&gt;28.73&lt;/D&gt;&lt;D xsi:type="xsd:double"&gt;29.06&lt;/D&gt;&lt;D xsi:type="xsd:double"&gt;30.49&lt;/D&gt;&lt;D xsi:type="xsd:double"&gt;30.05&lt;/D&gt;&lt;D xsi:type="xsd:double"&gt;31.52&lt;/D&gt;&lt;D xsi:type="xsd:double"&gt;38.07&lt;/D&gt;&lt;D xsi:type="xsd:double"&gt;36.19&lt;/D&gt;&lt;D xsi:type="xsd:double"&gt;39.09&lt;/D&gt;&lt;D xsi:type="xsd:double"&gt;44.05&lt;/D&gt;&lt;D xsi:type="xsd:double"&gt;43.74&lt;/D&gt;&lt;D xsi:type="xsd:double"&gt;39.36&lt;/D&gt;&lt;D xsi:type="xsd:double"&gt;42.78&lt;/D&gt;&lt;D xsi:type="xsd:double"&gt;46.44&lt;/D&gt;&lt;D xsi:type="xsd:double"&gt;43.87&lt;/D&gt;&lt;D xsi:type="xsd:double"&gt;47.8&lt;/D&gt;&lt;D xsi:type="xsd:double"&gt;42.53&lt;/D&gt;&lt;D xsi:type="xsd:double"&gt;41.92&lt;/D&gt;&lt;D xsi:type="xsd:double"&gt;39.33&lt;/D&gt;&lt;D xsi:type="xsd:double"&gt;35.56&lt;/D&gt;&lt;D xsi:type="xsd:double"&gt;35&lt;/D&gt;&lt;D xsi:type="xsd:double"&gt;34.99&lt;/D&gt;&lt;D xsi:type="xsd:double"&gt;35.85&lt;/D&gt;&lt;D xsi:type="xsd:double"&gt;36.23&lt;/D&gt;&lt;D xsi:type="xsd:double"&gt;37.58&lt;/D&gt;&lt;D xsi:type="xsd:double"&gt;37.71&lt;/D&gt;&lt;D xsi:type="xsd:double"&gt;38.04&lt;/D&gt;&lt;D xsi:type="xsd:double"&gt;38.46&lt;/D&gt;&lt;D xsi:type="xsd:double"&gt;40.06&lt;/D&gt;&lt;D xsi:type="xsd:double"&gt;39.35&lt;/D&gt;&lt;D xsi:type="xsd:double"&gt;39.8&lt;/D&gt;&lt;D xsi:type="xsd:double"&gt;41.78&lt;/D&gt;&lt;D xsi:type="xsd:double"&gt;42.89&lt;/D&gt;&lt;D xsi:type="xsd:double"&gt;43.17&lt;/D&gt;&lt;D xsi:type="xsd:double"&gt;43.73&lt;/D&gt;&lt;D xsi:type="xsd:double"&gt;48.07&lt;/D&gt;&lt;D xsi:type="xsd:double"&gt;50.61&lt;/D&gt;&lt;D xsi:type="xsd:double"&gt;44.27&lt;/D&gt;&lt;D xsi:type="xsd:double"&gt;40.65&lt;/D&gt;&lt;D xsi:type="xsd:double"&gt;42.67&lt;/D&gt;&lt;D xsi:type="xsd:double"&gt;41.96&lt;/D&gt;&lt;D xsi:type="xsd:double"&gt;43.68&lt;/D&gt;&lt;D xsi:type="xsd:double"&gt;39.85&lt;/D&gt;&lt;D xsi:type="xsd:double"&gt;39.28&lt;/D&gt;&lt;D xsi:type="xsd:double"&gt;41.43&lt;/D&gt;&lt;D xsi:type="xsd:double"&gt;38.07&lt;/D&gt;&lt;D xsi:type="xsd:double"&gt;35.72&lt;/D&gt;&lt;D xsi:type="xsd:double"&gt;38.41&lt;/D&gt;&lt;D xsi:type="xsd:double"&gt;38.3&lt;/D&gt;&lt;D xsi:type="xsd:double"&gt;38.99&lt;/D&gt;&lt;D xsi:type="xsd:double"&gt;35.85&lt;/D&gt;&lt;D xsi:type="xsd:double"&gt;34.47&lt;/D&gt;&lt;D xsi:type="xsd:double"&gt;34.59&lt;/D&gt;&lt;D xsi:type="xsd:double"&gt;33.97&lt;/D&gt;&lt;D xsi:type="xsd:double"&gt;35.81&lt;/D&gt;&lt;D xsi:type="xsd:double"&gt;35.29&lt;/D&gt;&lt;D xsi:type="xsd:double"&gt;32.76&lt;/D&gt;&lt;D xsi:type="xsd:double"&gt;31.03&lt;/D&gt;&lt;D xsi:type="xsd:double"&gt;29.31&lt;/D&gt;&lt;D xsi:type="xsd:double"&gt;26.86&lt;/D&gt;&lt;D xsi:type="xsd:double"&gt;26&lt;/D&gt;&lt;D xsi:type="xsd:double"&gt;25.74&lt;/D&gt;&lt;D xsi:type="xsd:double"&gt;24.47&lt;/D&gt;&lt;D xsi:type="xsd:double"&gt;22.69&lt;/D&gt;&lt;D xsi:type="xsd:double"&gt;23.86&lt;/D&gt;&lt;D xsi:type="xsd:double"&gt;22.97&lt;/D&gt;&lt;D xsi:type="xsd:double"&gt;23.91&lt;/D&gt;&lt;D xsi:type="xsd:double"&gt;24.91&lt;/D&gt;&lt;D xsi:type="xsd:double"&gt;25.97&lt;/D&gt;&lt;D xsi:type="xsd:double"&gt;25.2&lt;/D&gt;&lt;D xsi:type="xsd:double"&gt;23.64&lt;/D&gt;&lt;D xsi:type="xsd:double"&gt;24.04&lt;/D&gt;&lt;D xsi:type="xsd:double"&gt;23.44&lt;/D&gt;&lt;D xsi:type="xsd:double"&gt;22.55&lt;/D&gt;&lt;D xsi:type="xsd:double"&gt;22.42&lt;/D&gt;&lt;D xsi:type="xsd:double"&gt;20.36&lt;/D&gt;&lt;D xsi:type="xsd:double"&gt;20.96&lt;/D&gt;&lt;D xsi:type="xsd:double"&gt;21.75&lt;/D&gt;&lt;D xsi:type="xsd:double"&gt;23.03&lt;/D&gt;&lt;D xsi:type="xsd:double"&gt;22.5&lt;/D&gt;&lt;D xsi:type="xsd:double"&gt;17.34&lt;/D&gt;&lt;D xsi:type="xsd:double"&gt;20.54&lt;/D&gt;&lt;D xsi:type="xsd:double"&gt;20.73&lt;/D&gt;&lt;D xsi:type="xsd:double"&gt;22.01&lt;/D&gt;&lt;D xsi:type="xsd:double"&gt;22.01&lt;/D&gt;&lt;D xsi:type="xsd:double"&gt;22.02&lt;/D&gt;&lt;D xsi:type="xsd:double"&gt;23.61&lt;/D&gt;&lt;D xsi:type="xsd:double"&gt;21.55&lt;/D&gt;&lt;D xsi:type="xsd:double"&gt;21.41&lt;/D&gt;&lt;D xsi:type="xsd:double"&gt;22.5&lt;/D&gt;&lt;D xsi:type="xsd:double"&gt;25.05&lt;/D&gt;&lt;D xsi:type="xsd:double"&gt;25.56&lt;/D&gt;&lt;D xsi:type="xsd:double"&gt;24.98&lt;/D&gt;&lt;D xsi:type="xsd:double"&gt;25.96&lt;/D&gt;&lt;D xsi:type="xsd:double"&gt;28.92&lt;/D&gt;&lt;D xsi:type="xsd:double"&gt;28.51&lt;/D&gt;&lt;D xsi:type="xsd:double"&gt;28.98&lt;/D&gt;&lt;D xsi:type="xsd:double"&gt;27.08&lt;/D&gt;&lt;D xsi:type="xsd:double"&gt;30.72&lt;/D&gt;&lt;D xsi:type="xsd:double"&gt;30.06&lt;/D&gt;&lt;D xsi:type="xsd:double"&gt;32.09&lt;/D&gt;&lt;D xsi:type="xsd:double"&gt;31.98&lt;/D&gt;&lt;D xsi:type="xsd:double"&gt;31.09&lt;/D&gt;&lt;D xsi:type="xsd:double"&gt;31.69&lt;/D&gt;&lt;D xsi:type="xsd:double"&gt;31.85&lt;/D&gt;&lt;D xsi:type="xsd:double"&gt;31.21&lt;/D&gt;&lt;D xsi:type="xsd:double"&gt;28.82&lt;/D&gt;&lt;D xsi:type="xsd:double"&gt;26.17&lt;/D&gt;&lt;D xsi:type="xsd:double"&gt;26.9&lt;/D&gt;&lt;D xsi:type="xsd:double"&gt;27.61&lt;/D&gt;&lt;D xsi:type="xsd:double"&gt;28.85&lt;/D&gt;&lt;D xsi:type="xsd:double"&gt;27.79&lt;/D&gt;&lt;D xsi:type="xsd:double"&gt;26.72&lt;/D&gt;&lt;D xsi:type="xsd:double"&gt;24.92&lt;/D&gt;&lt;D xsi:type="xsd:double"&gt;24.78&lt;/D&gt;&lt;D xsi:type="xsd:double"&gt;24.96&lt;/D&gt;&lt;D xsi:type="xsd:double"&gt;24.52&lt;/D&gt;&lt;D xsi:type="xsd:double"&gt;24.54&lt;/D&gt;&lt;D xsi:type="xsd:double"&gt;24.37&lt;/D&gt;&lt;D xsi:type="xsd:double"&gt;24.75&lt;/D&gt;&lt;D xsi:type="xsd:double"&gt;27.21&lt;/D&gt;&lt;D xsi:type="xsd:double"&gt;28.49&lt;/D&gt;&lt;D xsi:type="xsd:double"&gt;27.52&lt;/D&gt;&lt;D xsi:type="xsd:double"&gt;29.53&lt;/D&gt;&lt;D xsi:type="xsd:double"&gt;32.35&lt;/D&gt;&lt;D xsi:type="xsd:double"&gt;33.46&lt;/D&gt;&lt;D xsi:type="xsd:double"&gt;35.52&lt;/D&gt;&lt;/FQL&gt;&lt;FQL&gt;&lt;Q&gt;BWLP-US^P_PRICE(1/4/2019,NOW,W)&lt;/Q&gt;&lt;R&gt;373&lt;/R&gt;&lt;C&gt;1&lt;/C&gt;&lt;D xsi:type="xsd:double"&gt;3.3&lt;/D&gt;&lt;D xsi:type="xsd:double"&gt;3.13&lt;/D&gt;&lt;D xsi:type="xsd:double"&gt;3.25&lt;/D&gt;&lt;D xsi:type="xsd:double"&gt;3.04&lt;/D&gt;&lt;D xsi:type="xsd:double"&gt;3.06&lt;/D&gt;&lt;D xsi:type="xsd:double"&gt;3.415&lt;/D&gt;&lt;D xsi:type="xsd:double"&gt;3.775&lt;/D&gt;&lt;D xsi:type="xsd:double"&gt;3.725&lt;/D&gt;&lt;D xsi:type="xsd:double"&gt;3.175&lt;/D&gt;&lt;D xsi:type="xsd:double"&gt;3.07&lt;/D&gt;&lt;D xsi:type="xsd:double"&gt;3.27&lt;/D&gt;&lt;D xsi:type="xsd:double"&gt;3.4&lt;/D&gt;&lt;D xsi:type="xsd:double"&gt;3.57&lt;/D&gt;&lt;D xsi:type="xsd:double"&gt;4.165&lt;/D&gt;&lt;D xsi:type="xsd:double"&gt;4.605&lt;/D&gt;&lt;D xsi:type="xsd:double"&gt;4.62&lt;/D&gt;&lt;D xsi:type="xsd:double"&gt;4.64&lt;/D&gt;&lt;D xsi:type="xsd:double"&gt;4.425&lt;/D&gt;&lt;D xsi:type="xsd:double"&gt;4.33&lt;/D&gt;&lt;D xsi:type="xsd:double"&gt;4.295&lt;/D&gt;&lt;D xsi:type="xsd:double"&gt;4.115&lt;/D&gt;&lt;D xsi:type="xsd:double"&gt;4.235&lt;/D&gt;&lt;D xsi:type="xsd:double"&gt;4.55&lt;/D&gt;&lt;D xsi:type="xsd:double"&gt;4.935&lt;/D&gt;&lt;D xsi:type="xsd:double"&gt;5.185&lt;/D&gt;&lt;D xsi:type="xsd:double"&gt;4.955&lt;/D&gt;&lt;D xsi:type="xsd:double"&gt;4.905&lt;/D&gt;&lt;D xsi:type="xsd:double"&gt;5.07&lt;/D&gt;&lt;D xsi:type="xsd:double"&gt;4.78&lt;/D&gt;&lt;D xsi:type="xsd:double"&gt;4.835&lt;/D&gt;&lt;D xsi:type="xsd:double"&gt;4.375&lt;/D&gt;&lt;D xsi:type="xsd:double"&gt;4.265&lt;/D&gt;&lt;D xsi:type="xsd:double"&gt;4.29&lt;/D&gt;&lt;D xsi:type="xsd:double"&gt;4.94&lt;/D&gt;&lt;D xsi:type="xsd:double"&gt;5.02&lt;/D&gt;&lt;D xsi:type="xsd:double"&gt;5.655&lt;/D&gt;&lt;D xsi:type="xsd:double"&gt;5.68&lt;/D&gt;&lt;D xsi:type="xsd:double"&gt;5.61&lt;/D&gt;&lt;D xsi:type="xsd:double"&gt;5.975&lt;/D&gt;&lt;D xsi:type="xsd:double"&gt;6.185&lt;/D&gt;&lt;D xsi:type="xsd:double"&gt;6.72&lt;/D&gt;&lt;D xsi:type="xsd:double"&gt;6.895&lt;/D&gt;&lt;D xsi:type="xsd:double"&gt;6.66&lt;/D&gt;&lt;D xsi:type="xsd:double"&gt;6.985&lt;/D&gt;&lt;D xsi:type="xsd:double"&gt;6.405&lt;/D&gt;&lt;D xsi:type="xsd:double"&gt;7.44&lt;/D&gt;&lt;D xsi:type="xsd:double"&gt;9.04&lt;/D&gt;&lt;D xsi:type="xsd:double"&gt;8.71&lt;/D&gt;&lt;D xsi:type="xsd:double"&gt;8.59&lt;/D&gt;&lt;D xsi:type="xsd:double"&gt;8.03&lt;/D&gt;&lt;D xsi:type="xsd:double"&gt;8.53&lt;/D&gt;&lt;D xsi:type="xsd:double"&gt;8.485&lt;/D&gt;&lt;D xsi:type="xsd:double"&gt;9.37&lt;/D&gt;&lt;D xsi:type="xsd:double"&gt;8.535&lt;/D&gt;&lt;D xsi:type="xsd:double"&gt;8.365&lt;/D&gt;&lt;D xsi:type="xsd:double"&gt;8.43&lt;/D&gt;&lt;D xsi:type="xsd:double"&gt;8.175&lt;/D&gt;&lt;D xsi:type="xsd:double"&gt;6.97&lt;/D&gt;&lt;D xsi:type="xsd:double"&gt;6.995&lt;/D&gt;&lt;D xsi:type="xsd:double"&gt;6.505&lt;/D&gt;&lt;D xsi:type="xsd:double"&gt;6.09&lt;/D&gt;&lt;D xsi:type="xsd:double"&gt;4.635&lt;/D&gt;&lt;D xsi:type="xsd:double"&gt;3.6&lt;/D&gt;&lt;D xsi:type="xsd:double"&gt;2.75&lt;/D&gt;&lt;D xsi:type="xsd:double"&gt;2.77&lt;/D&gt;&lt;D xsi:type="xsd:double"&gt;2.905&lt;/D&gt;&lt;D xsi:type="xsd:double"&gt;2.985&lt;/D&gt;&lt;D xsi:type="xsd:double"&gt;3.32&lt;/D&gt;&lt;D xsi:type="xsd:double"&gt;3.39&lt;/D&gt;&lt;D xsi:type="xsd:double"&gt;3.535&lt;/D&gt;&lt;D xsi:type="xsd:double"&gt;3.46&lt;/D&gt;&lt;D xsi:type="xsd:double"&gt;3.135&lt;/D&gt;&lt;D xsi:type="xsd:double"&gt;3.28&lt;/D&gt;&lt;D xsi:type="xsd:double"&gt;3.385&lt;/D&gt;&lt;D xsi:type="xsd:double"&gt;3.47&lt;/D&gt;&lt;D xsi:type="xsd:double"&gt;3.145&lt;/D&gt;&lt;D xsi:type="xsd:double"&gt;2.95&lt;/D&gt;&lt;D xsi:type="xsd:double"&gt;2.91&lt;/D&gt;&lt;D xsi:type="xsd:double"&gt;3.37&lt;/D&gt;&lt;D xsi:type="xsd:double"&gt;3.25&lt;/D&gt;&lt;D xsi:type="xsd:double"&gt;3.78&lt;/D&gt;&lt;D xsi:type="xsd:double"&gt;3.95&lt;/D&gt;&lt;D xsi:type="xsd:double"&gt;4.065&lt;/D&gt;&lt;D xsi:type="xsd:double"&gt;4.025&lt;/D&gt;&lt;D xsi:type="xsd:double"&gt;4.23&lt;/D&gt;&lt;D xsi:type="xsd:double"&gt;4.035&lt;/D&gt;&lt;D xsi:type="xsd:double"&gt;4.615&lt;/D&gt;&lt;D xsi:type="xsd:double"&gt;4.095&lt;/D&gt;&lt;D xsi:type="xsd:double"&gt;4.32&lt;/D&gt;&lt;D xsi:type="xsd:double"&gt;4.27&lt;/D&gt;&lt;D xsi:type="xsd:double"&gt;3.8&lt;/D&gt;&lt;D xsi:type="xsd:double"&gt;4.2&lt;/D&gt;&lt;D xsi:type="xsd:double"&gt;4.555&lt;/D&gt;&lt;D xsi:type="xsd:double"&gt;4.855&lt;/D&gt;&lt;D xsi:type="xsd:double"&gt;4.84&lt;/D&gt;&lt;D xsi:type="xsd:double"&gt;4.35&lt;/D&gt;&lt;D xsi:type="xsd:double"&gt;4.395&lt;/D&gt;&lt;D xsi:type="xsd:double"&gt;4.91&lt;/D&gt;&lt;D xsi:type="xsd:double"&gt;5.305&lt;/D&gt;&lt;D xsi:type="xsd:double"&gt;6.69&lt;/D&gt;&lt;D xsi:type="xsd:double"&gt;6.38&lt;/D&gt;&lt;D xsi:type="xsd:double"&gt;7.11&lt;/D&gt;&lt;D xsi:type="xsd:double"&gt;7.105&lt;/D&gt;&lt;D xsi:type="xsd:double"&gt;6.895&lt;/D&gt;&lt;D xsi:type="xsd:double"&gt;6.6036&lt;/D&gt;&lt;D xsi:type="xsd:double"&gt;7.925&lt;/D&gt;&lt;D xsi:type="xsd:double"&gt;7.095&lt;/D&gt;&lt;D xsi:type="xsd:double"&gt;7.01&lt;/D&gt;&lt;D xsi:type="xsd:double"&gt;6.575&lt;/D&gt;&lt;D xsi:type="xsd:double"&gt;6.65&lt;/D&gt;&lt;D xsi:type="xsd:double"&gt;6.755&lt;/D&gt;&lt;D xsi:type="xsd:double"&gt;6.27&lt;/D&gt;&lt;D xsi:type="xsd:double"&gt;5.84&lt;/D&gt;&lt;D xsi:type="xsd:double"&gt;5.38&lt;/D&gt;&lt;D xsi:type="xsd:double"&gt;6.01&lt;/D&gt;&lt;D xsi:type="xsd:double"&gt;6.43&lt;/D&gt;&lt;D xsi:type="xsd:double"&gt;6.46&lt;/D&gt;&lt;D xsi:type="xsd:double"&gt;6.925&lt;/D&gt;&lt;D xsi:type="xsd:double"&gt;6.585&lt;/D&gt;&lt;D xsi:type="xsd:double"&gt;6.72&lt;/D&gt;&lt;D xsi:type="xsd:double"&gt;7.265&lt;/D&gt;&lt;D xsi:type="xsd:double"&gt;7.51&lt;/D&gt;&lt;D xsi:type="xsd:double"&gt;7.615&lt;/D&gt;&lt;D xsi:type="xsd:double"&gt;7.87&lt;/D&gt;&lt;D xsi:type="xsd:double"&gt;8.635&lt;/D&gt;&lt;D xsi:type="xsd:double"&gt;6.98&lt;/D&gt;&lt;D xsi:type="xsd:double"&gt;7.05&lt;/D&gt;&lt;D xsi:type="xsd:double"&gt;7&lt;/D&gt;&lt;D xsi:type="xsd:double"&gt;6.5&lt;/D&gt;&lt;D xsi:type="xsd:double"&gt;6.75&lt;/D&gt;&lt;D xsi:type="xsd:double"&gt;6.597&lt;/D&gt;&lt;D xsi:type="xsd:double"&gt;6.22&lt;/D&gt;&lt;D xsi:type="xsd:double"&gt;5.98&lt;/D&gt;&lt;D xsi:type="xsd:double"&gt;5.98&lt;/D&gt;&lt;D xsi:type="xsd:double"&gt;5.93&lt;/D&gt;&lt;D xsi:type="xsd:double"&gt;5.7&lt;/D&gt;&lt;D xsi:type="xsd:double"&gt;5.785&lt;/D&gt;&lt;D xsi:type="xsd:double"&gt;5.555&lt;/D&gt;&lt;D xsi:type="xsd:double"&gt;5.575&lt;/D&gt;&lt;D xsi:type="xsd:double"&gt;5.5&lt;/D&gt;&lt;D xsi:type="xsd:double"&gt;5.185&lt;/D&gt;&lt;D xsi:type="xsd:double"&gt;5.2&lt;/D&gt;&lt;D xsi:type="xsd:double"&gt;5.54&lt;/D&gt;&lt;D xsi:type="xsd:double"&gt;5.815&lt;/D&gt;&lt;D xsi:type="xsd:double"&gt;5.72&lt;/D&gt;&lt;D xsi:type="xsd:double"&gt;5.29&lt;/D&gt;&lt;D xsi:type="xsd:double"&gt;5.44&lt;/D&gt;&lt;D xsi:type="xsd:double"&gt;5.34&lt;/D&gt;&lt;D xsi:type="xsd:double"&gt;5.49&lt;/D&gt;&lt;D xsi:type="xsd:double"&gt;5.51&lt;/D&gt;&lt;D xsi:type="xsd:double"&gt;5.52&lt;/D&gt;&lt;D xsi:type="xsd:double"&gt;5.23&lt;/D&gt;&lt;D xsi:type="xsd:double"&gt;4.45&lt;/D&gt;&lt;D xsi:type="xsd:double"&gt;5.305&lt;/D&gt;&lt;D xsi:type="xsd:double"&gt;5.415&lt;/D&gt;&lt;D xsi:type="xsd:double"&gt;5.575&lt;/D&gt;&lt;D xsi:type="xsd:double"&gt;5.5&lt;/D&gt;&lt;D xsi:type="xsd:double"&gt;5.72&lt;/D&gt;&lt;D xsi:type="xsd:double"&gt;5.75&lt;/D&gt;&lt;D xsi:type="xsd:double"&gt;5.19&lt;/D&gt;&lt;D xsi:type="xsd:double"&gt;5.465&lt;/D&gt;&lt;D xsi:type="xsd:double"&gt;5.35&lt;/D&gt;&lt;D xsi:type="xsd:double"&gt;5.595&lt;/D&gt;&lt;D xsi:type="xsd:double"&gt;5.52&lt;/D&gt;&lt;D xsi:type="xsd:double"&gt;5.87&lt;/D&gt;&lt;D xsi:type="xsd:double"&gt;5.69&lt;/D&gt;&lt;D xsi:type="xsd:double"&gt;6.15&lt;/D&gt;&lt;D xsi:type="xsd:double"&gt;6.145&lt;/D&gt;&lt;D xsi:type="xsd:double"&gt;6.5&lt;/D&gt;&lt;D xsi:type="xsd:double"&gt;6.92&lt;/D&gt;&lt;D xsi:type="xsd:double"&gt;7.585&lt;/D&gt;&lt;D xsi:type="xsd:double"&gt;7.09&lt;/D&gt;&lt;D xsi:type="xsd:double"&gt;6.735&lt;/D&gt;&lt;D xsi:type="xsd:double"&gt;6.41&lt;/D&gt;&lt;D xsi:type="xsd:double"&gt;6.55&lt;/D&gt;&lt;D xsi:type="xsd:double"&gt;6.565&lt;/D&gt;&lt;D xsi:type="xsd:double"&gt;7.5933&lt;/D&gt;&lt;D xsi:type="xsd:double"&gt;7.825&lt;/D&gt;&lt;D xsi:type="xsd:double"&gt;8.47&lt;/D&gt;&lt;D xsi:type="xsd:double"&gt;7.85&lt;/D&gt;&lt;D xsi:type="xsd:double"&gt;7.135&lt;/D&gt;&lt;D xsi:type="xsd:double"&gt;7.44&lt;/D&gt;&lt;D xsi:type="xsd:double"&gt;7.029&lt;/D&gt;&lt;D xsi:type="xsd:double"&gt;6.78&lt;/D&gt;&lt;D xsi:type="xsd:double"&gt;7.045&lt;/D&gt;&lt;D xsi:type="xsd:double"&gt;7.66&lt;/D&gt;&lt;D xsi:type="xsd:double"&gt;8.255&lt;/D&gt;&lt;D xsi:type="xsd:double"&gt;8.275&lt;/D&gt;&lt;D xsi:type="xsd:double"&gt;8.845&lt;/D&gt;&lt;D xsi:type="xsd:double"&gt;8.48&lt;/D&gt;&lt;D xsi:type="xsd:double"&gt;8.155&lt;/D&gt;&lt;D xsi:type="xsd:double"&gt;6.3&lt;/D&gt;&lt;D xsi:type="xsd:double"&gt;6.89&lt;/D&gt;&lt;D xsi:type="xsd:double"&gt;6.825&lt;/D&gt;&lt;D xsi:type="xsd:double"&gt;6.3&lt;/D&gt;&lt;D xsi:type="xsd:double"&gt;7.305&lt;/D&gt;&lt;D xsi:type="xsd:double"&gt;7.77&lt;/D&gt;&lt;D xsi:type="xsd:double"&gt;7.56&lt;/D&gt;&lt;D xsi:type="xsd:double"&gt;8.14&lt;/D&gt;&lt;D xsi:type="xsd:double"&gt;8.18&lt;/D&gt;&lt;D xsi:type="xsd:double"&gt;8.62&lt;/D&gt;&lt;D xsi:type="xsd:double"&gt;8.875&lt;/D&gt;&lt;D xsi:type="xsd:double"&gt;8.67&lt;/D&gt;&lt;D xsi:type="xsd:double"&gt;8.785&lt;/D&gt;&lt;D xsi:type="xsd:double"&gt;8.91&lt;/D&gt;&lt;D xsi:type="xsd:double"&gt;8.15&lt;/D&gt;&lt;D xsi:type="xsd:double"&gt;8.59&lt;/D&gt;&lt;D xsi:type="xsd:double"&gt;8.3&lt;/D&gt;&lt;D xsi:type="xsd:double"&gt;7.735&lt;/D&gt;&lt;D xsi:type="xsd:double"&gt;6.98&lt;/D&gt;&lt;D xsi:type="xsd:double"&gt;7.255&lt;/D&gt;&lt;D xsi:type="xsd:double"&gt;7.48&lt;/D&gt;&lt;D xsi:type="xsd:double"&gt;7.74&lt;/D&gt;&lt;D xsi:type="xsd:double"&gt;8.1&lt;/D&gt;&lt;D xsi:type="xsd:double"&gt;8.01&lt;/D&gt;&lt;D xsi:type="xsd:double"&gt;8.4&lt;/D&gt;&lt;D xsi:type="xsd:double"&gt;8.695&lt;/D&gt;&lt;D xsi:type="xsd:double"&gt;8.91&lt;/D&gt;&lt;D xsi:type="xsd:double"&gt;8.539&lt;/D&gt;&lt;D xsi:type="xsd:double"&gt;7.86&lt;/D&gt;&lt;D xsi:type="xsd:double"&gt;7.6&lt;/D&gt;&lt;D xsi:type="xsd:double"&gt;7.56&lt;/D&gt;&lt;D xsi:type="xsd:double"&gt;7.525&lt;/D&gt;&lt;D xsi:type="xsd:double"&gt;8.13&lt;/D&gt;&lt;D xsi:type="xsd:double"&gt;7.955&lt;/D&gt;&lt;D xsi:type="xsd:double"&gt;8.055&lt;/D&gt;&lt;D xsi:type="xsd:double"&gt;7.895&lt;/D&gt;&lt;D xsi:type="xsd:double"&gt;8.285&lt;/D&gt;&lt;D xsi:type="xsd:double"&gt;8.54&lt;/D&gt;&lt;D xsi:type="xsd:double"&gt;8.93&lt;/D&gt;&lt;D xsi:type="xsd:double"&gt;9.215&lt;/D&gt;&lt;D xsi:type="xsd:double"&gt;9.25&lt;/D&gt;&lt;D xsi:type="xsd:double"&gt;10.18&lt;/D&gt;&lt;D xsi:type="xsd:double"&gt;10.2&lt;/D&gt;&lt;D xsi:type="xsd:double"&gt;10.075&lt;/D&gt;&lt;D xsi:type="xsd:double"&gt;9.76&lt;/D&gt;&lt;D xsi:type="xsd:double"&gt;10&lt;/D&gt;&lt;D xsi:type="xsd:double"&gt;10.5463&lt;/D&gt;&lt;D xsi:type="xsd:double"&gt;10.465&lt;/D&gt;&lt;D xsi:type="xsd:double"&gt;10.85&lt;/D&gt;&lt;D xsi:type="xsd:double"&gt;11.2034&lt;/D&gt;&lt;D xsi:type="xsd:double"&gt;11.25&lt;/D&gt;&lt;D xsi:type="xsd:double"&gt;11.71&lt;/D&gt;&lt;D xsi:type="xsd:double"&gt;12.098&lt;/D&gt;&lt;D xsi:type="xsd:double"&gt;12.5&lt;/D&gt;&lt;D xsi:type="xsd:double"&gt;12.7&lt;/D&gt;&lt;D xsi:type="xsd:double"&gt;13.0386&lt;/D&gt;&lt;D xsi:type="xsd:double"&gt;12.69&lt;/D&gt;&lt;D xsi:type="xsd:double"&gt;11.1&lt;/D&gt;&lt;D xsi:type="xsd:double"&gt;11.74&lt;/D&gt;&lt;D xsi:type="xsd:double"&gt;12.22&lt;/D&gt;&lt;D xsi:type="xsd:double"&gt;13.2&lt;/D&gt;&lt;D xsi:type="xsd:double"&gt;14.95&lt;/D&gt;&lt;D xsi:type="xsd:double"&gt;15.2476&lt;/D&gt;&lt;D xsi:type="xsd:double"&gt;14.98&lt;/D&gt;&lt;D xsi:type="xsd:double"&gt;15.375&lt;/D&gt;&lt;D xsi:type="xsd:double"&gt;15.45&lt;/D&gt;&lt;D xsi:type="xsd:double"&gt;14.1&lt;/D&gt;&lt;D xsi:type="xsd:double"&gt;13.9472&lt;/D&gt;&lt;D xsi:type="xsd:double"&gt;15.5&lt;/D&gt;&lt;D xsi:type="xsd:double"&gt;15.05&lt;/D&gt;&lt;D xsi:type="xsd:double"&gt;15.81&lt;/D&gt;&lt;D xsi:type="xsd:double"&gt;14.4&lt;/D&gt;&lt;D xsi:type="xsd:double"&gt;13.7&lt;/D&gt;&lt;D xsi:type="xsd:double"&gt;13.613&lt;/D&gt;&lt;D xsi:type="xsd:double"&gt;11.685&lt;/D&gt;&lt;D xsi:type="xsd:double"&gt;12.314&lt;/D&gt;&lt;D xsi:type="xsd:double"&gt;12.53&lt;/D&gt;&lt;D xsi:type="xsd:double"&gt;12.935&lt;/D&gt;&lt;D xsi:type="xsd:double"&gt;11.84&lt;/D&gt;&lt;D xsi:type="xsd:double"&gt;11.75&lt;/D&gt;&lt;D xsi:type="xsd:double"&gt;12.12&lt;/D&gt;&lt;D xsi:type="xsd:double"&gt;11.38&lt;/D&gt;&lt;D xsi:type="xsd:double"&gt;12.0046&lt;/D&gt;&lt;D xsi:type="xsd:double"&gt;12.253&lt;/D&gt;&lt;D xsi:type="xsd:double"&gt;12.694&lt;/D&gt;&lt;D xsi:type="xsd:double"&gt;13.4&lt;/D&gt;&lt;D xsi:type="xsd:double"&gt;14&lt;/D&gt;&lt;D xsi:type="xsd:double"&gt;15.1&lt;/D&gt;&lt;D xsi:type="xsd:double"&gt;15.96&lt;/D&gt;&lt;D xsi:type="xsd:double"&gt;17.27&lt;/D&gt;&lt;D xsi:type="xsd:double"&gt;18.17&lt;/D&gt;&lt;D xsi:type="xsd:double"&gt;21.93&lt;/D&gt;&lt;D xsi:type="xsd:double"&gt;20.68&lt;/D&gt;&lt;D xsi:type="xsd:double"&gt;16.76&lt;/D&gt;&lt;D xsi:type="xsd:double"&gt;17.88&lt;/D&gt;&lt;D xsi:type="xsd:double"&gt;19.08&lt;/D&gt;&lt;D xsi:type="xsd:double"&gt;18.13&lt;/D&gt;&lt;D xsi:type="xsd:double"&gt;15.7&lt;/D&gt;&lt;D xsi:type="xsd:double"&gt;15.79&lt;/D&gt;&lt;D xsi:type="xsd:double"&gt;15.74&lt;/D&gt;&lt;D xsi:type="xsd:double"&gt;15.17&lt;/D&gt;&lt;D xsi:type="xsd:double"&gt;15.25&lt;/D&gt;&lt;D xsi:type="xsd:double"&gt;15.97&lt;/D&gt;&lt;D xsi:type="xsd:double"&gt;16.65&lt;/D&gt;&lt;D xsi:type="xsd:double"&gt;15.85&lt;/D&gt;&lt;D xsi:type="xsd:double"&gt;14.76&lt;/D&gt;&lt;D xsi:type="xsd:double"&gt;14.41&lt;/D&gt;&lt;D xsi:type="xsd:double"&gt;14.03&lt;/D&gt;&lt;D xsi:type="xsd:double"&gt;14.36&lt;/D&gt;&lt;D xsi:type="xsd:double"&gt;15.64&lt;/D&gt;&lt;D xsi:type="xsd:double"&gt;15.38&lt;/D&gt;&lt;D xsi:type="xsd:double"&gt;14.2&lt;/D&gt;&lt;D xsi:type="xsd:double"&gt;13.55&lt;/D&gt;&lt;D xsi:type="xsd:double"&gt;12.64&lt;/D&gt;&lt;D xsi:type="xsd:double"&gt;12.71&lt;/D&gt;&lt;D xsi:type="xsd:double"&gt;12.99&lt;/D&gt;&lt;D xsi:type="xsd:double"&gt;13.55&lt;/D&gt;&lt;D xsi:type="xsd:double"&gt;12.27&lt;/D&gt;&lt;D xsi:type="xsd:double"&gt;11.39&lt;/D&gt;&lt;D xsi:type="xsd:double"&gt;10.89&lt;/D&gt;&lt;D xsi:type="xsd:double"&gt;10.17&lt;/D&gt;&lt;D xsi:type="xsd:double"&gt;10.91&lt;/D&gt;&lt;D xsi:type="xsd:double"&gt;11.71&lt;/D&gt;&lt;D xsi:type="xsd:double"&gt;12.21&lt;/D&gt;&lt;D xsi:type="xsd:double"&gt;12.27&lt;/D&gt;&lt;D xsi:type="xsd:double"&gt;11.62&lt;/D&gt;&lt;D xsi:type="xsd:double"&gt;12.67&lt;/D&gt;&lt;D xsi:type="xsd:double"&gt;12.99&lt;/D&gt;&lt;D xsi:type="xsd:double"&gt;12.67&lt;/D&gt;&lt;D xsi:type="xsd:double"&gt;12.51&lt;/D&gt;&lt;D xsi:type="xsd:double"&gt;11.34&lt;/D&gt;&lt;D xsi:type="xsd:double"&gt;11.06&lt;/D&gt;&lt;D xsi:type="xsd:double"&gt;10.85&lt;/D&gt;&lt;D xsi:type="xsd:double"&gt;11.47&lt;/D&gt;&lt;D xsi:type="xsd:double"&gt;11.22&lt;/D&gt;&lt;D xsi:type="xsd:double"&gt;8.67&lt;/D&gt;&lt;D xsi:type="xsd:double"&gt;9.32&lt;/D&gt;&lt;D xsi:type="xsd:double"&gt;9.48&lt;/D&gt;&lt;D xsi:type="xsd:double"&gt;10.55&lt;/D&gt;&lt;D xsi:type="xsd:double"&gt;10.52&lt;/D&gt;&lt;D xsi:type="xsd:double"&gt;10.5&lt;/D&gt;&lt;D xsi:type="xsd:double"&gt;11.72&lt;/D&gt;&lt;D xsi:type="xsd:double"&gt;10.57&lt;/D&gt;&lt;D xsi:type="xsd:double"&gt;10.46&lt;/D&gt;&lt;D xsi:type="xsd:double"&gt;11.05&lt;/D&gt;&lt;D xsi:type="xsd:double"&gt;11.98&lt;/D&gt;&lt;D xsi:type="xsd:double"&gt;12.1&lt;/D&gt;&lt;D xsi:type="xsd:double"&gt;12.01&lt;/D&gt;&lt;D xsi:type="xsd:double"&gt;12.5&lt;/D&gt;&lt;D xsi:type="xsd:double"&gt;13.35&lt;/D&gt;&lt;D xsi:type="xsd:double"&gt;13.08&lt;/D&gt;&lt;D xsi:type="xsd:double"&gt;13.72&lt;/D&gt;&lt;D xsi:type="xsd:double"&gt;13.25&lt;/D&gt;&lt;D xsi:type="xsd:double"&gt;14.78&lt;/D&gt;&lt;D xsi:type="xsd:double"&gt;14.74&lt;/D&gt;&lt;D xsi:type="xsd:double"&gt;16.39&lt;/D&gt;&lt;D xsi:type="xsd:double"&gt;15.57&lt;/D&gt;&lt;D xsi:type="xsd:double"&gt;15.27&lt;/D&gt;&lt;D xsi:type="xsd:double"&gt;16.05&lt;/D&gt;&lt;D xsi:type="xsd:double"&gt;15.33&lt;/D&gt;&lt;D xsi:type="xsd:double"&gt;15.15&lt;/D&gt;&lt;D xsi:type="xsd:double"&gt;13.85&lt;/D&gt;&lt;D xsi:type="xsd:double"&gt;12.51&lt;/D&gt;&lt;D xsi:type="xsd:double"&gt;12.32&lt;/D&gt;&lt;D xsi:type="xsd:double"&gt;12.41&lt;/D&gt;&lt;D xsi:type="xsd:double"&gt;13.45&lt;/D&gt;&lt;D xsi:type="xsd:double"&gt;13.47&lt;/D&gt;&lt;D xsi:type="xsd:double"&gt;13.07&lt;/D&gt;&lt;D xsi:type="xsd:double"&gt;12.45&lt;/D&gt;&lt;D xsi:type="xsd:double"&gt;12.69&lt;/D&gt;&lt;D xsi:type="xsd:double"&gt;12.3&lt;/D&gt;&lt;D xsi:type="xsd:double"&gt;12.19&lt;/D&gt;&lt;D xsi:type="xsd:double"&gt;12.51&lt;/D&gt;&lt;D xsi:type="xsd:double"&gt;12.7&lt;/D&gt;&lt;D xsi:type="xsd:double"&gt;12.8&lt;/D&gt;&lt;D xsi:type="xsd:double"&gt;13.42&lt;/D&gt;&lt;D xsi:type="xsd:double"&gt;14.54&lt;/D&gt;&lt;D xsi:type="xsd:double"&gt;14.21&lt;/D&gt;&lt;D xsi:type="xsd:double"&gt;15.64&lt;/D&gt;&lt;D xsi:type="xsd:double"&gt;16.54&lt;/D&gt;&lt;D xsi:type="xsd:double"&gt;16.73&lt;/D&gt;&lt;D xsi:type="xsd:double"&gt;17.92&lt;/D&gt;&lt;/FQL&gt;&lt;FQL&gt;&lt;Q&gt;044450-KR^P_PRICE(1/4/2019,NOW,W)&lt;/Q&gt;&lt;R&gt;373&lt;/R&gt;&lt;C&gt;1&lt;/C&gt;&lt;D xsi:type="xsd:double"&gt;6230&lt;/D&gt;&lt;D xsi:type="xsd:double"&gt;6380&lt;/D&gt;&lt;D xsi:type="xsd:double"&gt;6240&lt;/D&gt;&lt;D xsi:type="xsd:double"&gt;6620&lt;/D&gt;&lt;D xsi:type="xsd:double"&gt;6520&lt;/D&gt;&lt;D xsi:type="xsd:double"&gt;6800&lt;/D&gt;&lt;D xsi:type="xsd:double"&gt;6770&lt;/D&gt;&lt;D xsi:type="xsd:double"&gt;6950&lt;/D&gt;&lt;D xsi:type="xsd:double"&gt;6820&lt;/D&gt;&lt;D xsi:type="xsd:double"&gt;7100&lt;/D&gt;&lt;D xsi:type="xsd:double"&gt;7250&lt;/D&gt;&lt;D xsi:type="xsd:double"&gt;7220&lt;/D&gt;&lt;D xsi:type="xsd:double"&gt;7160&lt;/D&gt;&lt;D xsi:type="xsd:double"&gt;7150&lt;/D&gt;&lt;D xsi:type="xsd:double"&gt;7100&lt;/D&gt;&lt;D xsi:type="xsd:double"&gt;7200&lt;/D&gt;&lt;D xsi:type="xsd:double"&gt;7160&lt;/D&gt;&lt;D xsi:type="xsd:double"&gt;7200&lt;/D&gt;&lt;D xsi:type="xsd:double"&gt;6990&lt;/D&gt;&lt;D xsi:type="xsd:double"&gt;6960&lt;/D&gt;&lt;D xsi:type="xsd:double"&gt;6690&lt;/D&gt;&lt;D xsi:type="xsd:double"&gt;6580&lt;/D&gt;&lt;D xsi:type="xsd:double"&gt;6960&lt;/D&gt;&lt;D xsi:type="xsd:double"&gt;7200&lt;/D&gt;&lt;D xsi:type="xsd:double"&gt;7230&lt;/D&gt;&lt;D xsi:type="xsd:double"&gt;7190&lt;/D&gt;&lt;D xsi:type="xsd:double"&gt;7200&lt;/D&gt;&lt;D xsi:type="xsd:double"&gt;7050&lt;/D&gt;&lt;D xsi:type="xsd:double"&gt;6870&lt;/D&gt;&lt;D xsi:type="xsd:double"&gt;6790&lt;/D&gt;&lt;D xsi:type="xsd:double"&gt;6960&lt;/D&gt;&lt;D xsi:type="xsd:double"&gt;6970&lt;/D&gt;&lt;D xsi:type="xsd:double"&gt;6830&lt;/D&gt;&lt;D xsi:type="xsd:double"&gt;6750&lt;/D&gt;&lt;D xsi:type="xsd:double"&gt;6950&lt;/D&gt;&lt;D xsi:type="xsd:double"&gt;6900&lt;/D&gt;&lt;D xsi:type="xsd:double"&gt;7170&lt;/D&gt;&lt;D xsi:type="xsd:double"&gt;7120&lt;/D&gt;&lt;D xsi:type="xsd:double"&gt;7030&lt;/D&gt;&lt;D xsi:type="xsd:double"&gt;6970&lt;/D&gt;&lt;D xsi:type="xsd:double"&gt;7090&lt;/D&gt;&lt;D xsi:type="xsd:double"&gt;7450&lt;/D&gt;&lt;D xsi:type="xsd:double"&gt;7250&lt;/D&gt;&lt;D xsi:type="xsd:double"&gt;7200&lt;/D&gt;&lt;D xsi:type="xsd:double"&gt;7410&lt;/D&gt;&lt;D xsi:type="xsd:double"&gt;7330&lt;/D&gt;&lt;D xsi:type="xsd:double"&gt;7640&lt;/D&gt;&lt;D xsi:type="xsd:double"&gt;7540&lt;/D&gt;&lt;D xsi:type="xsd:double"&gt;7560&lt;/D&gt;&lt;D xsi:type="xsd:double"&gt;7600&lt;/D&gt;&lt;D xsi:type="xsd:double"&gt;7620&lt;/D&gt;&lt;D xsi:type="xsd:double"&gt;7800&lt;/D&gt;&lt;D xsi:type="xsd:double"&gt;7720&lt;/D&gt;&lt;D xsi:type="xsd:double"&gt;7640&lt;/D&gt;&lt;D xsi:type="xsd:double"&gt;7460&lt;/D&gt;&lt;D xsi:type="xsd:double"&gt;7400&lt;/D&gt;&lt;D xsi:type="xsd:double"&gt;6980&lt;/D&gt;&lt;D xsi:type="xsd:double"&gt;7630&lt;/D&gt;&lt;D xsi:type="xsd:double"&gt;7700&lt;/D&gt;&lt;D xsi:type="xsd:double"&gt;7970&lt;/D&gt;&lt;D xsi:type="xsd:double"&gt;7630&lt;/D&gt;&lt;D xsi:type="xsd:double"&gt;7950&lt;/D&gt;&lt;D xsi:type="xsd:double"&gt;6900&lt;/D&gt;&lt;D xsi:type="xsd:double"&gt;5940&lt;/D&gt;&lt;D xsi:type="xsd:double"&gt;6370&lt;/D&gt;&lt;D xsi:type="xsd:double"&gt;6760&lt;/D&gt;&lt;D xsi:type="xsd:double"&gt;7040&lt;/D&gt;&lt;D xsi:type="xsd:double"&gt;7120&lt;/D&gt;&lt;D xsi:type="xsd:double"&gt;6900&lt;/D&gt;&lt;D xsi:type="xsd:double"&gt;7300&lt;/D&gt;&lt;D xsi:type="xsd:double"&gt;7430&lt;/D&gt;&lt;D xsi:type="xsd:double"&gt;7560&lt;/D&gt;&lt;D xsi:type="xsd:double"&gt;7560&lt;/D&gt;&lt;D xsi:type="xsd:double"&gt;7720&lt;/D&gt;&lt;D xsi:type="xsd:double"&gt;7830&lt;/D&gt;&lt;D xsi:type="xsd:double"&gt;8250&lt;/D&gt;&lt;D xsi:type="xsd:double"&gt;8230&lt;/D&gt;&lt;D xsi:type="xsd:double"&gt;7930&lt;/D&gt;&lt;D xsi:type="xsd:double"&gt;8150&lt;/D&gt;&lt;D xsi:type="xsd:double"&gt;8460&lt;/D&gt;&lt;D xsi:type="xsd:double"&gt;8520&lt;/D&gt;&lt;D xsi:type="xsd:double"&gt;8270&lt;/D&gt;&lt;D xsi:type="xsd:double"&gt;8440&lt;/D&gt;&lt;D xsi:type="xsd:double"&gt;8750&lt;/D&gt;&lt;D xsi:type="xsd:double"&gt;8510&lt;/D&gt;&lt;D xsi:type="xsd:double"&gt;8280&lt;/D&gt;&lt;D xsi:type="xsd:double"&gt;8220&lt;/D&gt;&lt;D xsi:type="xsd:double"&gt;8390&lt;/D&gt;&lt;D xsi:type="xsd:double"&gt;8490&lt;/D&gt;&lt;D xsi:type="xsd:double"&gt;9250&lt;/D&gt;&lt;D xsi:type="xsd:double"&gt;9090&lt;/D&gt;&lt;D xsi:type="xsd:double"&gt;9200&lt;/D&gt;&lt;D xsi:type="xsd:double"&gt;9840&lt;/D&gt;&lt;D xsi:type="xsd:double"&gt;9560&lt;/D&gt;&lt;D xsi:type="xsd:double"&gt;9600&lt;/D&gt;&lt;D xsi:type="xsd:double"&gt;9300&lt;/D&gt;&lt;D xsi:type="xsd:double"&gt;9660&lt;/D&gt;&lt;D xsi:type="xsd:double"&gt;10800&lt;/D&gt;&lt;D xsi:type="xsd:double"&gt;10450&lt;/D&gt;&lt;D xsi:type="xsd:double"&gt;10300&lt;/D&gt;&lt;D xsi:type="xsd:double"&gt;10300&lt;/D&gt;&lt;D xsi:type="xsd:double"&gt;10350&lt;/D&gt;&lt;D xsi:type="xsd:double"&gt;10600&lt;/D&gt;&lt;D xsi:type="xsd:double"&gt;10450&lt;/D&gt;&lt;D xsi:type="xsd:double"&gt;10350&lt;/D&gt;&lt;D xsi:type="xsd:double"&gt;11050&lt;/D&gt;&lt;D xsi:type="xsd:double"&gt;10600&lt;/D&gt;&lt;D xsi:type="xsd:double"&gt;11100&lt;/D&gt;&lt;D xsi:type="xsd:double"&gt;10750&lt;/D&gt;&lt;D xsi:type="xsd:double"&gt;10800&lt;/D&gt;&lt;D xsi:type="xsd:double"&gt;10950&lt;/D&gt;&lt;D xsi:type="xsd:double"&gt;11150&lt;/D&gt;&lt;D xsi:type="xsd:double"&gt;10850&lt;/D&gt;&lt;D xsi:type="xsd:double</t>
        </r>
      </text>
    </comment>
    <comment ref="A5" authorId="0" shapeId="0" xr:uid="{00000000-0006-0000-0000-000005000000}">
      <text>
        <r>
          <rPr>
            <sz val="11"/>
            <color theme="1"/>
            <rFont val="맑은 고딕"/>
            <family val="2"/>
            <charset val="129"/>
            <scheme val="minor"/>
          </rPr>
          <t>"&gt;11150&lt;/D&gt;&lt;D xsi:type="xsd:double"&gt;10650&lt;/D&gt;&lt;D xsi:type="xsd:double"&gt;10850&lt;/D&gt;&lt;D xsi:type="xsd:double"&gt;11250&lt;/D&gt;&lt;D xsi:type="xsd:double"&gt;10850&lt;/D&gt;&lt;D xsi:type="xsd:double"&gt;10850&lt;/D&gt;&lt;D xsi:type="xsd:double"&gt;11200&lt;/D&gt;&lt;D xsi:type="xsd:double"&gt;12400&lt;/D&gt;&lt;D xsi:type="xsd:double"&gt;12450&lt;/D&gt;&lt;D xsi:type="xsd:double"&gt;12800&lt;/D&gt;&lt;D xsi:type="xsd:double"&gt;13350&lt;/D&gt;&lt;D xsi:type="xsd:double"&gt;12350&lt;/D&gt;&lt;D xsi:type="xsd:double"&gt;12500&lt;/D&gt;&lt;D xsi:type="xsd:double"&gt;12300&lt;/D&gt;&lt;D xsi:type="xsd:double"&gt;12300&lt;/D&gt;&lt;D xsi:type="xsd:double"&gt;12400&lt;/D&gt;&lt;D xsi:type="xsd:double"&gt;12450&lt;/D&gt;&lt;D xsi:type="xsd:double"&gt;12450&lt;/D&gt;&lt;D xsi:type="xsd:double"&gt;12350&lt;/D&gt;&lt;D xsi:type="xsd:double"&gt;12350&lt;/D&gt;&lt;D xsi:type="xsd:double"&gt;12300&lt;/D&gt;&lt;D xsi:type="xsd:double"&gt;11800&lt;/D&gt;&lt;D xsi:type="xsd:double"&gt;11650&lt;/D&gt;&lt;D xsi:type="xsd:double"&gt;11150&lt;/D&gt;&lt;D xsi:type="xsd:double"&gt;10200&lt;/D&gt;&lt;D xsi:type="xsd:double"&gt;11000&lt;/D&gt;&lt;D xsi:type="xsd:double"&gt;11250&lt;/D&gt;&lt;D xsi:type="xsd:double"&gt;11400&lt;/D&gt;&lt;D xsi:type="xsd:double"&gt;11900&lt;/D&gt;&lt;D xsi:type="xsd:double"&gt;11550&lt;/D&gt;&lt;D xsi:type="xsd:double"&gt;11300&lt;/D&gt;&lt;D xsi:type="xsd:double"&gt;10750&lt;/D&gt;&lt;D xsi:type="xsd:double"&gt;11250&lt;/D&gt;&lt;D xsi:type="xsd:double"&gt;11100&lt;/D&gt;&lt;D xsi:type="xsd:double"&gt;11900&lt;/D&gt;&lt;D xsi:type="xsd:double"&gt;11800&lt;/D&gt;&lt;D xsi:type="xsd:double"&gt;11450&lt;/D&gt;&lt;D xsi:type="xsd:double"&gt;11700&lt;/D&gt;&lt;D xsi:type="xsd:double"&gt;11550&lt;/D&gt;&lt;D xsi:type="xsd:double"&gt;11450&lt;/D&gt;&lt;D xsi:type="xsd:double"&gt;11850&lt;/D&gt;&lt;D xsi:type="xsd:double"&gt;11800&lt;/D&gt;&lt;D xsi:type="xsd:double"&gt;11700&lt;/D&gt;&lt;D xsi:type="xsd:double"&gt;11850&lt;/D&gt;&lt;D xsi:type="xsd:double"&gt;11600&lt;/D&gt;&lt;D xsi:type="xsd:double"&gt;11650&lt;/D&gt;&lt;D xsi:type="xsd:double"&gt;11300&lt;/D&gt;&lt;D xsi:type="xsd:double"&gt;11200&lt;/D&gt;&lt;D xsi:type="xsd:double"&gt;11650&lt;/D&gt;&lt;D xsi:type="xsd:double"&gt;11600&lt;/D&gt;&lt;D xsi:type="xsd:double"&gt;11800&lt;/D&gt;&lt;D xsi:type="xsd:double"&gt;11950&lt;/D&gt;&lt;D xsi:type="xsd:double"&gt;12500&lt;/D&gt;&lt;D xsi:type="xsd:double"&gt;11850&lt;/D&gt;&lt;D xsi:type="xsd:double"&gt;11600&lt;/D&gt;&lt;D xsi:type="xsd:double"&gt;11350&lt;/D&gt;&lt;D xsi:type="xsd:double"&gt;11700&lt;/D&gt;&lt;D xsi:type="xsd:double"&gt;11400&lt;/D&gt;&lt;D xsi:type="xsd:double"&gt;11500&lt;/D&gt;&lt;D xsi:type="xsd:double"&gt;11500&lt;/D&gt;&lt;D xsi:type="xsd:double"&gt;12000&lt;/D&gt;&lt;D xsi:type="xsd:double"&gt;11650&lt;/D&gt;&lt;D xsi:type="xsd:double"&gt;11600&lt;/D&gt;&lt;D xsi:type="xsd:double"&gt;11750&lt;/D&gt;&lt;D xsi:type="xsd:double"&gt;11650&lt;/D&gt;&lt;D xsi:type="xsd:double"&gt;11550&lt;/D&gt;&lt;D xsi:type="xsd:double"&gt;11250&lt;/D&gt;&lt;D xsi:type="xsd:double"&gt;10500&lt;/D&gt;&lt;D xsi:type="xsd:double"&gt;9860&lt;/D&gt;&lt;D xsi:type="xsd:double"&gt;9980&lt;/D&gt;&lt;D xsi:type="xsd:double"&gt;9650&lt;/D&gt;&lt;D xsi:type="xsd:double"&gt;9390&lt;/D&gt;&lt;D xsi:type="xsd:double"&gt;9750&lt;/D&gt;&lt;D xsi:type="xsd:double"&gt;10250&lt;/D&gt;&lt;D xsi:type="xsd:double"&gt;10150&lt;/D&gt;&lt;D xsi:type="xsd:double"&gt;10800&lt;/D&gt;&lt;D xsi:type="xsd:double"&gt;10800&lt;/D&gt;&lt;D xsi:type="xsd:double"&gt;11100&lt;/D&gt;&lt;D xsi:type="xsd:double"&gt;10400&lt;/D&gt;&lt;D xsi:type="xsd:double"&gt;9900&lt;/D&gt;&lt;D xsi:type="xsd:double"&gt;9970&lt;/D&gt;&lt;D xsi:type="xsd:double"&gt;9900&lt;/D&gt;&lt;D xsi:type="xsd:double"&gt;8840&lt;/D&gt;&lt;D xsi:type="xsd:double"&gt;9160&lt;/D&gt;&lt;D xsi:type="xsd:double"&gt;9040&lt;/D&gt;&lt;D xsi:type="xsd:double"&gt;8870&lt;/D&gt;&lt;D xsi:type="xsd:double"&gt;9040&lt;/D&gt;&lt;D xsi:type="xsd:double"&gt;9060&lt;/D&gt;&lt;D xsi:type="xsd:double"&gt;9330&lt;/D&gt;&lt;D xsi:type="xsd:double"&gt;9690&lt;/D&gt;&lt;D xsi:type="xsd:double"&gt;9490&lt;/D&gt;&lt;D xsi:type="xsd:double"&gt;9670&lt;/D&gt;&lt;D xsi:type="xsd:double"&gt;9480&lt;/D&gt;&lt;D xsi:type="xsd:double"&gt;9400&lt;/D&gt;&lt;D xsi:type="xsd:double"&gt;9470&lt;/D&gt;&lt;D xsi:type="xsd:double"&gt;9250&lt;/D&gt;&lt;D xsi:type="xsd:double"&gt;9060&lt;/D&gt;&lt;D xsi:type="xsd:double"&gt;9220&lt;/D&gt;&lt;D xsi:type="xsd:double"&gt;9500&lt;/D&gt;&lt;D xsi:type="xsd:double"&gt;9400&lt;/D&gt;&lt;D xsi:type="xsd:double"&gt;9220&lt;/D&gt;&lt;D xsi:type="xsd:double"&gt;9210&lt;/D&gt;&lt;D xsi:type="xsd:double"&gt;9190&lt;/D&gt;&lt;D xsi:type="xsd:double"&gt;9060&lt;/D&gt;&lt;D xsi:type="xsd:double"&gt;9190&lt;/D&gt;&lt;D xsi:type="xsd:double"&gt;8740&lt;/D&gt;&lt;D xsi:type="xsd:double"&gt;8380&lt;/D&gt;&lt;D xsi:type="xsd:double"&gt;7880&lt;/D&gt;&lt;D xsi:type="xsd:double"&gt;8060&lt;/D&gt;&lt;D xsi:type="xsd:double"&gt;8010&lt;/D&gt;&lt;D xsi:type="xsd:double"&gt;8000&lt;/D&gt;&lt;D xsi:type="xsd:double"&gt;8630&lt;/D&gt;&lt;D xsi:type="xsd:double"&gt;8170&lt;/D&gt;&lt;D xsi:type="xsd:double"&gt;8070&lt;/D&gt;&lt;D xsi:type="xsd:double"&gt;7940&lt;/D&gt;&lt;D xsi:type="xsd:double"&gt;8410&lt;/D&gt;&lt;D xsi:type="xsd:double"&gt;8150&lt;/D&gt;&lt;D xsi:type="xsd:double"&gt;8350&lt;/D&gt;&lt;D xsi:type="xsd:double"&gt;8300&lt;/D&gt;&lt;D xsi:type="xsd:double"&gt;8330&lt;/D&gt;&lt;D xsi:type="xsd:double"&gt;8540&lt;/D&gt;&lt;D xsi:type="xsd:double"&gt;9620&lt;/D&gt;&lt;D xsi:type="xsd:double"&gt;9020&lt;/D&gt;&lt;D xsi:type="xsd:double"&gt;9380&lt;/D&gt;&lt;D xsi:type="xsd:double"&gt;8910&lt;/D&gt;&lt;D xsi:type="xsd:double"&gt;8350&lt;/D&gt;&lt;D xsi:type="xsd:double"&gt;8690&lt;/D&gt;&lt;D xsi:type="xsd:double"&gt;8580&lt;/D&gt;&lt;D xsi:type="xsd:double"&gt;8200&lt;/D&gt;&lt;D xsi:type="xsd:double"&gt;8000&lt;/D&gt;&lt;D xsi:type="xsd:double"&gt;8170&lt;/D&gt;&lt;D xsi:type="xsd:double"&gt;8060&lt;/D&gt;&lt;D xsi:type="xsd:double"&gt;8240&lt;/D&gt;&lt;D xsi:type="xsd:double"&gt;8430&lt;/D&gt;&lt;D xsi:type="xsd:double"&gt;8670&lt;/D&gt;&lt;D xsi:type="xsd:double"&gt;8280&lt;/D&gt;&lt;D xsi:type="xsd:double"&gt;8330&lt;/D&gt;&lt;D xsi:type="xsd:double"&gt;7830&lt;/D&gt;&lt;D xsi:type="xsd:double"&gt;7880&lt;/D&gt;&lt;D xsi:type="xsd:double"&gt;8090&lt;/D&gt;&lt;D xsi:type="xsd:double"&gt;8200&lt;/D&gt;&lt;D xsi:type="xsd:double"&gt;8430&lt;/D&gt;&lt;D xsi:type="xsd:double"&gt;8320&lt;/D&gt;&lt;D xsi:type="xsd:double"&gt;8950&lt;/D&gt;&lt;D xsi:type="xsd:double"&gt;8610&lt;/D&gt;&lt;D xsi:type="xsd:double"&gt;9020&lt;/D&gt;&lt;D xsi:type="xsd:double"&gt;9610&lt;/D&gt;&lt;D xsi:type="xsd:double"&gt;9250&lt;/D&gt;&lt;D xsi:type="xsd:double"&gt;9100&lt;/D&gt;&lt;D xsi:type="xsd:double"&gt;9700&lt;/D&gt;&lt;D xsi:type="xsd:double"&gt;9210&lt;/D&gt;&lt;D xsi:type="xsd:double"&gt;9430&lt;/D&gt;&lt;D xsi:type="xsd:double"&gt;9750&lt;/D&gt;&lt;D xsi:type="xsd:double"&gt;9380&lt;/D&gt;&lt;D xsi:type="xsd:double"&gt;9100&lt;/D&gt;&lt;D xsi:type="xsd:double"&gt;9060&lt;/D&gt;&lt;D xsi:type="xsd:double"&gt;8890&lt;/D&gt;&lt;D xsi:type="xsd:double"&gt;8510&lt;/D&gt;&lt;D xsi:type="xsd:double"&gt;8190&lt;/D&gt;&lt;D xsi:type="xsd:double"&gt;8300&lt;/D&gt;&lt;D xsi:type="xsd:double"&gt;8200&lt;/D&gt;&lt;D xsi:type="xsd:double"&gt;8100&lt;/D&gt;&lt;D xsi:type="xsd:double"&gt;7990&lt;/D&gt;&lt;D xsi:type="xsd:double"&gt;8010&lt;/D&gt;&lt;D xsi:type="xsd:double"&gt;8160&lt;/D&gt;&lt;D xsi:type="xsd:double"&gt;8280&lt;/D&gt;&lt;D xsi:type="xsd:double"&gt;8500&lt;/D&gt;&lt;D xsi:type="xsd:double"&gt;8170&lt;/D&gt;&lt;D xsi:type="xsd:double"&gt;8110&lt;/D&gt;&lt;D xsi:type="xsd:double"&gt;8330&lt;/D&gt;&lt;D xsi:type="xsd:double"&gt;8390&lt;/D&gt;&lt;D xsi:type="xsd:double"&gt;8150&lt;/D&gt;&lt;D xsi:type="xsd:double"&gt;8330&lt;/D&gt;&lt;D xsi:type="xsd:double"&gt;8780&lt;/D&gt;&lt;D xsi:type="xsd:double"&gt;8240&lt;/D&gt;&lt;D xsi:type="xsd:double"&gt;8130&lt;/D&gt;&lt;D xsi:type="xsd:double"&gt;8160&lt;/D&gt;&lt;D xsi:type="xsd:double"&gt;8250&lt;/D&gt;&lt;D xsi:type="xsd:double"&gt;8320&lt;/D&gt;&lt;D xsi:type="xsd:double"&gt;8760&lt;/D&gt;&lt;D xsi:type="xsd:double"&gt;9610&lt;/D&gt;&lt;D xsi:type="xsd:double"&gt;9240&lt;/D&gt;&lt;D xsi:type="xsd:double"&gt;9150&lt;/D&gt;&lt;D xsi:type="xsd:double"&gt;8990&lt;/D&gt;&lt;D xsi:type="xsd:double"&gt;9090&lt;/D&gt;&lt;D xsi:type="xsd:double"&gt;9190&lt;/D&gt;&lt;D xsi:type="xsd:double"&gt;9550&lt;/D&gt;&lt;D xsi:type="xsd:double"&gt;9350&lt;/D&gt;&lt;D xsi:type="xsd:double"&gt;9210&lt;/D&gt;&lt;D xsi:type="xsd:double"&gt;9260&lt;/D&gt;&lt;D xsi:type="xsd:double"&gt;8880&lt;/D&gt;&lt;D xsi:type="xsd:double"&gt;9500&lt;/D&gt;&lt;D xsi:type="xsd:double"&gt;9560&lt;/D&gt;&lt;D xsi:type="xsd:double"&gt;9050&lt;/D&gt;&lt;D xsi:type="xsd:double"&gt;8540&lt;/D&gt;&lt;D xsi:type="xsd:double"&gt;8720&lt;/D&gt;&lt;D xsi:type="xsd:double"&gt;8490&lt;/D&gt;&lt;D xsi:type="xsd:double"&gt;8650&lt;/D&gt;&lt;D xsi:type="xsd:double"&gt;8690&lt;/D&gt;&lt;D xsi:type="xsd:double"&gt;8550&lt;/D&gt;&lt;D xsi:type="xsd:double"&gt;8670&lt;/D&gt;&lt;D xsi:type="xsd:double"&gt;8540&lt;/D&gt;&lt;D xsi:type="xsd:double"&gt;8520&lt;/D&gt;&lt;D xsi:type="xsd:double"&gt;8550&lt;/D&gt;&lt;D xsi:type="xsd:double"&gt;8500&lt;/D&gt;&lt;D xsi:type="xsd:double"&gt;8620&lt;/D&gt;&lt;D xsi:type="xsd:double"&gt;8450&lt;/D&gt;&lt;D xsi:type="xsd:double"&gt;8820&lt;/D&gt;&lt;D xsi:type="xsd:double"&gt;8900&lt;/D&gt;&lt;D xsi:type="xsd:double"&gt;9190&lt;/D&gt;&lt;D xsi:type="xsd:double"&gt;8730&lt;/D&gt;&lt;D xsi:type="xsd:double"&gt;8560&lt;/D&gt;&lt;D xsi:type="xsd:double"&gt;8630&lt;/D&gt;&lt;D xsi:type="xsd:double"&gt;8780&lt;/D&gt;&lt;D xsi:type="xsd:double"&gt;8850&lt;/D&gt;&lt;D xsi:type="xsd:double"&gt;9050&lt;/D&gt;&lt;D xsi:type="xsd:double"&gt;9060&lt;/D&gt;&lt;D xsi:type="xsd:double"&gt;9030&lt;/D&gt;&lt;D xsi:type="xsd:double"&gt;9050&lt;/D&gt;&lt;D xsi:type="xsd:double"&gt;9400&lt;/D&gt;&lt;D xsi:type="xsd:double"&gt;9820&lt;/D&gt;&lt;D xsi:type="xsd:double"&gt;9780&lt;/D&gt;&lt;D xsi:type="xsd:double"&gt;9900&lt;/D&gt;&lt;D xsi:type="xsd:double"&gt;10030&lt;/D&gt;&lt;D xsi:type="xsd:double"&gt;9830&lt;/D&gt;&lt;D xsi:type="xsd:double"&gt;9510&lt;/D&gt;&lt;D xsi:type="xsd:double"&gt;9930&lt;/D&gt;&lt;D xsi:type="xsd:double"&gt;10410&lt;/D&gt;&lt;D xsi:type="xsd:double"&gt;10500&lt;/D&gt;&lt;D xsi:type="xsd:double"&gt;10550&lt;/D&gt;&lt;D xsi:type="xsd:double"&gt;10050&lt;/D&gt;&lt;D xsi:type="xsd:double"&gt;10050&lt;/D&gt;&lt;D xsi:type="xsd:double"&gt;9540&lt;/D&gt;&lt;D xsi:type="xsd:double"&gt;9430&lt;/D&gt;&lt;D xsi:type="xsd:double"&gt;9500&lt;/D&gt;&lt;D xsi:type="xsd:double"&gt;9500&lt;/D&gt;&lt;D xsi:type="xsd:double"&gt;9570&lt;/D&gt;&lt;D xsi:type="xsd:double"&gt;9470&lt;/D&gt;&lt;D xsi:type="xsd:double"&gt;9110&lt;/D&gt;&lt;D xsi:type="xsd:double"&gt;9380&lt;/D&gt;&lt;D xsi:type="xsd:double"&gt;9080&lt;/D&gt;&lt;D xsi:type="xsd:double"&gt;9390&lt;/D&gt;&lt;D xsi:type="xsd:double"&gt;9400&lt;/D&gt;&lt;D xsi:type="xsd:double"&gt;9240&lt;/D&gt;&lt;D xsi:type="xsd:double"&gt;8870&lt;/D&gt;&lt;D xsi:type="xsd:double"&gt;9040&lt;/D&gt;&lt;D xsi:type="xsd:double"&gt;9380&lt;/D&gt;&lt;D xsi:type="xsd:double"&gt;9470&lt;/D&gt;&lt;D xsi:type="xsd:double"&gt;9570&lt;/D&gt;&lt;D xsi:type="xsd:double"&gt;9600&lt;/D&gt;&lt;D xsi:type="xsd:double"&gt;9550&lt;/D&gt;&lt;D xsi:type="xsd:double"&gt;9450&lt;/D&gt;&lt;D xsi:type="xsd:double"&gt;8880&lt;/D&gt;&lt;D xsi:type="xsd:double"&gt;8720&lt;/D&gt;&lt;D xsi:type="xsd:double"&gt;8750&lt;/D&gt;&lt;D xsi:type="xsd:double"&gt;8830&lt;/D&gt;&lt;D xsi:type="xsd:double"&gt;9700&lt;/D&gt;&lt;D xsi:type="xsd:double"&gt;10050&lt;/D&gt;&lt;D xsi:type="xsd:double"&gt;10600&lt;/D&gt;&lt;D xsi:type="xsd:double"&gt;11260&lt;/D&gt;&lt;/FQL&gt;&lt;FQL&gt;&lt;Q&gt;SB-US^P_PRICE(1/4/2019,NOW,W)&lt;/Q&gt;&lt;R&gt;373&lt;/R&gt;&lt;C&gt;1&lt;/C&gt;&lt;D xsi:type="xsd:double"&gt;2.04&lt;/D&gt;&lt;D xsi:type="xsd:double"&gt;2.02&lt;/D&gt;&lt;D xsi:type="xsd:double"&gt;1.99&lt;/D&gt;&lt;D xsi:type="xsd:double"&gt;1.89&lt;/D&gt;&lt;D xsi:type="xsd:double"&gt;1.62&lt;/D&gt;&lt;D xsi:type="xsd:double"&gt;1.55&lt;/D&gt;&lt;D xsi:type="xsd:double"&gt;1.6&lt;/D&gt;&lt;D xsi:type="xsd:double"&gt;1.42&lt;/D&gt;&lt;D xsi:type="xsd:double"&gt;1.54&lt;/D&gt;&lt;D xsi:type="xsd:double"&gt;1.35&lt;/D&gt;&lt;D xsi:type="xsd:double"&gt;1.54&lt;/D&gt;&lt;D xsi:type="xsd:double"&gt;1.4&lt;/D&gt;&lt;D xsi:type="xsd:double"&gt;1.46&lt;/D&gt;&lt;D xsi:type="xsd:double"&gt;1.53&lt;/D&gt;&lt;D xsi:type="xsd:double"&gt;1.54&lt;/D&gt;&lt;D xsi:type="xsd:double"&gt;1.62&lt;/D&gt;&lt;D xsi:type="xsd:double"&gt;1.65&lt;/D&gt;&lt;D xsi:type="xsd:double"&gt;1.81&lt;/D&gt;&lt;D xsi:type="xsd:double"&gt;1.6&lt;/D&gt;&lt;D xsi:type="xsd:double"&gt;1.57&lt;/D&gt;&lt;D xsi:type="xsd:double"&gt;1.61&lt;/D&gt;&lt;D xsi:type="xsd:double"&gt;1.41&lt;/D&gt;&lt;D xsi:type="xsd:double"&gt;1.49&lt;/D&gt;&lt;D xsi:type="xsd:double"&gt;1.4&lt;/D&gt;&lt;D xsi:type="xsd:double"&gt;1.43&lt;/D&gt;&lt;D xsi:type="xsd:double"&gt;1.56&lt;/D&gt;&lt;D xsi:type="xsd:double"&gt;1.9&lt;/D&gt;&lt;D xsi:type="xsd:double"&gt;2.03&lt;/D&gt;&lt;D xsi:type="xsd:double"&gt;2.26&lt;/D&gt;&lt;D xsi:type="xsd:double"&gt;2.18&lt;/D&gt;&lt;D xsi:type="xsd:double"&gt;1.78&lt;/D&gt;&lt;D xsi:type="xsd:double"&gt;1.76&lt;/D&gt;&lt;D xsi:type="xsd:double"&gt;1.83&lt;/D&gt;&lt;D xsi:type="xsd:double"&gt;1.76&lt;/D&gt;&lt;D xsi:type="xsd:double"&gt;2.06&lt;/D&gt;&lt;D xsi:type="xsd:double"&gt;2.05&lt;/D&gt;&lt;D xsi:type="xsd:double"&gt;2.18&lt;/D&gt;&lt;D xsi:type="xsd:double"&gt;1.96&lt;/D&gt;&lt;D xsi:type="xsd:double"&gt;1.78&lt;/D&gt;&lt;D xsi:type="xsd:double"&gt;1.79&lt;/D&gt;&lt;D xsi:type="xsd:double"&gt;1.92&lt;/D&gt;&lt;D xsi:type="xsd:double"&gt;1.83&lt;/D&gt;&lt;D xsi:type="xsd:double"&gt;1.79&lt;/D&gt;&lt;D xsi:type="xsd:double"&gt;1.74&lt;/D&gt;&lt;D xsi:type="xsd:double"&gt;1.71&lt;/D&gt;&lt;D xsi:type="xsd:double"&gt;1.64&lt;/D&gt;&lt;D xsi:type="xsd:double"&gt;1.67&lt;/D&gt;&lt;D xsi:type="xsd:double"&gt;1.75&lt;/D&gt;&lt;D xsi:type="xsd:double"&gt;1.7&lt;/D&gt;&lt;D xsi:type="xsd:double"&gt;1.72&lt;/D&gt;&lt;D xsi:type="xsd:double"&gt;1.7&lt;/D&gt;&lt;D xsi:type="xsd:double"&gt;1.75&lt;/D&gt;&lt;D xsi:type="xsd:double"&gt;1.63&lt;/D&gt;&lt;D xsi:type="xsd:double"&gt;1.59&lt;/D&gt;&lt;D xsi:type="xsd:double"&gt;1.6&lt;/D&gt;&lt;D xsi:type="xsd:double"&gt;1.47&lt;/D&gt;&lt;D xsi:type="xsd:double"&gt;1.3&lt;/D&gt;&lt;D xsi:type="xsd:double"&gt;1.27&lt;/D&gt;&lt;D xsi:type="xsd:double"&gt;1.37&lt;/D&gt;&lt;D xsi:type="xsd:double"&gt;1.41&lt;/D&gt;&lt;D xsi:type="xsd:double"&gt;1.32&lt;/D&gt;&lt;D xsi:type="xsd:double"&gt;1.27&lt;/D&gt;&lt;D xsi:type="xsd:double"&gt;1.05&lt;/D&gt;&lt;D xsi:type="xsd:double"&gt;1.01&lt;/D&gt;&lt;D xsi:type="xsd:double"&gt;1.08&lt;/D&gt;&lt;D xsi:type="xsd:double"&gt;1.01&lt;/D&gt;&lt;D xsi:type="xsd:double"&gt;1.15&lt;/D&gt;&lt;D xsi:type="xsd:double"&gt;1.12&lt;/D&gt;&lt;D xsi:type="xsd:double"&gt;1.1&lt;/D&gt;&lt;D xsi:type="xsd:double"&gt;1.01&lt;/D&gt;&lt;D xsi:type="xsd:double"&gt;0.9807&lt;/D&gt;&lt;D xsi:type="xsd:double"&gt;0.8599&lt;/D&gt;&lt;D xsi:type="xsd:double"&gt;0.9523&lt;/D&gt;&lt;D xsi:type="xsd:double"&gt;1.02&lt;/D&gt;&lt;D xsi:type="xsd:double"&gt;1.32&lt;/D&gt;&lt;D xsi:type="xsd:double"&gt;1.25&lt;/D&gt;&lt;D xsi:type="xsd:double"&gt;1.29&lt;/D&gt;&lt;D xsi:type="xsd:double"&gt;1.17&lt;/D&gt;&lt;D xsi:type="xsd:double"&gt;1.21&lt;/D&gt;&lt;D xsi:type="xsd:double"&gt;1.27&lt;/D&gt;&lt;D xsi:type="xsd:double"&gt;1.2&lt;/D&gt;&lt;D xsi:type="xsd:double"&gt;1.16&lt;/D&gt;&lt;D xsi:type="xsd:double"&gt;1.33&lt;/D&gt;&lt;D xsi:type="xsd:double"&gt;1.23&lt;/D&gt;&lt;D xsi:type="xsd:double"&gt;1.25&lt;/D&gt;&lt;D xsi:type="xsd:double"&gt;1.15&lt;/D&gt;&lt;D xsi:type="xsd:double"&gt;1.13&lt;/D&gt;&lt;D xsi:type="xsd:double"&gt;1.06&lt;/D&gt;&lt;D xsi:type="xsd:double"&gt;1.02&lt;/D&gt;&lt;D xsi:type="xsd:double"&gt;1.14&lt;/D&gt;&lt;D xsi:type="xsd:double"&gt;1.03&lt;/D&gt;&lt;D xsi:type="xsd:double"&gt;1.05&lt;/D&gt;&lt;D xsi:type="xsd:double"&gt;1.08&lt;/D&gt;&lt;D xsi:type="xsd:double"&gt;1.01&lt;/D&gt;&lt;D xsi:type="xsd:double"&gt;0.978&lt;/D&gt;&lt;D xsi:type="xsd:double"&gt;0.8866&lt;/D&gt;&lt;D xsi:type="xsd:double"&gt;0.9135&lt;/D&gt;&lt;D xsi:type="xsd:double"&gt;1&lt;/D&gt;&lt;D xsi:type="xsd:double"&gt;1.07&lt;/D&gt;&lt;D xsi:type="xsd:double"&gt;1.18&lt;/D&gt;&lt;D xsi:type="xsd:double"&gt;1.18&lt;/D&gt;&lt;D xsi:type="xsd:double"&gt;1.15&lt;/D&gt;&lt;D xsi:type="xsd:double"&gt;1.2&lt;/D&gt;&lt;D xsi:type="xsd:double"&gt;1.2&lt;/D&gt;&lt;D xsi:type="xsd:double"&gt;1.3&lt;/D&gt;&lt;D xsi:type="xsd:double"&gt;1.74&lt;/D&gt;&lt;D xsi:type="xsd:double"&gt;1.82&lt;/D&gt;&lt;D xsi:type="xsd:double"&gt;1.83&lt;/D&gt;&lt;D xsi:type="xsd:double"&gt;1.74&lt;/D&gt;&lt;D xsi:type="xsd:double"&gt;2.37&lt;/D&gt;&lt;D xsi:type="xsd:double"&gt;2.82&lt;/D&gt;&lt;D xsi:type="xsd:double"&gt;2.79&lt;/D&gt;&lt;D xsi:type="xsd:double"&gt;2.75&lt;/D&gt;&lt;D xsi:type="xsd:double"&gt;2.75&lt;/D&gt;&lt;D xsi:type="xsd:double"&gt;2.86&lt;/D&gt;&lt;D xsi:type="xsd:double"&gt;2.88&lt;/D&gt;&lt;D xsi:type="xsd:double"&gt;2.64&lt;/D&gt;&lt;D xsi:type="xsd:double"&gt;2.45&lt;/D&gt;&lt;D xsi:type="xsd:double"&gt;2.24&lt;/D&gt;&lt;D xsi:type="xsd:double"&gt;2.35&lt;/D&gt;&lt;D xsi:type="xsd:double"&gt;2.8&lt;/D&gt;&lt;D xsi:type="xsd:double"&gt;3.59&lt;/D&gt;&lt;D xsi:type="xsd:double"&gt;4&lt;/D&gt;&lt;D xsi:type="xsd:double"&gt;4&lt;/D&gt;&lt;D xsi:type="xsd:double"&gt;4.1&lt;/D&gt;&lt;D xsi:type="xsd:double"&gt;3.69&lt;/D&gt;&lt;D xsi:type="xsd:double"&gt;3.68&lt;/D&gt;&lt;D xsi:type="xsd:double"&gt;4.35&lt;/D&gt;&lt;D xsi:type="xsd:double"&gt;3.87&lt;/D&gt;&lt;D xsi:type="xsd:double"&gt;4.13&lt;/D&gt;&lt;D xsi:type="xsd:double"&gt;3.74&lt;/D&gt;&lt;D xsi:type="xsd:double"&gt;3.58&lt;/D&gt;&lt;D xsi:type="xsd:double"&gt;3.1&lt;/D&gt;&lt;D xsi:type="xsd:double"&gt;3.32&lt;/D&gt;&lt;D xsi:type="xsd:double"&gt;3.34&lt;/D&gt;&lt;D xsi:type="xsd:double"&gt;3.37&lt;/D&gt;&lt;D xsi:type="xsd:double"&gt;3.45&lt;/D&gt;&lt;D xsi:type="xsd:double"&gt;3.56&lt;/D&gt;&lt;D xsi:type="xsd:double"&gt;4.19&lt;/D&gt;&lt;D xsi:type="xsd:double"&gt;4.18&lt;/D&gt;&lt;D xsi:type="xsd:double"&gt;4.13&lt;/D&gt;&lt;D xsi:type="xsd:double"&gt;4.87&lt;/D&gt;&lt;D xsi:type="xsd:double"&gt;4.87&lt;/D&gt;&lt;D xsi:type="xsd:double"&gt;5.28&lt;/D&gt;&lt;D xsi:type="xsd:double"&gt;4.91&lt;/D&gt;&lt;D xsi:type="xsd:double"&gt;4.61&lt;/D&gt;&lt;D xsi:type="xsd:double"&gt;4.67&lt;/D&gt;&lt;D xsi:type="xsd:double"&gt;4.46&lt;/D&gt;&lt;D xsi:type="xsd:double"&gt;3.8&lt;/D&gt;&lt;D xsi:type="xsd:double"&gt;3.75&lt;/D&gt;&lt;D xsi:type="xsd:double"&gt;3.44&lt;/D&gt;&lt;D xsi:type="xsd:double"&gt;3.53&lt;/D&gt;&lt;D xsi:type="xsd:double"&gt;3.59&lt;/D&gt;&lt;D xsi:type="xsd:double"&gt;3.79&lt;/D&gt;&lt;D xsi:type="xsd:double"&gt;3.61&lt;/D&gt;&lt;D xsi:type="xsd:double"&gt;3.69&lt;/D&gt;&lt;D xsi:type="xsd:double"&gt;3.77&lt;/D&gt;&lt;D xsi:type="xsd:double"&gt;3.72&lt;/D&gt;&lt;D xsi:type="xsd:double"&gt;3.65&lt;/D&gt;&lt;D xsi:type="xsd:double"&gt;3.34&lt;/D&gt;&lt;D xsi:type="xsd:double"&gt;3.51&lt;/D&gt;&lt;D xsi:type="xsd:double"&gt;3.6&lt;/D&gt;&lt;D xsi:type="xsd:double"&gt;4.11&lt;/D&gt;&lt;D xsi:type="xsd:double"&gt;4.31&lt;/D&gt;&lt;D xsi:type="xsd:double"&gt;4.33&lt;/D&gt;&lt;D xsi:type="xsd:double"&gt;4.27&lt;/D&gt;&lt;D xsi:type="xsd:double"&gt;4.62&lt;/D&gt;&lt;D xsi:type="xsd:double"&gt;4.5&lt;/D&gt;&lt;D xsi:type="xsd:double"&gt;4.59&lt;/D&gt;&lt;D xsi:type="xsd:double"&gt;4.77&lt;/D&gt;&lt;D xsi:type="xsd:double"&gt;4.08&lt;/D&gt;&lt;D xsi:type="xsd:double"&gt;4.26&lt;/D&gt;&lt;D xsi:type="xsd:double"&gt;4.28&lt;/D&gt;&lt;D xsi:type="xsd:double"&gt;4.11&lt;/D&gt;&lt;D xsi:type="xsd:double"&gt;4.3&lt;/D&gt;&lt;D xsi:type="xsd:double"&gt;4.03&lt;/D&gt;&lt;D xsi:type="xsd:double"&gt;4.33&lt;/D&gt;&lt;D xsi:type="xsd:double"&gt;4.77&lt;/D&gt;&lt;D xsi:type="xsd:double"&gt;4.92&lt;/D&gt;&lt;D xsi:type="xsd:double"&gt;4.42&lt;/D&gt;&lt;D xsi:type="xsd:double"&gt;4.07&lt;/D&gt;&lt;D xsi:type="xsd:double"&gt;3.81&lt;/D&gt;&lt;D xsi:type="xsd:double"&gt;3.65&lt;/D&gt;&lt;D xsi:type="xsd:double"&gt;3.37&lt;/D&gt;&lt;D xsi:type="xsd:double"&gt;3.37&lt;/D&gt;&lt;D xsi:type="xsd:double"&gt;3.58&lt;/D&gt;&lt;D xsi:type="xsd:double"&gt;3.86&lt;/D&gt;&lt;D xsi:type="xsd:double"&gt;3.69&lt;/D&gt;&lt;D xsi:type="xsd:double"&gt;3.81&lt;/D&gt;&lt;D xsi:type="xsd:double"&gt;3.6&lt;/D&gt;&lt;D xsi:type="xsd:double"&gt;3.35&lt;/D&gt;&lt;D xsi:type="xsd:double"&gt;3.21&lt;/D&gt;&lt;D xsi:type="xsd:double"&gt;3.26&lt;/D&gt;&lt;D xsi:type="xsd:double"&gt;3.05&lt;/D&gt;&lt;D xsi:type="xsd:double"&gt;2.77&lt;/D&gt;&lt;D xsi:type="xsd:double"&gt;2.47&lt;/D&gt;&lt;D xsi:type="xsd:double"&gt;2.63&lt;/D&gt;&lt;D xsi:type="xsd:double"&gt;2.7&lt;/D&gt;&lt;D xsi:type="xsd:double"&gt;2.7&lt;/D&gt;&lt;D xsi:type="xsd:double"&gt;2.65&lt;/D&gt;&lt;D xsi:type="xsd:double"&gt;2.71&lt;/D&gt;&lt;D xsi:type="xsd:double"&gt;3&lt;/D&gt;&lt;D xsi:type="xsd:double"&gt;2.94&lt;/D&gt;&lt;D xsi:type="xsd:double"&gt;2.94&lt;/D&gt;&lt;D xsi:type="xsd:double"&gt;2.73&lt;/D&gt;&lt;D xsi:type="xsd:double"&gt;2.73&lt;/D&gt;&lt;D xsi:type="xsd:double"&gt;2.8&lt;/D&gt;&lt;D xsi:type="xsd:double"&gt;2.95&lt;/D&gt;&lt;D xsi:type="xsd:double"&gt;2.91&lt;/D&gt;&lt;D xsi:type="xsd:double"&gt;2.97&lt;/D&gt;&lt;D xsi:type="xsd:double"&gt;3.02&lt;/D&gt;&lt;D xsi:type="xsd:double"&gt;3.19&lt;/D&gt;&lt;D xsi:type="xsd:double"&gt;3.23&lt;/D&gt;&lt;D xsi:type="xsd:double"&gt;3.32&lt;/D&gt;&lt;D xsi:type="xsd:double"&gt;3.27&lt;/D&gt;&lt;D xsi:type="xsd:double"&gt;3.25&lt;/D&gt;&lt;D xsi:type="xsd:double"&gt;3.64&lt;/D&gt;&lt;D xsi:type="xsd:double"&gt;3.77&lt;/D&gt;&lt;D xsi:type="xsd:double"&gt;3.58&lt;/D&gt;&lt;D xsi:type="xsd:double"&gt;3.33&lt;/D&gt;&lt;D xsi:type="xsd:double"&gt;3.64&lt;/D&gt;&lt;D xsi:type="xsd:double"&gt;3.69&lt;/D&gt;&lt;D xsi:type="xsd:double"&gt;3.6&lt;/D&gt;&lt;D xsi:type="xsd:double"&gt;3.84&lt;/D&gt;&lt;D xsi:type="xsd:double"&gt;3.66&lt;/D&gt;&lt;D xsi:type="xsd:double"&gt;3.66&lt;/D&gt;&lt;D xsi:type="xsd:double"&gt;3.61&lt;/D&gt;&lt;D xsi:type="xsd:double"&gt;3.53&lt;/D&gt;&lt;D xsi:type="xsd:double"&gt;3.57&lt;/D&gt;&lt;D xsi:type="xsd:double"&gt;3.34&lt;/D&gt;&lt;D xsi:type="xsd:double"&gt;3.42&lt;/D&gt;&lt;D xsi:type="xsd:double"&gt;3.3&lt;/D&gt;&lt;D xsi:type="xsd:double"&gt;3.35&lt;/D&gt;&lt;D xsi:type="xsd:double"&gt;3.25&lt;/D&gt;&lt;D xsi:type="xsd:double"&gt;3.26&lt;/D&gt;&lt;D xsi:type="xsd:double"&gt;3.31&lt;/D&gt;&lt;D xsi:type="xsd:double"&gt;3.29&lt;/D&gt;&lt;D xsi:type="xsd:double"&gt;3.24&lt;/D&gt;&lt;D xsi:type="xsd:double"&gt;3.34&lt;/D&gt;&lt;D xsi:type="xsd:double"&gt;3.29&lt;/D&gt;&lt;D xsi:type="xsd:double"&gt;3.38&lt;/D&gt;&lt;D xsi:type="xsd:double"&gt;3.21&lt;/D&gt;&lt;D xsi:type="xsd:double"&gt;3.08&lt;/D&gt;&lt;D xsi:type="xsd:double"&gt;3.2&lt;/D&gt;&lt;D xsi:type="xsd:double"&gt;3.07&lt;/D&gt;&lt;D xsi:type="xsd:double"&gt;3.15&lt;/D&gt;&lt;D xsi:type="xsd:double"&gt;3.25&lt;/D&gt;&lt;D xsi:type="xsd:double"&gt;3.24&lt;/D&gt;&lt;D xsi:type="xsd:double"&gt;3.31&lt;/D&gt;&lt;D xsi:type="xsd:double"&gt;3.31&lt;/D&gt;&lt;D xsi:type="xsd:double"&gt;3.3&lt;/D&gt;&lt;D xsi:type="xsd:double"&gt;3.18&lt;/D&gt;&lt;D xsi:type="xsd:double"&gt;3.23&lt;/D&gt;&lt;D xsi:type="xsd:double"&gt;3.24&lt;/D&gt;&lt;D xsi:type="xsd:double"&gt;3.56&lt;/D&gt;&lt;D xsi:type="xsd:double"&gt;3.71&lt;/D&gt;&lt;D xsi:type="xsd:double"&gt;3.98&lt;/D&gt;&lt;D xsi:type="xsd:double"&gt;3.68&lt;/D&gt;&lt;D xsi:type="xsd:double"&gt;3.88&lt;/D&gt;&lt;D xsi:type="xsd:double"&gt;4.08&lt;/D&gt;&lt;D xsi:type="xsd:double"&gt;3.93&lt;/D&gt;&lt;D xsi:type="xsd:double"&gt;4.16&lt;/D&gt;&lt;D xsi:type="xsd:double"&gt;3.87&lt;/D&gt;&lt;D xsi:type="xsd:double"&gt;4.02&lt;/D&gt;&lt;D xsi:type="xsd:double"&gt;4.14&lt;/D&gt;&lt;D xsi:type="xsd:double"&gt;3.91&lt;/D&gt;&lt;D xsi:type="xsd:double"&gt;4.17&lt;/D&gt;&lt;D xsi:type="xsd:double"&gt;4.28&lt;/D&gt;&lt;D xsi:type="xsd:double"&gt;4.53&lt;/D&gt;&lt;D xsi:type="xsd:double"&gt;4.71&lt;/D&gt;&lt;D xsi:type="xsd:double"&gt;4.96&lt;/D&gt;&lt;D xsi:type="xsd:double"&gt;4.96&lt;/D&gt;&lt;D xsi:type="xsd:double"&gt;5.12&lt;/D&gt;&lt;D xsi:type="xsd:double"&gt;4.96&lt;/D&gt;&lt;D xsi:type="xsd:double"&gt;4.9&lt;/D&gt;&lt;D xsi:type="xsd:double"&gt;4.71&lt;/D&gt;&lt;D xsi:type="xsd:double"&gt;4.81&lt;/D&gt;&lt;D xsi:type="xsd:double"&gt;5.06&lt;/D&gt;&lt;D xsi:type="xsd:double"&gt;5.19&lt;/D&gt;&lt;D xsi:type="xsd:double"&gt;5.44&lt;/D&gt;&lt;D xsi:type="xsd:double"&gt;5.57&lt;/D&gt;&lt;D xsi:type="xsd:double"&gt;5.4&lt;/D&gt;&lt;D xsi:type="xsd:double"&gt;5.67&lt;/D&gt;&lt;D xsi:type="xsd:double"&gt;6.02&lt;/D&gt;&lt;D xsi:type="xsd:double"&gt;5.73&lt;/D&gt;&lt;D xsi:type="xsd:double"&gt;5.79&lt;/D&gt;&lt;D xsi:type="xsd:double"&gt;5.82&lt;/D&gt;&lt;D xsi:type="xsd:double"&gt;5.86&lt;/D&gt;&lt;D xsi:type="xsd:double"&gt;5.62&lt;/D&gt;&lt;D xsi:type="xsd:double"&gt;5.47&lt;/D&gt;&lt;D xsi:type="xsd:double"&gt;5.45&lt;/D&gt;&lt;D xsi:type="xsd:double"&gt;4.76&lt;/D&gt;&lt;D xsi:type="xsd:double"&gt;4.78&lt;/D&gt;&lt;D xsi:type="xsd:double"&gt;4.97&lt;/D&gt;&lt;D xsi:type="xsd:double"&gt;4.97&lt;/D&gt;&lt;D xsi:type="xsd:double"&gt;5.11&lt;/D&gt;&lt;D xsi:type="xsd:double"&gt;4.6&lt;/D&gt;&lt;D xsi:type="xsd:double"&gt;4.75&lt;/D&gt;&lt;D xsi:type="xsd:double"&gt;4.84&lt;/D&gt;&lt;D xsi:type="xsd:double"&gt;5.16&lt;/D&gt;&lt;D xsi:type="xsd:double"&gt;5.15&lt;/D&gt;&lt;D xsi:type="xsd:double"&gt;4.72&lt;/D&gt;&lt;D xsi:type="xsd:double"&gt;4.45&lt;/D&gt;&lt;D xsi:type="xsd:double"&gt;4.26&lt;/D&gt;&lt;D xsi:type="xsd:double"&gt;4.19&lt;/D&gt;&lt;D xsi:type="xsd:double"&gt;4.34&lt;/D&gt;&lt;D xsi:type="xsd:double"&gt;4.27&lt;/D&gt;&lt;D xsi:type="xsd:double"&gt;4.17&lt;/D&gt;&lt;D xsi:type="xsd:double"&gt;3.87&lt;/D&gt;&lt;D xsi:type="xsd:double"&gt;3.84&lt;/D&gt;&lt;D xsi:type="xsd:double"&gt;3.68&lt;/D&gt;&lt;D xsi:type="xsd:double"&gt;3.51&lt;/D&gt;&lt;D xsi:type="xsd:double"&gt;3.57&lt;/D&gt;&lt;D xsi:type="xsd:double"&gt;3.54&lt;/D&gt;&lt;D xsi:type="xsd:double"&gt;3.54&lt;/D&gt;&lt;D xsi:type="xsd:double"&gt;3.42&lt;/D&gt;&lt;D xsi:type="xsd:double"&gt;3.38&lt;/D&gt;&lt;D xsi:type="xsd:double"&gt;3.55&lt;/D&gt;&lt;D xsi:type="xsd:double"&gt;3.6&lt;/D&gt;&lt;D xsi:type="xsd:double"&gt;3.59&lt;/D&gt;&lt;D xsi:type="xsd:double"&gt;3.73&lt;/D&gt;&lt;D xsi:type="xsd:double"&gt;3.74&lt;/D&gt;&lt;D xsi:type="xsd:double"&gt;3.8&lt;/D&gt;&lt;D xsi:type="xsd:double"&gt;3.8&lt;/D&gt;&lt;D xsi:type="xsd:double"&gt;3.74&lt;/D&gt;&lt;D xsi:type="xsd:double"&gt;3.76&lt;/D&gt;&lt;D xsi:type="xsd:double"&gt;3.23&lt;/D&gt;&lt;D xsi:type="xsd:double"&gt;3.48&lt;/D&gt;&lt;D xsi:type="xsd:double"&gt;3.3&lt;/D&gt;&lt;D xsi:type="xsd:double"&gt;3.39&lt;/D&gt;&lt;D xsi:type="xsd:double"&gt;3.45&lt;/D&gt;&lt;D xsi:type="xsd:double"&gt;3.42&lt;/D&gt;&lt;D xsi:type="xsd:double"&gt;3.75&lt;/D&gt;&lt;D xsi:type="xsd:double"&gt;3.66&lt;/D&gt;&lt;D xsi:type="xsd:double"&gt;3.8&lt;/D&gt;&lt;D xsi:type="xsd:double"&gt;3.79&lt;/D&gt;&lt;D xsi:type="xsd:double"&gt;3.88&lt;/D&gt;&lt;D xsi:type="xsd:double"&gt;3.74&lt;/D&gt;&lt;D xsi:type="xsd:double"&gt;3.69&lt;/D&gt;&lt;D xsi:type="xsd:double"&gt;3.78&lt;/D&gt;&lt;D xsi:type="xsd:double"&gt;4.11&lt;/D&gt;&lt;D xsi:type="xsd:double"&gt;4.12&lt;/D&gt;&lt;D xsi:type="xsd:double"&gt;4.24&lt;/D&gt;&lt;D xsi:type="xsd:double"&gt;3.92&lt;/D&gt;&lt;D xsi:type="xsd:double"&gt;4.19&lt;/D&gt;&lt;D xsi:type="xsd:double"&gt;4.25&lt;/D&gt;&lt;D xsi:type="xsd:double"&gt;4.33&lt;/D&gt;&lt;D xsi:type="xsd:double"&gt;4.25&lt;/D&gt;&lt;D xsi:type="xsd:double"&gt;4.45&lt;/D&gt;&lt;D xsi:type="xsd:double"&gt;4.55&lt;/D&gt;&lt;D xsi:type="xsd:double"&gt;4.53&lt;/D&gt;&lt;D xsi:type="xsd:double"&gt;4.6&lt;/D&gt;&lt;D xsi:type="xsd:double"&gt;4.47&lt;/D&gt;&lt;D xsi:type="xsd:double"&gt;4.14&lt;/D&gt;&lt;D xsi:type="xsd:double"&gt;4.31&lt;/D&gt;&lt;D xsi:type="xsd:double"&gt;4.45&lt;/D&gt;&lt;D xsi:type="xsd:double"&gt;4.69&lt;/D&gt;&lt;D xsi:type="xsd:double"&gt;4.78&lt;/D&gt;&lt;D xsi:type="xsd:double"&gt;4.83&lt;/D&gt;&lt;D xsi:type="xsd:double"&gt;4.85&lt;/D&gt;&lt;D xsi:type="xsd:double"&gt;5.29&lt;/D&gt;&lt;D xsi:type="xsd:double"&gt;5.31&lt;/D&gt;&lt;D xsi:type="xsd:double"&gt;4.91&lt;/D&gt;&lt;D xsi:type="xsd:double"&gt;4.8&lt;/D&gt;&lt;D xsi:type="xsd:double"&gt;4.82&lt;/D&gt;&lt;D xsi:type="xsd:double"&gt;4.83&lt;/D&gt;&lt;D xsi:type="xsd:double"&gt;5.17&lt;/D&gt;&lt;D xsi:type="xsd:double"&gt;5.12&lt;/D&gt;&lt;D xsi:type="xsd:double"&gt;5.36&lt;/D&gt;&lt;D xsi:type="xsd:double"&gt;5.71&lt;/D&gt;&lt;D xsi:type="xsd:double"&gt;5.58&lt;/D&gt;&lt;D xsi:type="xsd:double"&gt;5.99&lt;/D&gt;&lt;D xsi:type="xsd:double"&gt;6.15&lt;/D&gt;&lt;/FQL&gt;&lt;FQL&gt;&lt;Q&gt;DSX-US^P_PRICE(1/4/2019,NOW,W)&lt;/Q&gt;&lt;R&gt;373&lt;/R&gt;&lt;C&gt;1&lt;/C&gt;&lt;D xsi:type="xsd:double"&gt;3.4&lt;/D&gt;&lt;D xsi:type="xsd:double"&gt;3.38&lt;/D&gt;&lt;D xsi:type="xsd:double"&gt;3.43&lt;/D&gt;&lt;D xsi:type="xsd:double"&gt;3.22&lt;/D&gt;&lt;D xsi:type="xsd:double"&gt;2.98&lt;/D&gt;&lt;D xsi:type="xsd:double"&gt;3.06&lt;/D&gt;&lt;D xsi:type="xsd:double"&gt;3.02&lt;/D&gt;&lt;D xsi:type="xsd:double"&gt;2.96&lt;/D&gt;&lt;D xsi:type="xsd:double"&gt;2.61&lt;/D&gt;&lt;D xsi:type="xsd:double"&gt;2.45&lt;/D&gt;&lt;D xsi:type="xsd:double"&gt;2.65&lt;/D&gt;&lt;D xsi:type="xsd:double"&gt;2.72&lt;/D&gt;&lt;D xsi:type="xsd:double"&gt;2.82&lt;/D&gt;&lt;D xsi:type="xsd:double"&gt;3.02&lt;/D&gt;&lt;D xsi:type="xsd:double"&gt;3.04&lt;/D&gt;&lt;D xsi:type="xsd:double"&gt;3.14&lt;/D&gt;&lt;D xsi:type="xsd:double"&gt;3.16&lt;/D&gt;&lt;D xsi:type="xsd:double"&gt;3.25&lt;/D&gt;&lt;D xsi:type="xsd:double"&gt;3.17&lt;/D&gt;&lt;D xsi:type="xsd:double"&gt;3.3&lt;/D&gt;&lt;D xsi:type="xsd:double"&gt;3.22&lt;/D&gt;&lt;D xsi:type="xsd:double"&gt;2.99&lt;/D&gt;&lt;D xsi:type="xsd:double"&gt;3.01&lt;/D&gt;&lt;D xsi:type="xsd:double"&gt;3.17&lt;/D&gt;&lt;D xsi:type="xsd:double"&gt;3.23&lt;/D&gt;&lt;D xsi:type="xsd:double"&gt;3.31&lt;/D&gt;&lt;D xsi:type="xsd:double"&gt;3.64&lt;/D&gt;&lt;D xsi:type="xsd:double"&gt;3.68&lt;/D&gt;&lt;D xsi:type="xsd:double"&gt;3.72&lt;/D&gt;&lt;D xsi:type="xsd:double"&gt;3.66&lt;/D&gt;&lt;D xsi:type="xsd:double"&gt;3.26&lt;/D&gt;&lt;D xsi:type="xsd:double"&gt;3.06&lt;/D&gt;&lt;D xsi:type="xsd:double"&gt;3.17&lt;/D&gt;&lt;D xsi:type="xsd:double"&gt;3.28&lt;/D&gt;&lt;D xsi:type="xsd:double"&gt;3.37&lt;/D&gt;&lt;D xsi:type="xsd:double"&gt;3.42&lt;/D&gt;&lt;D xsi:type="xsd:double"&gt;3.46&lt;/D&gt;&lt;D xsi:type="xsd:double"&gt;3.31&lt;/D&gt;&lt;D xsi:type="xsd:double"&gt;3.37&lt;/D&gt;&lt;D xsi:type="xsd:double"&gt;3.44&lt;/D&gt;&lt;D xsi:type="xsd:double"&gt;3.44&lt;/D&gt;&lt;D xsi:type="xsd:double"&gt;3.61&lt;/D&gt;&lt;D xsi:type="xsd:double"&gt;3.83&lt;/D&gt;&lt;D xsi:type="xsd:double"&gt;3.82&lt;/D&gt;&lt;D xsi:type="xsd:double"&gt;3.67&lt;/D&gt;&lt;D xsi:type="xsd:double"&gt;3.58&lt;/D&gt;&lt;D xsi:type="xsd:double"&gt;3.39&lt;/D&gt;&lt;D xsi:type="xsd:double"&gt;3.48&lt;/D&gt;&lt;D xsi:type="xsd:double"&gt;3.38&lt;/D&gt;&lt;D xsi:type="xsd:double"&gt;3.18&lt;/D&gt;&lt;D xsi:type="xsd:double"&gt;3.1&lt;/D&gt;&lt;D xsi:type="xsd:double"&gt;3.08&lt;/D&gt;&lt;D xsi:type="xsd:double"&gt;3.07&lt;/D&gt;&lt;D xsi:type="xsd:double"&gt;2.98&lt;/D&gt;&lt;D xsi:type="xsd:double"&gt;3.01&lt;/D&gt;&lt;D xsi:type="xsd:double"&gt;2.82&lt;/D&gt;&lt;D xsi:type="xsd:double"&gt;2.64&lt;/D&gt;&lt;D xsi:type="xsd:double"&gt;2.68&lt;/D&gt;&lt;D xsi:type="xsd:double"&gt;2.75&lt;/D&gt;&lt;D xsi:type="xsd:double"&gt;2.65&lt;/D&gt;&lt;D xsi:type="xsd:double"&gt;2.19&lt;/D&gt;&lt;D xsi:type="xsd:double"&gt;2&lt;/D&gt;&lt;D xsi:type="xsd:double"&gt;1.8&lt;/D&gt;&lt;D xsi:type="xsd:double"&gt;1.3&lt;/D&gt;&lt;D xsi:type="xsd:double"&gt;1.4&lt;/D&gt;&lt;D xsi:type="xsd:double"&gt;1.38&lt;/D&gt;&lt;D xsi:type="xsd:double"&gt;1.41&lt;/D&gt;&lt;D xsi:type="xsd:double"&gt;1.78&lt;/D&gt;&lt;D xsi:type="xsd:double"&gt;1.69&lt;/D&gt;&lt;D xsi:type="xsd:double"&gt;1.75&lt;/D&gt;&lt;D xsi:type="xsd:double"&gt;1.78&lt;/D&gt;&lt;D xsi:type="xsd:double"&gt;1.53&lt;/D&gt;&lt;D xsi:type="xsd:double"&gt;1.43&lt;/D&gt;&lt;D xsi:type="xsd:double"&gt;1.36&lt;/D&gt;&lt;D xsi:type="xsd:double"&gt;1.88&lt;/D&gt;&lt;D xsi:type="xsd:double"&gt;1.68&lt;/D&gt;&lt;D xsi:type="xsd:double"&gt;1.78&lt;/D&gt;&lt;D xsi:type="xsd:double"&gt;1.56&lt;/D&gt;&lt;D xsi:type="xsd:double"&gt;1.56&lt;/D&gt;&lt;D xsi:type="xsd:double"&gt;1.44&lt;/D&gt;&lt;D xsi:type="xsd:double"&gt;1.41&lt;/D&gt;&lt;D xsi:type="xsd:double"&gt;1.4&lt;/D&gt;&lt;D xsi:type="xsd:double"&gt;1.39&lt;/D&gt;&lt;D xsi:type="xsd:double"&gt;1.39&lt;/D&gt;&lt;D xsi:type="xsd:double"&gt;1.53&lt;/D&gt;&lt;D xsi:type="xsd:double"&gt;1.42&lt;/D&gt;&lt;D xsi:type="xsd:double"&gt;1.43&lt;/D&gt;&lt;D xsi:type="xsd:double"&gt;1.43&lt;/D&gt;&lt;D xsi:type="xsd:double"&gt;1.39&lt;/D&gt;&lt;D xsi:type="xsd:double"&gt;1.53&lt;/D&gt;&lt;D xsi:type="xsd:double"&gt;1.41&lt;/D&gt;&lt;D xsi:type="xsd:double"&gt;1.44&lt;/D&gt;&lt;D xsi:type="xsd:double"&gt;1.45&lt;/D&gt;&lt;D xsi:type="xsd:double"&gt;1.4&lt;/D&gt;&lt;D xsi:type="xsd:double"&gt;1.39&lt;/D&gt;&lt;D xsi:type="xsd:double"&gt;1.36&lt;/D&gt;&lt;D xsi:type="xsd:double"&gt;1.38&lt;/D&gt;&lt;D xsi:type="xsd:double"&gt;1.54&lt;/D&gt;&lt;D xsi:type="xsd:double"&gt;1.73&lt;/D&gt;&lt;D xsi:type="xsd:double"&gt;1.8&lt;/D&gt;&lt;D xsi:type="xsd:double"&gt;1.87&lt;/D&gt;&lt;D xsi:type="xsd:double"&gt;1.83&lt;/D&gt;&lt;D xsi:type="xsd:double"&gt;1.98&lt;/D&gt;&lt;D xsi:type="xsd:double"&gt;1.9&lt;/D&gt;&lt;D xsi:type="xsd:double"&gt;1.93&lt;/D&gt;&lt;D xsi:type="xsd:double"&gt;2.37&lt;/D&gt;&lt;D xsi:type="xsd:double"&gt;2.36&lt;/D&gt;&lt;D xsi:type="xsd:double"&gt;2.41&lt;/D&gt;&lt;D xsi:type="xsd:double"&gt;2.18&lt;/D&gt;&lt;D xsi:type="xsd:double"&gt;2.61&lt;/D&gt;&lt;D xsi:type="xsd:double"&gt;3.6&lt;/D&gt;&lt;D xsi:type="xsd:double"&gt;3.12&lt;/D&gt;&lt;D xsi:type="xsd:double"&gt;3.04&lt;/D&gt;&lt;D xsi:type="xsd:double"&gt;2.83&lt;/D&gt;&lt;D xsi:type="xsd:double"&gt;3.3&lt;/D&gt;&lt;D xsi:type="xsd:double"&gt;3.55&lt;/D&gt;&lt;D xsi:type="xsd:double"&gt;3.23&lt;/D&gt;&lt;D xsi:type="xsd:double"&gt;3.07&lt;/D&gt;&lt;D xsi:type="xsd:double"&gt;3.12&lt;/D&gt;&lt;D xsi:type="xsd:double"&gt;3.06&lt;/D&gt;&lt;D xsi:type="xsd:double"&gt;3.61&lt;/D&gt;&lt;D xsi:type="xsd:double"&gt;3.74&lt;/D&gt;&lt;D xsi:type="xsd:double"&gt;3.98&lt;/D&gt;&lt;D xsi:type="xsd:double"&gt;3.74&lt;/D&gt;&lt;D xsi:type="xsd:double"&gt;4.39&lt;/D&gt;&lt;D xsi:type="xsd:double"&gt;4.47&lt;/D&gt;&lt;D xsi:type="xsd:double"&gt;4.75&lt;/D&gt;&lt;D xsi:type="xsd:double"&gt;5.42&lt;/D&gt;&lt;D xsi:type="xsd:double"&gt;5.02&lt;/D&gt;&lt;D xsi:type="xsd:double"&gt;5.28&lt;/D&gt;&lt;D xsi:type="xsd:double"&gt;4.64&lt;/D&gt;&lt;D xsi:type="xsd:double"&gt;4.47&lt;/D&gt;&lt;D xsi:type="xsd:double"&gt;3.91&lt;/D&gt;&lt;D xsi:type="xsd:double"&gt;4.18&lt;/D&gt;&lt;D xsi:type="xsd:double"&gt;4.34&lt;/D&gt;&lt;D xsi:type="xsd:double"&gt;4.24&lt;/D&gt;&lt;D xsi:type="xsd:double"&gt;4.3&lt;/D&gt;&lt;D xsi:type="xsd:double"&gt;4.29&lt;/D&gt;&lt;D xsi:type="xsd:double"&gt;5.14&lt;/D&gt;&lt;D xsi:type="xsd:double"&gt;5.06&lt;/D&gt;&lt;D xsi:type="xsd:double"&gt;5.52&lt;/D&gt;&lt;D xsi:type="xsd:double"&gt;5.85&lt;/D&gt;&lt;D xsi:type="xsd:double"&gt;5.24&lt;/D&gt;&lt;D xsi:type="xsd:double"&gt;5.95&lt;/D&gt;&lt;D xsi:type="xsd:double"&gt;5.6&lt;/D&gt;&lt;D xsi:type="xsd:double"&gt;5.26&lt;/D&gt;&lt;D xsi:type="xsd:double"&gt;5.25&lt;/D&gt;&lt;D xsi:type="xsd:double"&gt;5.01&lt;/D&gt;&lt;D xsi:type="xsd:double"&gt;4.77&lt;/D&gt;&lt;D xsi:type="xsd:double"&gt;4.85&lt;/D&gt;&lt;D xsi:type="xsd:double"&gt;3.97&lt;/D&gt;&lt;D xsi:type="xsd:double"&gt;4.21&lt;/D&gt;&lt;D xsi:type="xsd:double"&gt;3.81&lt;/D&gt;&lt;D xsi:type="xsd:double"&gt;4&lt;/D&gt;&lt;D xsi:type="xsd:double"&gt;3.81&lt;/D&gt;&lt;D xsi:type="xsd:double"&gt;3.94&lt;/D&gt;&lt;D xsi:type="xsd:double"&gt;3.89&lt;/D&gt;&lt;D xsi:type="xsd:double"&gt;4.11&lt;/D&gt;&lt;D xsi:type="xsd:double"&gt;4.11&lt;/D&gt;&lt;D xsi:type="xsd:double"&gt;3.57&lt;/D&gt;&lt;D xsi:type="xsd:double"&gt;3.62&lt;/D&gt;&lt;D xsi:type="xsd:double"&gt;3.75&lt;/D&gt;&lt;D xsi:type="xsd:double"&gt;4.16&lt;/D&gt;&lt;D xsi:type="xsd:double"&gt;4.23&lt;/D&gt;&lt;D xsi:type="xsd:double"&gt;4.75&lt;/D&gt;&lt;D xsi:type="xsd:double"&gt;5&lt;/D&gt;&lt;D xsi:type="xsd:double"&gt;4.93&lt;/D&gt;&lt;D xsi:type="xsd:double"&gt;4.66&lt;/D&gt;&lt;D xsi:type="xsd:double"&gt;5.23&lt;/D&gt;&lt;D xsi:type="xsd:double"&gt;5.24&lt;/D&gt;&lt;D xsi:type="xsd:double"&gt;5.06&lt;/D&gt;&lt;D xsi:type="xsd:double"&gt;5.26&lt;/D&gt;&lt;D xsi:type="xsd:double"&gt;5.07&lt;/D&gt;&lt;D xsi:type="xsd:double"&gt;4.66&lt;/D&gt;&lt;D xsi:type="xsd:double"&gt;5.17&lt;/D&gt;&lt;D xsi:type="xsd:double"&gt;5.17&lt;/D&gt;&lt;D xsi:type="xsd:double"&gt;5.64&lt;/D&gt;&lt;D xsi:type="xsd:double"&gt;6.42&lt;/D&gt;&lt;D xsi:type="xsd:double"&gt;6.35&lt;/D&gt;&lt;D xsi:type="xsd:double"&gt;5.44&lt;/D&gt;&lt;D xsi:type="xsd:double"&gt;5.02&lt;/D&gt;&lt;D xsi:type="xsd:double"&gt;4.57&lt;/D&gt;&lt;D xsi:type="xsd:double"&gt;4.59&lt;/D&gt;&lt;D xsi:type="xsd:double"&gt;4.53&lt;/D&gt;&lt;D xsi:type="xsd:double"&gt;4.58&lt;/D&gt;&lt;D xsi:type="xsd:double"&gt;4.9&lt;/D&gt;&lt;D xsi:type="xsd:double"&gt;5.65&lt;/D&gt;&lt;D xsi:type="xsd:double"&gt;6&lt;/D&gt;&lt;D xsi:type="xsd:double"&gt;5.79&lt;/D&gt;&lt;D xsi:type="xsd:double"&gt;5.51&lt;/D&gt;&lt;D xsi:type="xsd:double"&gt;5.08&lt;/D&gt;&lt;D xsi:type="xsd:double"&gt;4.82&lt;/D&gt;&lt;D xsi:type="xsd:double"&gt;4.91&lt;/D&gt;&lt;D xsi:type="xsd:double"&gt;4.73&lt;/D&gt;&lt;D xsi:type="xsd:double"&gt;4.22&lt;/D&gt;&lt;D xsi:type="xsd:double"&gt;3.61&lt;/D&gt;&lt;D xsi:type="xsd:double"&gt;4.17&lt;/D&gt;&lt;D xsi:type="xsd:double"&gt;4.18&lt;/D&gt;&lt;D xsi:type="xsd:double"&gt;4.17&lt;/D&gt;&lt;D xsi:type="xsd:double"&gt;4.3&lt;/D&gt;&lt;D xsi:type="xsd:double"&gt;4.3&lt;/D&gt;&lt;D xsi:type="xsd:double"&gt;4.45&lt;/D&gt;&lt;D xsi:type="xsd:double"&gt;4.3&lt;/D&gt;&lt;D xsi:type="xsd:double"&gt;3.97&lt;/D&gt;&lt;D xsi:type="xsd:double"&gt;3.59&lt;/D&gt;&lt;D xsi:type="xsd:double"&gt;3.54&lt;/D&gt;&lt;D xsi:type="xsd:double"&gt;3.78&lt;/D&gt;&lt;D xsi:type="xsd:double"&gt;3.99&lt;/D&gt;&lt;D xsi:type="xsd:double"&gt;3.9&lt;/D&gt;&lt;D xsi:type="xsd:double"&gt;3.8&lt;/D&gt;&lt;D xsi:type="xsd:double"&gt;3.65&lt;/D&gt;&lt;D xsi:type="xsd:double"&gt;3.86&lt;/D&gt;&lt;D xsi:type="xsd:double"&gt;3.8&lt;/D&gt;&lt;D xsi:type="xsd:double"&gt;4.17&lt;/D&gt;&lt;D xsi:type="xsd:double"&gt;4.07&lt;/D&gt;&lt;D xsi:type="xsd:double"&gt;4.21&lt;/D&gt;&lt;D xsi:type="xsd:double"&gt;4.67&lt;/D&gt;&lt;D xsi:type="xsd:double"&gt;4.7&lt;/D&gt;&lt;D xsi:type="xsd:double"&gt;4.08&lt;/D&gt;&lt;D xsi:type="xsd:double"&gt;3.71&lt;/D&gt;&lt;D xsi:type="xsd:double"&gt;4.03&lt;/D&gt;&lt;D xsi:type="xsd:double"&gt;3.9&lt;/D&gt;&lt;D xsi:type="xsd:double"&gt;3.81&lt;/D&gt;&lt;D xsi:type="xsd:double"&gt;4.17&lt;/D&gt;&lt;D xsi:type="xsd:double"&gt;4.03&lt;/D&gt;&lt;D xsi:type="xsd:double"&gt;3.96&lt;/D&gt;&lt;D xsi:type="xsd:double"&gt;3.75&lt;/D&gt;&lt;D xsi:type="xsd:double"&gt;3.64&lt;/D&gt;&lt;D xsi:type="xsd:double"&gt;3.71&lt;/D&gt;&lt;D xsi:type="xsd:double"&gt;3.78&lt;/D&gt;&lt;D xsi:type="xsd:double"&gt;3.9&lt;/D&gt;&lt;D xsi:type="xsd:double"&gt;3.78&lt;/D&gt;&lt;D xsi:type="xsd:double"&gt;3.9&lt;/D&gt;&lt;D xsi:type="xsd:double"&gt;3.76&lt;/D&gt;&lt;D xsi:type="xsd:double"&gt;3.69&lt;/D&gt;&lt;D xsi:type="xsd:double"&gt;3.79&lt;/D&gt;&lt;D xsi:type="xsd:double"&gt;3.77&lt;/D&gt;&lt;D xsi:type="xsd:double"&gt;3.69&lt;/D&gt;&lt;D xsi:type="xsd:double"&gt;3.91&lt;/D&gt;&lt;D xsi:type="xsd:double"&gt;3.92&lt;/D&gt;&lt;D xsi:type="xsd:double"&gt;3.77&lt;/D&gt;&lt;D xsi:type="xsd:double"&gt;3.75&lt;/D&gt;&lt;D xsi:type="xsd:double"&gt;3.6&lt;/D&gt;&lt;D xsi:type="xsd:double"&gt;3.62&lt;/D&gt;&lt;D xsi:type="xsd:double"&gt;3.56&lt;/D&gt;&lt;D xsi:type="xsd:double"&gt;3.58&lt;/D&gt;&lt;D xsi:type="xsd:double"&gt;3.47&lt;/D&gt;&lt;D xsi:type="xsd:double"&gt;3.47&lt;/D&gt;&lt;D xsi:type="xsd:double"&gt;3.44&lt;/D&gt;&lt;D xsi:type="xsd:double"&gt;3.39&lt;/D&gt;&lt;D xsi:type="xsd:double"&gt;3.35&lt;/D&gt;&lt;D xsi:type="xsd:double"&gt;3.3&lt;/D&gt;&lt;D xsi:type="xsd:double"&gt;3.29&lt;/D&gt;&lt;D xsi:type="xsd:double"&gt;3.06&lt;/D&gt;&lt;D xsi:type="xsd:double"&gt;3.49&lt;/D&gt;&lt;D xsi:type="xsd:double"&gt;3.39&lt;/D&gt;&lt;D xsi:type="xsd:double"&gt;3.45&lt;/D&gt;&lt;D xsi:type="xsd:double"&gt;2.95&lt;/D&gt;&lt;D xsi:type="xsd:double"&gt;2.96&lt;/D&gt;&lt;D xsi:type="xsd:double"&gt;3.06&lt;/D&gt;&lt;D xsi:type="xsd:double"&gt;2.97&lt;/D&gt;&lt;D xsi:type="xsd:double"&gt;3.2&lt;/D&gt;&lt;D xsi:type="xsd:double"&gt;3.01&lt;/D&gt;&lt;D xsi:type="xsd:double"&gt;3.02&lt;/D&gt;&lt;D xsi:type="xsd:double"&gt;3.09&lt;/D&gt;&lt;D xsi:type="xsd:double"&gt;2.9&lt;/D&gt;&lt;D xsi:type="xsd:double"&gt;2.92&lt;/D&gt;&lt;D xsi:type="xsd:double"&gt;2.87&lt;/D&gt;&lt;D xsi:type="xsd:double"&gt;2.96&lt;/D&gt;&lt;D xsi:type="xsd:double"&gt;3.1&lt;/D&gt;&lt;D xsi:type="xsd:double"&gt;3.02&lt;/D&gt;&lt;D xsi:type="xsd:double"&gt;2.99&lt;/D&gt;&lt;D xsi:type="xsd:double"&gt;2.94&lt;/D&gt;&lt;D xsi:type="xsd:double"&gt;2.89&lt;/D&gt;&lt;D xsi:type="xsd:double"&gt;2.95&lt;/D&gt;&lt;D xsi:type="xsd:double"&gt;2.91&lt;/D&gt;&lt;D xsi:type="xsd:double"&gt;2.9&lt;/D&gt;&lt;D xsi:type="xsd:double"&gt;2.95&lt;/D&gt;&lt;D xsi:type="xsd:double"&gt;3&lt;/D&gt;&lt;D xsi:type="xsd:double"&gt;3.08&lt;/D&gt;&lt;D xsi:type="xsd:double"&gt;3.15&lt;/D&gt;&lt;D xsi:type="xsd:double"&gt;3.15&lt;/D&gt;&lt;D xsi:type="xsd:double"&gt;2.99&lt;/D&gt;&lt;D xsi:type="xsd:double"&gt;2.99&lt;/D&gt;&lt;D xsi:type="xsd:double"&gt;2.85&lt;/D&gt;&lt;D xsi:type="xsd:double"&gt;2.83&lt;/D&gt;&lt;D xsi:type="xsd:double"&gt;2.86&lt;/D&gt;&lt;D xsi:type="xsd:double"&gt;2.88&lt;/D&gt;&lt;D xsi:type="xsd:double"&gt;2.81&lt;/D&gt;&lt;D xsi:type="xsd:double"&gt;2.81&lt;/D&gt;&lt;D xsi:type="xsd:double"&gt;2.69&lt;/D&gt;&lt;D xsi:type="xsd:double"&gt;2.46&lt;/D&gt;&lt;D xsi:type="xsd:double"&gt;2.48&lt;/D&gt;&lt;D xsi:type="xsd:double"&gt;2.47&lt;/D&gt;&lt;D xsi:type="xsd:double"&gt;2.4&lt;/D&gt;&lt;D xsi:type="xsd:double"&gt;2.5&lt;/D&gt;&lt;D xsi:type="xsd:double"&gt;2.31&lt;/D&gt;&lt;D xsi:type="xsd:double"&gt;2.35&lt;/D&gt;&lt;D xsi:type="xsd:double"&gt;2.38&lt;/D&gt;&lt;D xsi:type="xsd:double"&gt;2.53&lt;/D&gt;&lt;D xsi:type="xsd:double"&gt;2.47&lt;/D&gt;&lt;D xsi:type="xsd:double"&gt;2.42&lt;/D&gt;&lt;D xsi:type="xsd:double"&gt;2.39&lt;/D&gt;&lt;D xsi:type="xsd:double"&gt;2.27&lt;/D&gt;&lt;D xsi:type="xsd:double"&gt;2.21&lt;/D&gt;&lt;D xsi:type="xsd:double"&gt;2.22&lt;/D&gt;&lt;D xsi:type="xsd:double"&gt;2.19&lt;/D&gt;&lt;D xsi:type="xsd:double"&gt;2.14&lt;/D&gt;&lt;D xsi:type="xsd:double"&gt;1.78&lt;/D&gt;&lt;D xsi:type="xsd:double"&gt;1.86&lt;/D&gt;&lt;D xsi:type="xsd:double"&gt;1.85&lt;/D&gt;&lt;D xsi:type="xsd:double"&gt;1.85&lt;/D&gt;&lt;D xsi:type="xsd:double"&gt;1.87&lt;/D&gt;&lt;D xsi:type="xsd:double"&gt;1.95&lt;/D&gt;&lt;D xsi:type="xsd:double"&gt;1.9&lt;/D&gt;&lt;D xsi:type="xsd:double"&gt;1.85&lt;/D&gt;&lt;D xsi:type="xsd:double"&gt;1.78&lt;/D&gt;&lt;D xsi:type="xsd:double"&gt;1.82&lt;/D&gt;&lt;D xsi:type="xsd:double"&gt;1.85&lt;/D&gt;&lt;D xsi:type="xsd:double"&gt;1.83&lt;/D&gt;&lt;D xsi:type="xsd:double"&gt;1.82&lt;/D&gt;&lt;D xsi:type="xsd:double"&gt;1.86&lt;/D&gt;&lt;D xsi:type="xsd:double"&gt;1.81&lt;/D&gt;&lt;D xsi:type="xsd:double"&gt;1.83&lt;/D&gt;&lt;D xsi:type="xsd:double"&gt;1.73&lt;/D&gt;&lt;D xsi:type="xsd:double"&gt;1.63&lt;/D&gt;&lt;D xsi:type="xsd:double"&gt;1.35&lt;/D&gt;&lt;D xsi:type="xsd:double"&gt;1.43&lt;/D&gt;&lt;D xsi:type="xsd:double"&gt;1.49&lt;/D&gt;&lt;D xsi:type="xsd:double"&gt;1.47&lt;/D&gt;&lt;D xsi:type="xsd:double"&gt;1.47&lt;/D&gt;&lt;D xsi:type="xsd:double"&gt;1.39&lt;/D&gt;&lt;D xsi:type="xsd:double"&gt;1.52&lt;/D&gt;&lt;D xsi:type="xsd:double"&gt;1.43&lt;/D&gt;&lt;D xsi:type="xsd:double"&gt;1.52&lt;/D&gt;&lt;D xsi:type="xsd:double"&gt;1.55&lt;/D&gt;&lt;D xsi:type="xsd:double"&gt;1.68&lt;/D&gt;&lt;D xsi:type="xsd:double"&gt;1.57&lt;/D&gt;&lt;D xsi:type="xsd:double"&gt;1.51&lt;/D&gt;&lt;D xsi:type="xsd:double"&gt;1.52&lt;/D&gt;&lt;D xsi:type="xsd:double"&gt;1.62&lt;/D&gt;&lt;D xsi:type="xsd:double"&gt;1.6&lt;/D&gt;&lt;D xsi:type="xsd:double"&gt;1.63&lt;/D&gt;&lt;D xsi:type="xsd:double"&gt;1.49&lt;/D&gt;&lt;D xsi:type="xsd:double"&gt;1.56&lt;/D&gt;&lt;D xsi:type="xsd:double"&gt;1.55&lt;/D&gt;&lt;D xsi:type="xsd:double"&gt;1.61&lt;/D&gt;&lt;D xsi:type="xsd:double"&gt;1.64&lt;/D&gt;&lt;D xsi:type="xsd:double"&gt;1.67&lt;/D&gt;&lt;D xsi:type="xsd:double"&gt;1.94&lt;/D&gt;&lt;D xsi:type="xsd:double"&gt;1.85&lt;/D&gt;&lt;D xsi:type="xsd:double"&gt;1.77&lt;/D&gt;&lt;D xsi:type="xsd:double"&gt;1.69&lt;/D&gt;&lt;D xsi:type="xsd:double"&gt;1.57&lt;/D&gt;&lt;D xsi:type="xsd:double"&gt;1.69&lt;/D&gt;&lt;D xsi:type="xsd:double"&gt;1.71&lt;/D&gt;&lt;D xsi:type="xsd:double"&gt;1.7</t>
        </r>
      </text>
    </comment>
    <comment ref="A6" authorId="0" shapeId="0" xr:uid="{00000000-0006-0000-0000-000006000000}">
      <text>
        <r>
          <rPr>
            <sz val="11"/>
            <color theme="1"/>
            <rFont val="맑은 고딕"/>
            <family val="2"/>
            <charset val="129"/>
            <scheme val="minor"/>
          </rPr>
          <t>5&lt;/D&gt;&lt;D xsi:type="xsd:double"&gt;1.7&lt;/D&gt;&lt;D xsi:type="xsd:double"&gt;1.79&lt;/D&gt;&lt;D xsi:type="xsd:double"&gt;1.68&lt;/D&gt;&lt;D xsi:type="xsd:double"&gt;1.97&lt;/D&gt;&lt;D xsi:type="xsd:double"&gt;1.93&lt;/D&gt;&lt;D xsi:type="xsd:double"&gt;1.75&lt;/D&gt;&lt;D xsi:type="xsd:double"&gt;1.67&lt;/D&gt;&lt;D xsi:type="xsd:double"&gt;1.7&lt;/D&gt;&lt;D xsi:type="xsd:double"&gt;1.68&lt;/D&gt;&lt;D xsi:type="xsd:double"&gt;1.86&lt;/D&gt;&lt;D xsi:type="xsd:double"&gt;2.05&lt;/D&gt;&lt;D xsi:type="xsd:double"&gt;2.19&lt;/D&gt;&lt;D xsi:type="xsd:double"&gt;2.32&lt;/D&gt;&lt;D xsi:type="xsd:double"&gt;2.29&lt;/D&gt;&lt;D xsi:type="xsd:double"&gt;2.39&lt;/D&gt;&lt;D xsi:type="xsd:double"&gt;2.58&lt;/D&gt;&lt;/FQL&gt;&lt;FQL&gt;&lt;Q&gt;GNK-US^P_PRICE(1/4/2019,NOW,W)&lt;/Q&gt;&lt;R&gt;373&lt;/R&gt;&lt;C&gt;1&lt;/C&gt;&lt;D xsi:type="xsd:double"&gt;8.81&lt;/D&gt;&lt;D xsi:type="xsd:double"&gt;8.84&lt;/D&gt;&lt;D xsi:type="xsd:double"&gt;8.9&lt;/D&gt;&lt;D xsi:type="xsd:double"&gt;8.23&lt;/D&gt;&lt;D xsi:type="xsd:double"&gt;7.55&lt;/D&gt;&lt;D xsi:type="xsd:double"&gt;7.35&lt;/D&gt;&lt;D xsi:type="xsd:double"&gt;8.28&lt;/D&gt;&lt;D xsi:type="xsd:double"&gt;8.41&lt;/D&gt;&lt;D xsi:type="xsd:double"&gt;8.22&lt;/D&gt;&lt;D xsi:type="xsd:double"&gt;7.85&lt;/D&gt;&lt;D xsi:type="xsd:double"&gt;8.57&lt;/D&gt;&lt;D xsi:type="xsd:double"&gt;7.77&lt;/D&gt;&lt;D xsi:type="xsd:double"&gt;7.46&lt;/D&gt;&lt;D xsi:type="xsd:double"&gt;8.29&lt;/D&gt;&lt;D xsi:type="xsd:double"&gt;8.51&lt;/D&gt;&lt;D xsi:type="xsd:double"&gt;8.67&lt;/D&gt;&lt;D xsi:type="xsd:double"&gt;8.87&lt;/D&gt;&lt;D xsi:type="xsd:double"&gt;10.14&lt;/D&gt;&lt;D xsi:type="xsd:double"&gt;9.07&lt;/D&gt;&lt;D xsi:type="xsd:double"&gt;8.13&lt;/D&gt;&lt;D xsi:type="xsd:double"&gt;7.43&lt;/D&gt;&lt;D xsi:type="xsd:double"&gt;7.23&lt;/D&gt;&lt;D xsi:type="xsd:double"&gt;7.75&lt;/D&gt;&lt;D xsi:type="xsd:double"&gt;7.18&lt;/D&gt;&lt;D xsi:type="xsd:double"&gt;7.86&lt;/D&gt;&lt;D xsi:type="xsd:double"&gt;8.44&lt;/D&gt;&lt;D xsi:type="xsd:double"&gt;9.87&lt;/D&gt;&lt;D xsi:type="xsd:double"&gt;10.91&lt;/D&gt;&lt;D xsi:type="xsd:double"&gt;10.41&lt;/D&gt;&lt;D xsi:type="xsd:double"&gt;9.98&lt;/D&gt;&lt;D xsi:type="xsd:double"&gt;9.11&lt;/D&gt;&lt;D xsi:type="xsd:double"&gt;8.13&lt;/D&gt;&lt;D xsi:type="xsd:double"&gt;8.06&lt;/D&gt;&lt;D xsi:type="xsd:double"&gt;8.55&lt;/D&gt;&lt;D xsi:type="xsd:double"&gt;9.56&lt;/D&gt;&lt;D xsi:type="xsd:double"&gt;10.01&lt;/D&gt;&lt;D xsi:type="xsd:double"&gt;10.97&lt;/D&gt;&lt;D xsi:type="xsd:double"&gt;9.56&lt;/D&gt;&lt;D xsi:type="xsd:double"&gt;9.36&lt;/D&gt;&lt;D xsi:type="xsd:double"&gt;9.42&lt;/D&gt;&lt;D xsi:type="xsd:double"&gt;10.37&lt;/D&gt;&lt;D xsi:type="xsd:double"&gt;10.04&lt;/D&gt;&lt;D xsi:type="xsd:double"&gt;10.51&lt;/D&gt;&lt;D xsi:type="xsd:double"&gt;10.22&lt;/D&gt;&lt;D xsi:type="xsd:double"&gt;11.43&lt;/D&gt;&lt;D xsi:type="xsd:double"&gt;10.89&lt;/D&gt;&lt;D xsi:type="xsd:double"&gt;10.33&lt;/D&gt;&lt;D xsi:type="xsd:double"&gt;10.5&lt;/D&gt;&lt;D xsi:type="xsd:double"&gt;10.2&lt;/D&gt;&lt;D xsi:type="xsd:double"&gt;9.71&lt;/D&gt;&lt;D xsi:type="xsd:double"&gt;10.72&lt;/D&gt;&lt;D xsi:type="xsd:double"&gt;10.6&lt;/D&gt;&lt;D xsi:type="xsd:double"&gt;10.3&lt;/D&gt;&lt;D xsi:type="xsd:double"&gt;10.07&lt;/D&gt;&lt;D xsi:type="xsd:double"&gt;9.74&lt;/D&gt;&lt;D xsi:type="xsd:double"&gt;8.73&lt;/D&gt;&lt;D xsi:type="xsd:double"&gt;7.87&lt;/D&gt;&lt;D xsi:type="xsd:double"&gt;7.69&lt;/D&gt;&lt;D xsi:type="xsd:double"&gt;7.8&lt;/D&gt;&lt;D xsi:type="xsd:double"&gt;7.86&lt;/D&gt;&lt;D xsi:type="xsd:double"&gt;7.68&lt;/D&gt;&lt;D xsi:type="xsd:double"&gt;6.67&lt;/D&gt;&lt;D xsi:type="xsd:double"&gt;5.7&lt;/D&gt;&lt;D xsi:type="xsd:double"&gt;4.85&lt;/D&gt;&lt;D xsi:type="xsd:double"&gt;5.58&lt;/D&gt;&lt;D xsi:type="xsd:double"&gt;5.25&lt;/D&gt;&lt;D xsi:type="xsd:double"&gt;5.56&lt;/D&gt;&lt;D xsi:type="xsd:double"&gt;6.46&lt;/D&gt;&lt;D xsi:type="xsd:double"&gt;5.6&lt;/D&gt;&lt;D xsi:type="xsd:double"&gt;5.48&lt;/D&gt;&lt;D xsi:type="xsd:double"&gt;5.39&lt;/D&gt;&lt;D xsi:type="xsd:double"&gt;4.58&lt;/D&gt;&lt;D xsi:type="xsd:double"&gt;4.79&lt;/D&gt;&lt;D xsi:type="xsd:double"&gt;4.72&lt;/D&gt;&lt;D xsi:type="xsd:double"&gt;6.94&lt;/D&gt;&lt;D xsi:type="xsd:double"&gt;6.5&lt;/D&gt;&lt;D xsi:type="xsd:double"&gt;7.08&lt;/D&gt;&lt;D xsi:type="xsd:double"&gt;6&lt;/D&gt;&lt;D xsi:type="xsd:double"&gt;6.31&lt;/D&gt;&lt;D xsi:type="xsd:double"&gt;6.11&lt;/D&gt;&lt;D xsi:type="xsd:double"&gt;5.98&lt;/D&gt;&lt;D xsi:type="xsd:double"&gt;6.11&lt;/D&gt;&lt;D xsi:type="xsd:double"&gt;6.79&lt;/D&gt;&lt;D xsi:type="xsd:double"&gt;7.03&lt;/D&gt;&lt;D xsi:type="xsd:double"&gt;7.86&lt;/D&gt;&lt;D xsi:type="xsd:double"&gt;6.95&lt;/D&gt;&lt;D xsi:type="xsd:double"&gt;7.16&lt;/D&gt;&lt;D xsi:type="xsd:double"&gt;6.35&lt;/D&gt;&lt;D xsi:type="xsd:double"&gt;6.9&lt;/D&gt;&lt;D xsi:type="xsd:double"&gt;7.29&lt;/D&gt;&lt;D xsi:type="xsd:double"&gt;6.68&lt;/D&gt;&lt;D xsi:type="xsd:double"&gt;7.77&lt;/D&gt;&lt;D xsi:type="xsd:double"&gt;7.49&lt;/D&gt;&lt;D xsi:type="xsd:double"&gt;7.32&lt;/D&gt;&lt;D xsi:type="xsd:double"&gt;7.6&lt;/D&gt;&lt;D xsi:type="xsd:double"&gt;6.46&lt;/D&gt;&lt;D xsi:type="xsd:double"&gt;6.57&lt;/D&gt;&lt;D xsi:type="xsd:double"&gt;6.99&lt;/D&gt;&lt;D xsi:type="xsd:double"&gt;7.4&lt;/D&gt;&lt;D xsi:type="xsd:double"&gt;7.54&lt;/D&gt;&lt;D xsi:type="xsd:double"&gt;7.93&lt;/D&gt;&lt;D xsi:type="xsd:double"&gt;7.4&lt;/D&gt;&lt;D xsi:type="xsd:double"&gt;7.19&lt;/D&gt;&lt;D xsi:type="xsd:double"&gt;7.24&lt;/D&gt;&lt;D xsi:type="xsd:double"&gt;7.36&lt;/D&gt;&lt;D xsi:type="xsd:double"&gt;8.5&lt;/D&gt;&lt;D xsi:type="xsd:double"&gt;8.21&lt;/D&gt;&lt;D xsi:type="xsd:double"&gt;8.7&lt;/D&gt;&lt;D xsi:type="xsd:double"&gt;7.91&lt;/D&gt;&lt;D xsi:type="xsd:double"&gt;8.27&lt;/D&gt;&lt;D xsi:type="xsd:double"&gt;10.34&lt;/D&gt;&lt;D xsi:type="xsd:double"&gt;10.17&lt;/D&gt;&lt;D xsi:type="xsd:double"&gt;10.5&lt;/D&gt;&lt;D xsi:type="xsd:double"&gt;11.36&lt;/D&gt;&lt;D xsi:type="xsd:double"&gt;11.63&lt;/D&gt;&lt;D xsi:type="xsd:double"&gt;12.16&lt;/D&gt;&lt;D xsi:type="xsd:double"&gt;10.5&lt;/D&gt;&lt;D xsi:type="xsd:double"&gt;10.23&lt;/D&gt;&lt;D xsi:type="xsd:double"&gt;10.86&lt;/D&gt;&lt;D xsi:type="xsd:double"&gt;11.75&lt;/D&gt;&lt;D xsi:type="xsd:double"&gt;14&lt;/D&gt;&lt;D xsi:type="xsd:double"&gt;15.34&lt;/D&gt;&lt;D xsi:type="xsd:double"&gt;16.39&lt;/D&gt;&lt;D xsi:type="xsd:double"&gt;15.23&lt;/D&gt;&lt;D xsi:type="xsd:double"&gt;16.76&lt;/D&gt;&lt;D xsi:type="xsd:double"&gt;15.8&lt;/D&gt;&lt;D xsi:type="xsd:double"&gt;15.74&lt;/D&gt;&lt;D xsi:type="xsd:double"&gt;18.79&lt;/D&gt;&lt;D xsi:type="xsd:double"&gt;18.45&lt;/D&gt;&lt;D xsi:type="xsd:double"&gt;19.68&lt;/D&gt;&lt;D xsi:type="xsd:double"&gt;17.88&lt;/D&gt;&lt;D xsi:type="xsd:double"&gt;18.41&lt;/D&gt;&lt;D xsi:type="xsd:double"&gt;16.14&lt;/D&gt;&lt;D xsi:type="xsd:double"&gt;17.54&lt;/D&gt;&lt;D xsi:type="xsd:double"&gt;17.55&lt;/D&gt;&lt;D xsi:type="xsd:double"&gt;17.35&lt;/D&gt;&lt;D xsi:type="xsd:double"&gt;18&lt;/D&gt;&lt;D xsi:type="xsd:double"&gt;17.14&lt;/D&gt;&lt;D xsi:type="xsd:double"&gt;20.41&lt;/D&gt;&lt;D xsi:type="xsd:double"&gt;20.15&lt;/D&gt;&lt;D xsi:type="xsd:double"&gt;20.16&lt;/D&gt;&lt;D xsi:type="xsd:double"&gt;20.53&lt;/D&gt;&lt;D xsi:type="xsd:double"&gt;19&lt;/D&gt;&lt;D xsi:type="xsd:double"&gt;20.47&lt;/D&gt;&lt;D xsi:type="xsd:double"&gt;19.1&lt;/D&gt;&lt;D xsi:type="xsd:double"&gt;17.16&lt;/D&gt;&lt;D xsi:type="xsd:double"&gt;17.54&lt;/D&gt;&lt;D xsi:type="xsd:double"&gt;17.17&lt;/D&gt;&lt;D xsi:type="xsd:double"&gt;15.81&lt;/D&gt;&lt;D xsi:type="xsd:double"&gt;15.46&lt;/D&gt;&lt;D xsi:type="xsd:double"&gt;14.02&lt;/D&gt;&lt;D xsi:type="xsd:double"&gt;14.54&lt;/D&gt;&lt;D xsi:type="xsd:double"&gt;15.06&lt;/D&gt;&lt;D xsi:type="xsd:double"&gt;15.53&lt;/D&gt;&lt;D xsi:type="xsd:double"&gt;14.83&lt;/D&gt;&lt;D xsi:type="xsd:double"&gt;15.27&lt;/D&gt;&lt;D xsi:type="xsd:double"&gt;16&lt;/D&gt;&lt;D xsi:type="xsd:double"&gt;15.99&lt;/D&gt;&lt;D xsi:type="xsd:double"&gt;16.45&lt;/D&gt;&lt;D xsi:type="xsd:double"&gt;14.33&lt;/D&gt;&lt;D xsi:type="xsd:double"&gt;15.83&lt;/D&gt;&lt;D xsi:type="xsd:double"&gt;16.32&lt;/D&gt;&lt;D xsi:type="xsd:double"&gt;17.89&lt;/D&gt;&lt;D xsi:type="xsd:double"&gt;18.77&lt;/D&gt;&lt;D xsi:type="xsd:double"&gt;19.9&lt;/D&gt;&lt;D xsi:type="xsd:double"&gt;20.6&lt;/D&gt;&lt;D xsi:type="xsd:double"&gt;20.99&lt;/D&gt;&lt;D xsi:type="xsd:double"&gt;20.74&lt;/D&gt;&lt;D xsi:type="xsd:double"&gt;23.86&lt;/D&gt;&lt;D xsi:type="xsd:double"&gt;23.72&lt;/D&gt;&lt;D xsi:type="xsd:double"&gt;22.1&lt;/D&gt;&lt;D xsi:type="xsd:double"&gt;24.64&lt;/D&gt;&lt;D xsi:type="xsd:double"&gt;23.6&lt;/D&gt;&lt;D xsi:type="xsd:double"&gt;22.03&lt;/D&gt;&lt;D xsi:type="xsd:double"&gt;22.57&lt;/D&gt;&lt;D xsi:type="xsd:double"&gt;20.83&lt;/D&gt;&lt;D xsi:type="xsd:double"&gt;22.66&lt;/D&gt;&lt;D xsi:type="xsd:double"&gt;25.18&lt;/D&gt;&lt;D xsi:type="xsd:double"&gt;26.3&lt;/D&gt;&lt;D xsi:type="xsd:double"&gt;22.33&lt;/D&gt;&lt;D xsi:type="xsd:double"&gt;20.44&lt;/D&gt;&lt;D xsi:type="xsd:double"&gt;18.37&lt;/D&gt;&lt;D xsi:type="xsd:double"&gt;18.1&lt;/D&gt;&lt;D xsi:type="xsd:double"&gt;16.91&lt;/D&gt;&lt;D xsi:type="xsd:double"&gt;17.02&lt;/D&gt;&lt;D xsi:type="xsd:double"&gt;18.49&lt;/D&gt;&lt;D xsi:type="xsd:double"&gt;19.28&lt;/D&gt;&lt;D xsi:type="xsd:double"&gt;17.45&lt;/D&gt;&lt;D xsi:type="xsd:double"&gt;17.64&lt;/D&gt;&lt;D xsi:type="xsd:double"&gt;15.59&lt;/D&gt;&lt;D xsi:type="xsd:double"&gt;14.97&lt;/D&gt;&lt;D xsi:type="xsd:double"&gt;14.01&lt;/D&gt;&lt;D xsi:type="xsd:double"&gt;14&lt;/D&gt;&lt;D xsi:type="xsd:double"&gt;13.28&lt;/D&gt;&lt;D xsi:type="xsd:double"&gt;12.61&lt;/D&gt;&lt;D xsi:type="xsd:double"&gt;12.53&lt;/D&gt;&lt;D xsi:type="xsd:double"&gt;13.91&lt;/D&gt;&lt;D xsi:type="xsd:double"&gt;14.03&lt;/D&gt;&lt;D xsi:type="xsd:double"&gt;13.85&lt;/D&gt;&lt;D xsi:type="xsd:double"&gt;13.43&lt;/D&gt;&lt;D xsi:type="xsd:double"&gt;14.81&lt;/D&gt;&lt;D xsi:type="xsd:double"&gt;16.12&lt;/D&gt;&lt;D xsi:type="xsd:double"&gt;14.28&lt;/D&gt;&lt;D xsi:type="xsd:double"&gt;14.85&lt;/D&gt;&lt;D xsi:type="xsd:double"&gt;14.69&lt;/D&gt;&lt;D xsi:type="xsd:double"&gt;14.7&lt;/D&gt;&lt;D xsi:type="xsd:double"&gt;14.64&lt;/D&gt;&lt;D xsi:type="xsd:double"&gt;15.55&lt;/D&gt;&lt;D xsi:type="xsd:double"&gt;15.36&lt;/D&gt;&lt;D xsi:type="xsd:double"&gt;15.47&lt;/D&gt;&lt;D xsi:type="xsd:double"&gt;16.13&lt;/D&gt;&lt;D xsi:type="xsd:double"&gt;17.48&lt;/D&gt;&lt;D xsi:type="xsd:double"&gt;17.9&lt;/D&gt;&lt;D xsi:type="xsd:double"&gt;17.58&lt;/D&gt;&lt;D xsi:type="xsd:double"&gt;18.31&lt;/D&gt;&lt;D xsi:type="xsd:double"&gt;18.06&lt;/D&gt;&lt;D xsi:type="xsd:double"&gt;19.13&lt;/D&gt;&lt;D xsi:type="xsd:double"&gt;19.58&lt;/D&gt;&lt;D xsi:type="xsd:double"&gt;16.96&lt;/D&gt;&lt;D xsi:type="xsd:double"&gt;15.09&lt;/D&gt;&lt;D xsi:type="xsd:double"&gt;15.63&lt;/D&gt;&lt;D xsi:type="xsd:double"&gt;15.66&lt;/D&gt;&lt;D xsi:type="xsd:double"&gt;14.77&lt;/D&gt;&lt;D xsi:type="xsd:double"&gt;16.3&lt;/D&gt;&lt;D xsi:type="xsd:double"&gt;15.59&lt;/D&gt;&lt;D xsi:type="xsd:double"&gt;15.41&lt;/D&gt;&lt;D xsi:type="xsd:double"&gt;13.9&lt;/D&gt;&lt;D xsi:type="xsd:double"&gt;13.99&lt;/D&gt;&lt;D xsi:type="xsd:double"&gt;13.7&lt;/D&gt;&lt;D xsi:type="xsd:double"&gt;12.59&lt;/D&gt;&lt;D xsi:type="xsd:double"&gt;13.6&lt;/D&gt;&lt;D xsi:type="xsd:double"&gt;13.97&lt;/D&gt;&lt;D xsi:type="xsd:double"&gt;14.36&lt;/D&gt;&lt;D xsi:type="xsd:double"&gt;13.98&lt;/D&gt;&lt;D xsi:type="xsd:double"&gt;14.03&lt;/D&gt;&lt;D xsi:type="xsd:double"&gt;13.73&lt;/D&gt;&lt;D xsi:type="xsd:double"&gt;13.54&lt;/D&gt;&lt;D xsi:type="xsd:double"&gt;13.41&lt;/D&gt;&lt;D xsi:type="xsd:double"&gt;14.5&lt;/D&gt;&lt;D xsi:type="xsd:double"&gt;13.94&lt;/D&gt;&lt;D xsi:type="xsd:double"&gt;14.28&lt;/D&gt;&lt;D xsi:type="xsd:double"&gt;14.07&lt;/D&gt;&lt;D xsi:type="xsd:double"&gt;13.37&lt;/D&gt;&lt;D xsi:type="xsd:double"&gt;13.81&lt;/D&gt;&lt;D xsi:type="xsd:double"&gt;13.82&lt;/D&gt;&lt;D xsi:type="xsd:double"&gt;13.71&lt;/D&gt;&lt;D xsi:type="xsd:double"&gt;13.48&lt;/D&gt;&lt;D xsi:type="xsd:double"&gt;13.99&lt;/D&gt;&lt;D xsi:type="xsd:double"&gt;14.58&lt;/D&gt;&lt;D xsi:type="xsd:double"&gt;14.42&lt;/D&gt;&lt;D xsi:type="xsd:double"&gt;14.2&lt;/D&gt;&lt;D xsi:type="xsd:double"&gt;13.15&lt;/D&gt;&lt;D xsi:type="xsd:double"&gt;13.42&lt;/D&gt;&lt;D xsi:type="xsd:double"&gt;13.48&lt;/D&gt;&lt;D xsi:type="xsd:double"&gt;14.36&lt;/D&gt;&lt;D xsi:type="xsd:double"&gt;15.39&lt;/D&gt;&lt;D xsi:type="xsd:double"&gt;16.13&lt;/D&gt;&lt;D xsi:type="xsd:double"&gt;14.31&lt;/D&gt;&lt;D xsi:type="xsd:double"&gt;15.7&lt;/D&gt;&lt;D xsi:type="xsd:double"&gt;16.46&lt;/D&gt;&lt;D xsi:type="xsd:double"&gt;16.59&lt;/D&gt;&lt;D xsi:type="xsd:double"&gt;16.9&lt;/D&gt;&lt;D xsi:type="xsd:double"&gt;15.95&lt;/D&gt;&lt;D xsi:type="xsd:double"&gt;17.1&lt;/D&gt;&lt;D xsi:type="xsd:double"&gt;17.81&lt;/D&gt;&lt;D xsi:type="xsd:double"&gt;17.26&lt;/D&gt;&lt;D xsi:type="xsd:double"&gt;18.18&lt;/D&gt;&lt;D xsi:type="xsd:double"&gt;17.72&lt;/D&gt;&lt;D xsi:type="xsd:double"&gt;19.87&lt;/D&gt;&lt;D xsi:type="xsd:double"&gt;20.69&lt;/D&gt;&lt;D xsi:type="xsd:double"&gt;20.71&lt;/D&gt;&lt;D xsi:type="xsd:double"&gt;20.42&lt;/D&gt;&lt;D xsi:type="xsd:double"&gt;20.42&lt;/D&gt;&lt;D xsi:type="xsd:double"&gt;20.33&lt;/D&gt;&lt;D xsi:type="xsd:double"&gt;20.72&lt;/D&gt;&lt;D xsi:type="xsd:double"&gt;20.55&lt;/D&gt;&lt;D xsi:type="xsd:double"&gt;20.55&lt;/D&gt;&lt;D xsi:type="xsd:double"&gt;21.55&lt;/D&gt;&lt;D xsi:type="xsd:double"&gt;22.26&lt;/D&gt;&lt;D xsi:type="xsd:double"&gt;22.84&lt;/D&gt;&lt;D xsi:type="xsd:double"&gt;23.18&lt;/D&gt;&lt;D xsi:type="xsd:double"&gt;22.11&lt;/D&gt;&lt;D xsi:type="xsd:double"&gt;22.52&lt;/D&gt;&lt;D xsi:type="xsd:double"&gt;21.74&lt;/D&gt;&lt;D xsi:type="xsd:double"&gt;20.45&lt;/D&gt;&lt;D xsi:type="xsd:double"&gt;21.04&lt;/D&gt;&lt;D xsi:type="xsd:double"&gt;21.31&lt;/D&gt;&lt;D xsi:type="xsd:double"&gt;21.08&lt;/D&gt;&lt;D xsi:type="xsd:double"&gt;20.93&lt;/D&gt;&lt;D xsi:type="xsd:double"&gt;20.24&lt;/D&gt;&lt;D xsi:type="xsd:double"&gt;19.56&lt;/D&gt;&lt;D xsi:type="xsd:double"&gt;18.17&lt;/D&gt;&lt;D xsi:type="xsd:double"&gt;17.33&lt;/D&gt;&lt;D xsi:type="xsd:double"&gt;17.71&lt;/D&gt;&lt;D xsi:type="xsd:double"&gt;17.17&lt;/D&gt;&lt;D xsi:type="xsd:double"&gt;17.59&lt;/D&gt;&lt;D xsi:type="xsd:double"&gt;16.63&lt;/D&gt;&lt;D xsi:type="xsd:double"&gt;17.24&lt;/D&gt;&lt;D xsi:type="xsd:double"&gt;17.97&lt;/D&gt;&lt;D xsi:type="xsd:double"&gt;19.16&lt;/D&gt;&lt;D xsi:type="xsd:double"&gt;18.42&lt;/D&gt;&lt;D xsi:type="xsd:double"&gt;17.84&lt;/D&gt;&lt;D xsi:type="xsd:double"&gt;16.97&lt;/D&gt;&lt;D xsi:type="xsd:double"&gt;15.86&lt;/D&gt;&lt;D xsi:type="xsd:double"&gt;15.95&lt;/D&gt;&lt;D xsi:type="xsd:double"&gt;17.43&lt;/D&gt;&lt;D xsi:type="xsd:double"&gt;17.66&lt;/D&gt;&lt;D xsi:type="xsd:double"&gt;16.86&lt;/D&gt;&lt;D xsi:type="xsd:double"&gt;15.87&lt;/D&gt;&lt;D xsi:type="xsd:double"&gt;15.03&lt;/D&gt;&lt;D xsi:type="xsd:double"&gt;14.69&lt;/D&gt;&lt;D xsi:type="xsd:double"&gt;13.74&lt;/D&gt;&lt;D xsi:type="xsd:double"&gt;13.91&lt;/D&gt;&lt;D xsi:type="xsd:double"&gt;14.22&lt;/D&gt;&lt;D xsi:type="xsd:double"&gt;14.49&lt;/D&gt;&lt;D xsi:type="xsd:double"&gt;14.38&lt;/D&gt;&lt;D xsi:type="xsd:double"&gt;14.37&lt;/D&gt;&lt;D xsi:type="xsd:double"&gt;14.46&lt;/D&gt;&lt;D xsi:type="xsd:double"&gt;14.39&lt;/D&gt;&lt;D xsi:type="xsd:double"&gt;14.61&lt;/D&gt;&lt;D xsi:type="xsd:double"&gt;14.15&lt;/D&gt;&lt;D xsi:type="xsd:double"&gt;14.28&lt;/D&gt;&lt;D xsi:type="xsd:double"&gt;14.29&lt;/D&gt;&lt;D xsi:type="xsd:double"&gt;13.9&lt;/D&gt;&lt;D xsi:type="xsd:double"&gt;13.64&lt;/D&gt;&lt;D xsi:type="xsd:double"&gt;13.36&lt;/D&gt;&lt;D xsi:type="xsd:double"&gt;11.7&lt;/D&gt;&lt;D xsi:type="xsd:double"&gt;13.19&lt;/D&gt;&lt;D xsi:type="xsd:double"&gt;12.6&lt;/D&gt;&lt;D xsi:type="xsd:double"&gt;12.83&lt;/D&gt;&lt;D xsi:type="xsd:double"&gt;13.58&lt;/D&gt;&lt;D xsi:type="xsd:double"&gt;13.54&lt;/D&gt;&lt;D xsi:type="xsd:double"&gt;14.2&lt;/D&gt;&lt;D xsi:type="xsd:double"&gt;13.27&lt;/D&gt;&lt;D xsi:type="xsd:double"&gt;13.24&lt;/D&gt;&lt;D xsi:type="xsd:double"&gt;13.48&lt;/D&gt;&lt;D xsi:type="xsd:double"&gt;14.12&lt;/D&gt;&lt;D xsi:type="xsd:double"&gt;13.21&lt;/D&gt;&lt;D xsi:type="xsd:double"&gt;13.17&lt;/D&gt;&lt;D xsi:type="xsd:double"&gt;13.95&lt;/D&gt;&lt;D xsi:type="xsd:double"&gt;15.1&lt;/D&gt;&lt;D xsi:type="xsd:double"&gt;15.22&lt;/D&gt;&lt;D xsi:type="xsd:double"&gt;16.17&lt;/D&gt;&lt;D xsi:type="xsd:double"&gt;15.82&lt;/D&gt;&lt;D xsi:type="xsd:double"&gt;16.25&lt;/D&gt;&lt;D xsi:type="xsd:double"&gt;16.32&lt;/D&gt;&lt;D xsi:type="xsd:double"&gt;16.78&lt;/D&gt;&lt;D xsi:type="xsd:double"&gt;16.84&lt;/D&gt;&lt;D xsi:type="xsd:double"&gt;17.8&lt;/D&gt;&lt;D xsi:type="xsd:double"&gt;18.02&lt;/D&gt;&lt;D xsi:type="xsd:double"&gt;18.71&lt;/D&gt;&lt;D xsi:type="xsd:double"&gt;18.32&lt;/D&gt;&lt;D xsi:type="xsd:double"&gt;17.22&lt;/D&gt;&lt;D xsi:type="xsd:double"&gt;15.57&lt;/D&gt;&lt;D xsi:type="xsd:double"&gt;16.22&lt;/D&gt;&lt;D xsi:type="xsd:double"&gt;16.02&lt;/D&gt;&lt;D xsi:type="xsd:double"&gt;17.04&lt;/D&gt;&lt;D xsi:type="xsd:double"&gt;16.91&lt;/D&gt;&lt;D xsi:type="xsd:double"&gt;17.56&lt;/D&gt;&lt;D xsi:type="xsd:double"&gt;17.9&lt;/D&gt;&lt;D xsi:type="xsd:double"&gt;18.92&lt;/D&gt;&lt;D xsi:type="xsd:double"&gt;19.32&lt;/D&gt;&lt;D xsi:type="xsd:double"&gt;18.21&lt;/D&gt;&lt;D xsi:type="xsd:double"&gt;18.27&lt;/D&gt;&lt;D xsi:type="xsd:double"&gt;18.79&lt;/D&gt;&lt;D xsi:type="xsd:double"&gt;18.44&lt;/D&gt;&lt;D xsi:type="xsd:double"&gt;18.8&lt;/D&gt;&lt;D xsi:type="xsd:double"&gt;19.35&lt;/D&gt;&lt;D xsi:type="xsd:double"&gt;19.97&lt;/D&gt;&lt;D xsi:type="xsd:double"&gt;20.9&lt;/D&gt;&lt;D xsi:type="xsd:double"&gt;20.77&lt;/D&gt;&lt;D xsi:type="xsd:double"&gt;22.21&lt;/D&gt;&lt;D xsi:type="xsd:double"&gt;23.96&lt;/D&gt;&lt;/FQL&gt;&lt;FQL&gt;&lt;Q&gt;GOGL-US^P_PRICE(1/4/2019,NOW,W)&lt;/Q&gt;&lt;R&gt;373&lt;/R&gt;&lt;C&gt;1&lt;/C&gt;&lt;D xsi:type="xsd:double"&gt;6.477223&lt;/D&gt;&lt;D xsi:type="xsd:double"&gt;6.5870247&lt;/D&gt;&lt;D xsi:type="xsd:double"&gt;6.696815&lt;/D&gt;&lt;D xsi:type="xsd:double"&gt;5.9481697&lt;/D&gt;&lt;D xsi:type="xsd:double"&gt;5.2994595&lt;/D&gt;&lt;D xsi:type="xsd:double"&gt;5.139777&lt;/D&gt;&lt;D xsi:type="xsd:double"&gt;5.369376&lt;/D&gt;&lt;D xsi:type="xsd:double"&gt;5.2994595&lt;/D&gt;&lt;D xsi:type="xsd:double"&gt;4.8703136&lt;/D&gt;&lt;D xsi:type="xsd:double"&gt;4.6707687&lt;/D&gt;&lt;D xsi:type="xsd:double"&gt;5.0500402&lt;/D&gt;&lt;D xsi:type="xsd:double"&gt;5.1098375&lt;/D&gt;&lt;D xsi:type="xsd:double"&gt;4.760532&lt;/D&gt;&lt;D xsi:type="xsd:double"&gt;5.129874&lt;/D&gt;&lt;D xsi:type="xsd:double"&gt;5.4591417&lt;/D&gt;&lt;D xsi:type="xsd:double"&gt;5.6189475&lt;/D&gt;&lt;D xsi:type="xsd:double"&gt;5.578911&lt;/D&gt;&lt;D xsi:type="xsd:double"&gt;5.8084474&lt;/D&gt;&lt;D xsi:type="xsd:double"&gt;5.4591417&lt;/D&gt;&lt;D xsi:type="xsd:double"&gt;5.189678&lt;/D&gt;&lt;D xsi:type="xsd:double"&gt;5.059936&lt;/D&gt;&lt;D xsi:type="xsd:double"&gt;4.5509486&lt;/D&gt;&lt;D xsi:type="xsd:double"&gt;4.7705116&lt;/D&gt;&lt;D xsi:type="xsd:double"&gt;4.640801&lt;/D&gt;&lt;D xsi:type="xsd:double"&gt;5.399344&lt;/D&gt;&lt;D xsi:type="xsd:double"&gt;5.798514&lt;/D&gt;&lt;D xsi:type="xsd:double"&gt;6.357355&lt;/D&gt;&lt;D xsi:type="xsd:double"&gt;6.4870973&lt;/D&gt;&lt;D xsi:type="xsd:double"&gt;6.67672&lt;/D&gt;&lt;D xsi:type="xsd:double"&gt;6.457157&lt;/D&gt;&lt;D xsi:type="xsd:double"&gt;5.71868&lt;/D&gt;&lt;D xsi:type="xsd:double"&gt;5.419243&lt;/D&gt;&lt;D xsi:type="xsd:double"&gt;5.5091457&lt;/D&gt;&lt;D xsi:type="xsd:double"&gt;5.6487646&lt;/D&gt;&lt;D xsi:type="xsd:double"&gt;6.187693&lt;/D&gt;&lt;D xsi:type="xsd:double"&gt;6.377316&lt;/D&gt;&lt;D xsi:type="xsd:double"&gt;6.546988&lt;/D&gt;&lt;D xsi:type="xsd:double"&gt;5.9083157&lt;/D&gt;&lt;D xsi:type="xsd:double"&gt;5.7786155&lt;/D&gt;&lt;D xsi:type="xsd:double"&gt;5.578911&lt;/D&gt;&lt;D xsi:type="xsd:double"&gt;6.147818&lt;/D&gt;&lt;D xsi:type="xsd:double"&gt;5.9881496&lt;/D&gt;&lt;D xsi:type="xsd:double"&gt;6.107852&lt;/D&gt;&lt;D xsi:type="xsd:double"&gt;5.9581823&lt;/D&gt;&lt;D xsi:type="xsd:double"&gt;5.499077&lt;/D&gt;&lt;D xsi:type="xsd:double"&gt;5.419243&lt;/D&gt;&lt;D xsi:type="xsd:double"&gt;5.6887126&lt;/D&gt;&lt;D xsi:type="xsd:double"&gt;6.0181174&lt;/D&gt;&lt;D xsi:type="xsd:double"&gt;5.519023&lt;/D&gt;&lt;D xsi:type="xsd:double"&gt;5.409241&lt;/D&gt;&lt;D xsi:type="xsd:double"&gt;5.6487646&lt;/D&gt;&lt;D xsi:type="xsd:double"&gt;5.7884874&lt;/D&gt;&lt;D xsi:type="xsd:double"&gt;5.419243&lt;/D&gt;&lt;D xsi:type="xsd:double"&gt;5.4391813&lt;/D&gt;&lt;D xsi:type="xsd:double"&gt;5.2994595&lt;/D&gt;&lt;D xsi:type="xsd:double"&gt;4.6209025&lt;/D&gt;&lt;D xsi:type="xsd:double"&gt;4.4711075&lt;/D&gt;&lt;D xsi:type="xsd:double"&gt;4.201643&lt;/D&gt;&lt;D xsi:type="xsd:double"&gt;4.5909348&lt;/D&gt;&lt;D xsi:type="xsd:double"&gt;4.511101&lt;/D&gt;&lt;D xsi:type="xsd:double"&gt;4.0619216&lt;/D&gt;&lt;D xsi:type="xsd:double"&gt;3.802484&lt;/D&gt;&lt;D xsi:type="xsd:double"&gt;3.3932512&lt;/D&gt;&lt;D xsi:type="xsd:double"&gt;2.7844617&lt;/D&gt;&lt;D xsi:type="xsd:double"&gt;2.7046206&lt;/D&gt;&lt;D xsi:type="xsd:double"&gt;2.9042237&lt;/D&gt;&lt;D xsi:type="xsd:double"&gt;3.2834692&lt;/D&gt;&lt;D xsi:type="xsd:double"&gt;3.8124335&lt;/D&gt;&lt;D xsi:type="xsd:double"&gt;3.4730923&lt;/D&gt;&lt;D xsi:type="xsd:double"&gt;3.5330143&lt;/D&gt;&lt;D xsi:type="xsd:double"&gt;3.2635446&lt;/D&gt;&lt;D xsi:type="xsd:double"&gt;3.0639596&lt;/D&gt;&lt;D xsi:type="xsd:double"&gt;3.3932512&lt;/D&gt;&lt;D xsi:type="xsd:double"&gt;3.073909&lt;/D&gt;&lt;D xsi:type="xsd:double"&gt;3.8523505&lt;/D&gt;&lt;D xsi:type="xsd:double"&gt;3.802484&lt;/D&gt;&lt;D xsi:type="xsd:double"&gt;4.0619216&lt;/D&gt;&lt;D xsi:type="xsd:double"&gt;3.762567&lt;/D&gt;&lt;D xsi:type="xsd:double"&gt;3.9122858&lt;/D&gt;&lt;D xsi:type="xsd:double"&gt;3.802484&lt;/D&gt;&lt;D xsi:type="xsd:double"&gt;3.8922675&lt;/D&gt;&lt;D xsi:type="xsd:double"&gt;3.5030468&lt;/D&gt;&lt;D xsi:type="xsd:double"&gt;3.8324447&lt;/D&gt;&lt;D xsi:type="xsd:double"&gt;3.9421594&lt;/D&gt;&lt;D xsi:type="xsd:double"&gt;4.1318293&lt;/D&gt;&lt;D xsi:type="xsd:double"&gt;4.0519953&lt;/D&gt;&lt;D xsi:type="xsd:double"&gt;4.171703&lt;/D&gt;&lt;D xsi:type="xsd:double"&gt;3.6726954&lt;/D&gt;&lt;D xsi:type="xsd:double"&gt;3.5629804&lt;/D&gt;&lt;D xsi:type="xsd:double"&gt;3.4531803&lt;/D&gt;&lt;D xsi:type="xsd:double"&gt;3.682733&lt;/D&gt;&lt;D xsi:type="xsd:double"&gt;4.0719013&lt;/D&gt;&lt;D xsi:type="xsd:double"&gt;3.9621522&lt;/D&gt;&lt;D xsi:type="xsd:double"&gt;3.5529335&lt;/D&gt;&lt;D xsi:type="xsd:double"&gt;3.682733&lt;/D&gt;&lt;D xsi:type="xsd:double"&gt;3.233577&lt;/D&gt;&lt;D xsi:type="xsd:double"&gt;3.5030468&lt;/D&gt;&lt;D xsi:type="xsd:double"&gt;3.8324447&lt;/D&gt;&lt;D xsi:type="xsd:double"&gt;4.081963&lt;/D&gt;&lt;D xsi:type="xsd:double"&gt;4.281484&lt;/D&gt;&lt;D xsi:type="xsd:double"&gt;4.331385&lt;/D&gt;&lt;D xsi:type="xsd:double"&gt;4.441167&lt;/D&gt;&lt;D xsi:type="xsd:double"&gt;4.8004694&lt;/D&gt;&lt;D xsi:type="xsd:double"&gt;4.6108336&lt;/D&gt;&lt;D xsi:type="xsd:double"&gt;4.6209025&lt;/D&gt;&lt;D xsi:type="xsd:double"&gt;5.409241&lt;/D&gt;&lt;D xsi:type="xsd:double"&gt;5.219619&lt;/D&gt;&lt;D xsi:type="xsd:double"&gt;5.3294&lt;/D&gt;&lt;D xsi:type="xsd:double"&gt;4.7305913&lt;/D&gt;&lt;D xsi:type="xsd:double"&gt;5.199658&lt;/D&gt;&lt;D xsi:type="xsd:double"&gt;5.7685466&lt;/D&gt;&lt;D xsi:type="xsd:double"&gt;6.48&lt;/D&gt;&lt;D xsi:type="xsd:double"&gt;6.1&lt;/D&gt;&lt;D xsi:type="xsd:double"&gt;6.74&lt;/D&gt;&lt;D xsi:type="xsd:double"&gt;7.15&lt;/D&gt;&lt;D xsi:type="xsd:double"&gt;7.66&lt;/D&gt;&lt;D xsi:type="xsd:double"&gt;7.165&lt;/D&gt;&lt;D xsi:type="xsd:double"&gt;6.855&lt;/D&gt;&lt;D xsi:type="xsd:double"&gt;7.16&lt;/D&gt;&lt;D xsi:type="xsd:double"&gt;7.66&lt;/D&gt;&lt;D xsi:type="xsd:double"&gt;8.23&lt;/D&gt;&lt;D xsi:type="xsd:double"&gt;8.7&lt;/D&gt;&lt;D xsi:type="xsd:double"&gt;9.29&lt;/D&gt;&lt;D xsi:type="xsd:double"&gt;8.875&lt;/D&gt;&lt;D xsi:type="xsd:double"&gt;10.64&lt;/D&gt;&lt;D xsi:type="xsd:double"&gt;9.97&lt;/D&gt;&lt;D xsi:type="xsd:double"&gt;10.03&lt;/D&gt;&lt;D xsi:type="xsd:double"&gt;11.09&lt;/D&gt;&lt;D xsi:type="xsd:double"&gt;10.11&lt;/D&gt;&lt;D xsi:type="xsd:double"&gt;11.18&lt;/D&gt;&lt;D xsi:type="xsd:double"&gt;10.46&lt;/D&gt;&lt;D xsi:type="xsd:double"&gt;10.34&lt;/D&gt;&lt;D xsi:type="xsd:double"&gt;9.59&lt;/D&gt;&lt;D xsi:type="xsd:double"&gt;9.54&lt;/D&gt;&lt;D xsi:type="xsd:double"&gt;9.77&lt;/D&gt;&lt;D xsi:type="xsd:double"&gt;9.69&lt;/D&gt;&lt;D xsi:type="xsd:double"&gt;10.28&lt;/D&gt;&lt;D xsi:type="xsd:double"&gt;10.04&lt;/D&gt;&lt;D xsi:type="xsd:double"&gt;12.02&lt;/D&gt;&lt;D xsi:type="xsd:double"&gt;11.62&lt;/D&gt;&lt;D xsi:type="xsd:double"&gt;11.36&lt;/D&gt;&lt;D xsi:type="xsd:double"&gt;11.21&lt;/D&gt;&lt;D xsi:type="xsd:double"&gt;10.56&lt;/D&gt;&lt;D xsi:type="xsd:double"&gt;11.29&lt;/D&gt;&lt;D xsi:type="xsd:double"&gt;10.33&lt;/D&gt;&lt;D xsi:type="xsd:double"&gt;9.64&lt;/D&gt;&lt;D xsi:type="xsd:double"&gt;9.36&lt;/D&gt;&lt;D xsi:type="xsd:double"&gt;9.1&lt;/D&gt;&lt;D xsi:type="xsd:double"&gt;8.57&lt;/D&gt;&lt;D xsi:type="xsd:double"&gt;9.02&lt;/D&gt;&lt;D xsi:type="xsd:double"&gt;7.94&lt;/D&gt;&lt;D xsi:type="xsd:double"&gt;8.85&lt;/D&gt;&lt;D xsi:type="xsd:double"&gt;9.18&lt;/D&gt;&lt;D xsi:type="xsd:double"&gt;8.36&lt;/D&gt;&lt;D xsi:type="xsd:double"&gt;8.12&lt;/D&gt;&lt;D xsi:type="xsd:double"&gt;8.64&lt;/D&gt;&lt;D xsi:type="xsd:double"&gt;9.3&lt;/D&gt;&lt;D xsi:type="xsd:double"&gt;9.88&lt;/D&gt;&lt;D xsi:type="xsd:double"&gt;9.32&lt;/D&gt;&lt;D xsi:type="xsd:double"&gt;8.27&lt;/D&gt;&lt;D xsi:type="xsd:double"&gt;9.2&lt;/D&gt;&lt;D xsi:type="xsd:double"&gt;10.11&lt;/D&gt;&lt;D xsi:type="xsd:double"&gt;11.36&lt;/D&gt;&lt;D xsi:type="xsd:double"&gt;11.98&lt;/D&gt;&lt;D xsi:type="xsd:double"&gt;12.8&lt;/D&gt;&lt;D xsi:type="xsd:double"&gt;11.48&lt;/D&gt;&lt;D xsi:type="xsd:double"&gt;12.03&lt;/D&gt;&lt;D xsi:type="xsd:double"&gt;12&lt;/D&gt;&lt;D xsi:type="xsd:double"&gt;12.2&lt;/D&gt;&lt;D xsi:type="xsd:double"&gt;12.74&lt;/D&gt;&lt;D xsi:type="xsd:double"&gt;12.19&lt;/D&gt;&lt;D xsi:type="xsd:double"&gt;13.64&lt;/D&gt;&lt;D xsi:type="xsd:double"&gt;13.09&lt;/D&gt;&lt;D xsi:type="xsd:double"&gt;12.53&lt;/D&gt;&lt;D xsi:type="xsd:double"&gt;13.83&lt;/D&gt;&lt;D xsi:type="xsd:double"&gt;13.83&lt;/D&gt;&lt;D xsi:type="xsd:double"&gt;15.56&lt;/D&gt;&lt;D xsi:type="xsd:double"&gt;15.85&lt;/D&gt;&lt;D xsi:type="xsd:double"&gt;15.72&lt;/D&gt;&lt;D xsi:type="xsd:double"&gt;13.39&lt;/D&gt;&lt;D xsi:type="xsd:double"&gt;12.7&lt;/D&gt;&lt;D xsi:type="xsd:double"&gt;11.43&lt;/D&gt;&lt;D xsi:type="xsd:double"&gt;10.75&lt;/D&gt;&lt;D xsi:type="xsd:double"&gt;10.42&lt;/D&gt;&lt;D xsi:type="xsd:double"&gt;10.67&lt;/D&gt;&lt;D xsi:type="xsd:double"&gt;10.83&lt;/D&gt;&lt;D xsi:type="xsd:double"&gt;10.92&lt;/D&gt;&lt;D xsi:type="xsd:double"&gt;10.52&lt;/D&gt;&lt;D xsi:type="xsd:double"&gt;11.58&lt;/D&gt;&lt;D xsi:type="xsd:double"&gt;10.49&lt;/D&gt;&lt;D xsi:type="xsd:double"&gt;10.44&lt;/D&gt;&lt;D xsi:type="xsd:double"&gt;9.82&lt;/D&gt;&lt;D xsi:type="xsd:double"&gt;8.98&lt;/D&gt;&lt;D xsi:type="xsd:double"&gt;8.84&lt;/D&gt;&lt;D xsi:type="xsd:double"&gt;8.28&lt;/D&gt;&lt;D xsi:type="xsd:double"&gt;7.47&lt;/D&gt;&lt;D xsi:type="xsd:double"&gt;8.48&lt;/D&gt;&lt;D xsi:type="xsd:double"&gt;8.74&lt;/D&gt;&lt;D xsi:type="xsd:double"&gt;8.61&lt;/D&gt;&lt;D xsi:type="xsd:double"&gt;8.52&lt;/D&gt;&lt;D xsi:type="xsd:double"&gt;9.45&lt;/D&gt;&lt;D xsi:type="xsd:double"&gt;9.69&lt;/D&gt;&lt;D xsi:type="xsd:double"&gt;8.42&lt;/D&gt;&lt;D xsi:type="xsd:double"&gt;8.82&lt;/D&gt;&lt;D xsi:type="xsd:double"&gt;8.25&lt;/D&gt;&lt;D xsi:type="xsd:double"&gt;8.44&lt;/D&gt;&lt;D xsi:type="xsd:double"&gt;8.81&lt;/D&gt;&lt;D xsi:type="xsd:double"&gt;9.22&lt;/D&gt;&lt;D xsi:type="xsd:double"&gt;8.69&lt;/D&gt;&lt;D xsi:type="xsd:double"&gt;8.38&lt;/D&gt;&lt;D xsi:type="xsd:double"&gt;9.06&lt;/D&gt;&lt;D xsi:type="xsd:double"&gt;9.43&lt;/D&gt;&lt;D xsi:type="xsd:double"&gt;9.33&lt;/D&gt;&lt;D xsi:type="xsd:double"&gt;9.28&lt;/D&gt;&lt;D xsi:type="xsd:double"&gt;9.73&lt;/D&gt;&lt;D xsi:type="xsd:double"&gt;9.37&lt;/D&gt;&lt;D xsi:type="xsd:double"&gt;10.34&lt;/D&gt;&lt;D xsi:type="xsd:double"&gt;10.47&lt;/D&gt;&lt;D xsi:type="xsd:double"&gt;9.63&lt;/D&gt;&lt;D xsi:type="xsd:double"&gt;9.24&lt;/D&gt;&lt;D xsi:type="xsd:double"&gt;9.5&lt;/D&gt;&lt;D xsi:type="xsd:double"&gt;9.52&lt;/D&gt;&lt;D xsi:type="xsd:double"&gt;8.83&lt;/D&gt;&lt;D xsi:type="xsd:double"&gt;9.47&lt;/D&gt;&lt;D xsi:type="xsd:double"&gt;9.17&lt;/D&gt;&lt;D xsi:type="xsd:double"&gt;9.15&lt;/D&gt;&lt;D xsi:type="xsd:double"&gt;8.54&lt;/D&gt;&lt;D xsi:type="xsd:double"&gt;8.56&lt;/D&gt;&lt;D xsi:type="xsd:double"&gt;8.26&lt;/D&gt;&lt;D xsi:type="xsd:double"&gt;7.46&lt;/D&gt;&lt;D xsi:type="xsd:double"&gt;7.65&lt;/D&gt;&lt;D xsi:type="xsd:double"&gt;7.73&lt;/D&gt;&lt;D xsi:type="xsd:double"&gt;7.84&lt;/D&gt;&lt;D xsi:type="xsd:double"&gt;7.7&lt;/D&gt;&lt;D xsi:type="xsd:double"&gt;7.55&lt;/D&gt;&lt;D xsi:type="xsd:double"&gt;7.53&lt;/D&gt;&lt;D xsi:type="xsd:double"&gt;7.61&lt;/D&gt;&lt;D xsi:type="xsd:double"&gt;7.18&lt;/D&gt;&lt;D xsi:type="xsd:double"&gt;7.73&lt;/D&gt;&lt;D xsi:type="xsd:double"&gt;7.65&lt;/D&gt;&lt;D xsi:type="xsd:double"&gt;7.67&lt;/D&gt;&lt;D xsi:type="xsd:double"&gt;7.46&lt;/D&gt;&lt;D xsi:type="xsd:double"&gt;6.94&lt;/D&gt;&lt;D xsi:type="xsd:double"&gt;7.33&lt;/D&gt;&lt;D xsi:type="xsd:double"&gt;7.39&lt;/D&gt;&lt;D xsi:type="xsd:double"&gt;7.65&lt;/D&gt;&lt;D xsi:type="xsd:double"&gt;7.69&lt;/D&gt;&lt;D xsi:type="xsd:double"&gt;7.88&lt;/D&gt;&lt;D xsi:type="xsd:double"&gt;8.03&lt;/D&gt;&lt;D xsi:type="xsd:double"&gt;7.98&lt;/D&gt;&lt;D xsi:type="xsd:double"&gt;7.94&lt;/D&gt;&lt;D xsi:type="xsd:double"&gt;7.43&lt;/D&gt;&lt;D xsi:type="xsd:double"&gt;7.53&lt;/D&gt;&lt;D xsi:type="xsd:double"&gt;7.39&lt;/D&gt;&lt;D xsi:type="xsd:double"&gt;7.72&lt;/D&gt;&lt;D xsi:type="xsd:double"&gt;9.14&lt;/D&gt;&lt;D xsi:type="xsd:double"&gt;9.69&lt;/D&gt;&lt;D xsi:type="xsd:double"&gt;8.77&lt;/D&gt;&lt;D xsi:type="xsd:double"&gt;9.16&lt;/D&gt;&lt;D xsi:type="xsd:double"&gt;9.74&lt;/D&gt;&lt;D xsi:type="xsd:double"&gt;9.76&lt;/D&gt;&lt;D xsi:type="xsd:double"&gt;10.18&lt;/D&gt;&lt;D xsi:type="xsd:double"&gt;9.82&lt;/D&gt;&lt;D xsi:type="xsd:double"&gt;10.43&lt;/D&gt;&lt;D xsi:type="xsd:double"&gt;10.74&lt;/D&gt;&lt;D xsi:type="xsd:double"&gt;10.41&lt;/D&gt;&lt;D xsi:type="xsd:double"&gt;11.14&lt;/D&gt;&lt;D xsi:type="xsd:double"&gt;11.02&lt;/D&gt;&lt;D xsi:type="xsd:double"&gt;11.9&lt;/D&gt;&lt;D xsi:type="xsd:double"&gt;13.25&lt;/D&gt;&lt;D xsi:type="xsd:double"&gt;13.93&lt;/D&gt;&lt;D xsi:type="xsd:double"&gt;12.8&lt;/D&gt;&lt;D xsi:type="xsd:double"&gt;12.85&lt;/D&gt;&lt;D xsi:type="xsd:double"&gt;12.96&lt;/D&gt;&lt;D xsi:type="xsd:double"&gt;12.9&lt;/D&gt;&lt;D xsi:type="xsd:double"&gt;13.01&lt;/D&gt;&lt;D xsi:type="xsd:double"&gt;12.97&lt;/D&gt;&lt;D xsi:type="xsd:double"&gt;14.05&lt;/D&gt;&lt;D xsi:type="xsd:double"&gt;14.79&lt;/D&gt;&lt;D xsi:type="xsd:double"&gt;14.98&lt;/D&gt;&lt;D xsi:type="xsd:double"&gt;15.27&lt;/D&gt;&lt;D xsi:type="xsd:double"&gt;14.5&lt;/D&gt;&lt;D xsi:type="xsd:double"&gt;14.39&lt;/D&gt;&lt;D xsi:type="xsd:double"&gt;13.41&lt;/D&gt;&lt;D xsi:type="xsd:double"&gt;12.85&lt;/D&gt;&lt;D xsi:type="xsd:double"&gt;13.51&lt;/D&gt;&lt;D xsi:type="xsd:double"&gt;13.8&lt;/D&gt;&lt;D xsi:type="xsd:double"&gt;13.62&lt;/D&gt;&lt;D xsi:type="xsd:double"&gt;13.22&lt;/D&gt;&lt;D xsi:type="xsd:double"&gt;12.97&lt;/D&gt;&lt;D xsi:type="xsd:double"&gt;12.48&lt;/D&gt;&lt;D xsi:type="xsd:double"&gt;11.52&lt;/D&gt;&lt;D xsi:type="xsd:double"&gt;11.67&lt;/D&gt;&lt;D xsi:type="xsd:double"&gt;12.04&lt;/D&gt;&lt;D xsi:type="xsd:double"&gt;12.24&lt;/D&gt;&lt;D xsi:type="xsd:double"&gt;12.3&lt;/D&gt;&lt;D xsi:type="xsd:double"&gt;11.37&lt;/D&gt;&lt;D xsi:type="xsd:double"&gt;11.65&lt;/D&gt;&lt;D xsi:type="xsd:double"&gt;12.18&lt;/D&gt;&lt;D xsi:type="xsd:double"&gt;13.17&lt;/D&gt;&lt;D xsi:type="xsd:double"&gt;12.98&lt;/D&gt;&lt;D xsi:type="xsd:double"&gt;12.29&lt;/D&gt;&lt;D xsi:type="xsd:double"&gt;11.28&lt;/D&gt;&lt;D xsi:type="xsd:double"&gt;10.85&lt;/D&gt;&lt;D xsi:type="xsd:double"&gt;10.76&lt;/D&gt;&lt;D xsi:type="xsd:double"&gt;11.82&lt;/D&gt;&lt;D xsi:type="xsd:double"&gt;12.05&lt;/D&gt;&lt;D xsi:type="xsd:double"&gt;11.14&lt;/D&gt;&lt;D xsi:type="xsd:double"&gt;10&lt;/D&gt;&lt;D xsi:type="xsd:double"&gt;9.56&lt;/D&gt;&lt;D xsi:type="xsd:double"&gt;9.11&lt;/D&gt;&lt;D xsi:type="xsd:double"&gt;8.71&lt;/D&gt;&lt;D xsi:type="xsd:double"&gt;8.87&lt;/D&gt;&lt;D xsi:type="xsd:double"&gt;9.11&lt;/D&gt;&lt;D xsi:type="xsd:double"&gt;9.33&lt;/D&gt;&lt;D xsi:type="xsd:double"&gt;8.86&lt;/D&gt;&lt;D xsi:type="xsd:double"&gt;8.89&lt;/D&gt;&lt;D xsi:type="xsd:double"&gt;9.25&lt;/D&gt;&lt;D xsi:type="xsd:double"&gt;9.28&lt;/D&gt;&lt;D xsi:type="xsd:double"&gt;9.37&lt;/D&gt;&lt;D xsi:type="xsd:double"&gt;9.43&lt;/D&gt;&lt;D xsi:type="xsd:double"&gt;9.7&lt;/D&gt;&lt;D xsi:type="xsd:double"&gt;8.77&lt;/D&gt;&lt;D xsi:type="xsd:double"&gt;7.71&lt;/D&gt;&lt;D xsi:type="xsd:double"&gt;7.68&lt;/D&gt;&lt;D xsi:type="xsd:double"&gt;8.36&lt;/D&gt;&lt;D xsi:type="xsd:double"&gt;6.48&lt;/D&gt;&lt;D xsi:type="xsd:double"&gt;7.39&lt;/D&gt;&lt;D xsi:type="xsd:double"&gt;7.16&lt;/D&gt;&lt;D xsi:type="xsd:double"&gt;7.77&lt;/D&gt;&lt;D xsi:type="xsd:double"&gt;7.82&lt;/D&gt;&lt;D xsi:type="xsd:double"&gt;7.48&lt;/D&gt;&lt;D xsi:type="xsd:double"&gt;8.06&lt;/D&gt;&lt;D xsi:type="xsd:double"&gt;7.23&lt;/D&gt;&lt;D xsi:type="xsd:double"&gt;7.7&lt;/D&gt;&lt;D xsi:type="xsd:double"&gt;7.7&lt;/D&gt;&lt;D xsi:type="xsd:double"&gt;7.96&lt;/D&gt;&lt;D xsi:type="xsd:double"&gt;7.63&lt;/D&gt;&lt;D xsi:type="xsd:double"&gt;7.48&lt;/D&gt;&lt;D xsi:type="xsd:double"&gt;7.94&lt;/D&gt;&lt;D xsi:type="xsd:double"&gt;8.41&lt;/D&gt;&lt;D xsi:type="xsd:double"&gt;8.23&lt;/D&gt;&lt;D xsi:type="xsd:double"&gt;8.67&lt;/D&gt;&lt;D xsi:type="xsd:double"&gt;8.37&lt;/D&gt;&lt;D xsi:type="xsd:double"&gt;8.52&lt;/D&gt;&lt;D xsi:type="xsd:double"&gt;8&lt;/D&gt;&lt;D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xsi:type="xsd:string"&gt;@NA&lt;/D&gt;&lt;/FQL&gt;&lt;FQL&gt;&lt;Q&gt;SBLK-US^P_PRICE(1/4/2019,NOW,W)&lt;/Q&gt;&lt;R&gt;373&lt;/R&gt;&lt;C&gt;1&lt;/C&gt;&lt;D xsi:type="xsd:double"&gt;10.14&lt;/D&gt;&lt;D xsi:type="xsd:double"&gt;9.91&lt;/D&gt;&lt;D xsi:type="xsd:double"&gt;10.44&lt;/D&gt;&lt;D xsi:type="xsd:double"&gt;8.77&lt;/D&gt;&lt;D xsi:type="xsd:double"&gt;7.92&lt;/D&gt;&lt;D xsi:type="xsd:double"&gt;7.79&lt;/D&gt;&lt;D xsi:type="xsd:double"&gt;8.2&lt;/D&gt;&lt;D xsi:type="xsd:double"&gt;7.82&lt;/D&gt;&lt;D xsi:type="xsd:double"&gt;7.43&lt;/D&gt;&lt;D xsi:type="xsd:double"&gt;6.51&lt;/D&gt;&lt;D xsi:type="xsd:double"&gt;7.13&lt;/D&gt;&lt;D xsi:type="xsd:double"&gt;6.58&lt;/D&gt;&lt;D xsi:type="xsd:double"&gt;6.58&lt;/D&gt;&lt;D xsi:type="xsd:double"&gt;7.34&lt;/D&gt;&lt;D xsi:type="xsd:double"&gt;7.82&lt;/D&gt;&lt;D xsi:type="xsd:double"&gt;7.95&lt;/D&gt;&lt;D xsi:type="xsd:double"&gt;8.2&lt;/D&gt;&lt;D xsi:type="xsd:double"&gt;9.02&lt;/D&gt;&lt;D xsi:type="xsd:double"&gt;8.19&lt;/D&gt;&lt;D xsi:type="xsd:double"&gt;8.05&lt;/D&gt;&lt;D xsi:type="xsd:double"&gt;7.42&lt;/D&gt;&lt;D xsi:type="xsd:double"&gt;7.65&lt;/D&gt;&lt;D xsi:type="xsd:double"&gt;7.97&lt;/D&gt;&lt;D xsi:type="xsd:double"&gt;7.81&lt;/D&gt;&lt;D xsi:type="xsd:double"&gt;8.4&lt;/D&gt;&lt;D xsi:type="xsd:double"&gt;9.65&lt;/D&gt;&lt;D xsi:type="xsd:double"&gt;10.56&lt;/D&gt;&lt;D xsi:type="xsd:double"&gt;10.65&lt;/D&gt;&lt;D xsi:type="xsd:double"&gt;10.65&lt;/D&gt;&lt;D xsi:type="xsd:double"&gt;10.4&lt;/D&gt;&lt;D xsi:type="xsd:double"&gt;9.01&lt;/D&gt;&lt;D xsi:type="xsd:double"&gt;9.29&lt;/D&gt;&lt;D xsi:type="xsd:double"&gt;9.87&lt;/D&gt;&lt;D xsi:type="xsd:double"&gt;9.67&lt;/D&gt;&lt;D xsi:type="xsd:double"&gt;10.47&lt;/D&gt;&lt;D xsi:type="xsd:double"&gt;10.69&lt;/D&gt;&lt;D xsi:type="xsd:double"&gt;11.27&lt;/D&gt;&lt;D xsi:type="xsd:double"&gt;10.21&lt;/D&gt;&lt;D xsi:type="xsd:double"&gt;10.04&lt;/D&gt;&lt;D xsi:type="xsd:double"&gt;10.47&lt;/D&gt;&lt;D xsi:type="xsd:double"&gt;11.09&lt;/D&gt;&lt;D xsi:type="xsd:double"&gt;11&lt;/D&gt;&lt;D xsi:type="xsd:double"&gt;11.15&lt;/D&gt;&lt;D xsi:type="xsd:double"&gt;11.05&lt;/D&gt;&lt;D xsi:type="xsd:double"&gt;10.02&lt;/D&gt;&lt;D xsi:type="xsd:double"&gt;10&lt;/D&gt;&lt;D xsi:type="xsd:double"&gt;10.63&lt;/D&gt;&lt;D xsi:type="xsd:double"&gt;10.99&lt;/D&gt;&lt;D xsi:type="xsd:double"&gt;10.78&lt;/D&gt;&lt;D xsi:type="xsd:double"&gt;10.93&lt;/D&gt;&lt;D xsi:type="xsd:double"&gt;11.39&lt;/D&gt;&lt;D xsi:type="xsd:double"&gt;11.64&lt;/D&gt;&lt;D xsi:type="xsd:double"&gt;11.06&lt;/D&gt;&lt;D xsi:type="xsd:double"&gt;11.02&lt;/D&gt;&lt;D xsi:type="xsd:double"&gt;10.62&lt;/D&gt;&lt;D xsi:type="xsd:double"&gt;9.23&lt;/D&gt;&lt;D xsi:type="xsd:double"&gt;8.1&lt;/D&gt;&lt;D xsi:type="xsd:double"&gt;8.03&lt;/D&gt;&lt;D xsi:type="xsd:double"&gt;8.51&lt;/D&gt;&lt;D xsi:type="xsd:double"&gt;9.03&lt;/D&gt;&lt;D xsi:type="xsd:double"&gt;8.67&lt;/D&gt;&lt;D xsi:type="xsd:double"&gt;8.13&lt;/D&gt;&lt;D xsi:type="xsd:double"&gt;6.92&lt;/D&gt;&lt;D xsi:type="xsd:double"&gt;5.61&lt;/D&gt;&lt;D xsi:type="xsd:double"&gt;5.52&lt;/D&gt;&lt;D xsi:type="xsd:double"&gt;4.98&lt;/D&gt;&lt;D xsi:type="xsd:double"&gt;5.68&lt;/D&gt;&lt;D xsi:type="xsd:double"&gt;6.13&lt;/D&gt;&lt;D xsi:type="xsd:double"&gt;5.29&lt;/D&gt;&lt;D xsi:type="xsd:double"&gt;5.41&lt;/D&gt;&lt;D xsi:type="xsd:double"&gt;4.96&lt;/D&gt;&lt;D xsi:type="xsd:double"&gt;4.4&lt;/D&gt;&lt;D xsi:type="xsd:double"&gt;5.09&lt;/D&gt;&lt;D xsi:type="xsd:double"&gt;5.09&lt;/D&gt;&lt;D xsi:type="xsd:double"&gt;6.73&lt;/D&gt;&lt;D xsi:type="xsd:double"&gt;6.45&lt;/D&gt;&lt;D xsi:type="xsd:double"&gt;7.315&lt;/D&gt;&lt;D xsi:type="xsd:double"&gt;6.48&lt;/D&gt;&lt;D xsi:type="xsd:double"&gt;6.51&lt;/D&gt;&lt;D xsi:type="xsd:double"&gt;6.34&lt;/D&gt;&lt;D xsi:type="xsd:double"&gt;6.42&lt;/D&gt;&lt;D xsi:type="xsd:double"&gt;6.22&lt;/D&gt;&lt;D xsi:type="xsd:double"&gt;6.97&lt;/D&gt;&lt;D xsi:type="xsd:double"&gt;6.91&lt;/D&gt;&lt;D xsi:type="xsd:double"&gt;7.33&lt;/D&gt;&lt;D xsi:type="xsd:double"&gt;6.78&lt;/D&gt;&lt;D xsi:type="xsd:double"&gt;7.17&lt;/D&gt;&lt;D xsi:type="xsd:double"&gt;6.68&lt;/D&gt;&lt;D xsi:type="xsd:double"&gt;6.64&lt;/D&gt;&lt;D xsi:type="xsd:double"&gt;7.11&lt;/D&gt;&lt;D xsi:type="xsd:double"&gt;6.84&lt;/D&gt;&lt;D xsi:type="xsd:double"&gt;7.37&lt;/D&gt;&lt;D xsi:type="xsd:double"&gt;7.13&lt;/D&gt;&lt;D xsi:type="xsd:double"&gt;6.7&lt;/D&gt;&lt;D xsi:type="xsd:double"&gt;6.93&lt;/D&gt;&lt;D xsi:type="xsd:double"&gt;6.24&lt;/D&gt;&lt;D xsi:type="xsd:double"&gt;6.61&lt;/D&gt;&lt;D xsi:type="xsd:double"&gt;7.01&lt;/D&gt;&lt;D xsi:type="xsd:double"&gt;6.99&lt;/D&gt;&lt;D xsi:type="xsd:double"&gt;7.7&lt;/D&gt;&lt;D xsi:type="xsd:double"&gt;8.68&lt;/D&gt;&lt;D xsi:type="xsd:double"&gt;7.93&lt;/D&gt;&lt;D xsi:type="xsd:double"&gt;8.31&lt;/D&gt;&lt;D xsi:type="xsd:double"&gt;8.74&lt;/D&gt;&lt;D xsi:type="xsd:double"&gt;8.83&lt;/D&gt;&lt;D xsi:type="xsd:double"&gt;11.08&lt;/D&gt;&lt;D xsi:type="xsd:double"&gt;11.49&lt;/D&gt;&lt;D xsi:type="xsd:double"&gt;11.4&lt;/D&gt;&lt;D xsi:type="xsd:double"&gt;10.61&lt;/D&gt;&lt;D xsi:type="xsd:double"&gt;11.73&lt;/D&gt;&lt;D xsi:type="xsd:double"&gt;14.12&lt;/D&gt;&lt;D xsi:type="xsd:double"&gt;13.48&lt;/D&gt;&lt;D xsi:type="xsd:double"&gt;14.08&lt;/D&gt;&lt;D xsi:type="xsd:double"&gt;13.6&lt;/D&gt;&lt;D xsi:type="xsd:double"&gt;15.92&lt;/D&gt;&lt;D xsi:type="xsd:double"&gt;16.87&lt;/D&gt;&lt;D xsi:type="xsd:double"&gt;15.125&lt;/D&gt;&lt;D xsi:type="xsd:double"&gt;14.49&lt;/D&gt;&lt;D xsi:type="xsd:double"&gt;14.77&lt;/D&gt;&lt;D xsi:type="xsd:double"&gt;15.99&lt;/D&gt;&lt;D xsi:type="xsd:double"&gt;17.69&lt;/D&gt;&lt;D xsi:type="xsd:double"&gt;18.63&lt;/D&gt;&lt;D xsi:type="xsd:double"&gt;22.5&lt;/D&gt;&lt;D xsi:type="xsd:double"&gt;21.29&lt;/D&gt;&lt;D xsi:type="xsd:double"&gt;21.59&lt;/D&gt;&lt;D xsi:type="xsd:double"&gt;19.51&lt;/D&gt;&lt;D xsi:type="xsd:double"&gt;18.88&lt;/D&gt;&lt;D xsi:type="xsd:double"&gt;22.55&lt;/D&gt;&lt;D xsi:type="xsd:double"&gt;22.13&lt;/D&gt;&lt;D xsi:type="xsd:double"&gt;23.56&lt;/D&gt;&lt;D xsi:type="xsd:double"&gt;20.58&lt;/D&gt;&lt;D xsi:type="xsd:double"&gt;20.55&lt;/D&gt;&lt;D xsi:type="xsd:double"&gt;17.34&lt;/D&gt;&lt;D xsi:type="xsd:double"&gt;18.53&lt;/D&gt;&lt;D xsi:type="xsd:double"&gt;19.03&lt;/D&gt;&lt;D xsi:type="xsd:double"&gt;19.37&lt;/D&gt;&lt;D xsi:type="xsd:double"&gt;20.48&lt;/D&gt;&lt;D xsi:type="xsd:double"&gt;20.31&lt;/D&gt;&lt;D xsi:type="xsd:double"&gt;23.74&lt;/D&gt;&lt;D xsi:type="xsd:double"&gt;23.88&lt;/D&gt;&lt;D xsi:type="xsd:double"&gt;23.6&lt;/D&gt;&lt;D xsi:type="xsd:double"&gt;22.94&lt;/D&gt;&lt;D xsi:type="xsd:double"&gt;22.74&lt;/D&gt;&lt;D xsi:type="xsd:double"&gt;25.27&lt;/D&gt;&lt;D xsi:type="xsd:double"&gt;22.95&lt;/D&gt;&lt;D xsi:type="xsd:double"&gt;22.07&lt;/D&gt;&lt;D xsi:type="xsd:double"&gt;21.58&lt;/D&gt;&lt;D xsi:type="xsd:double"&gt;20.69&lt;/D&gt;&lt;D xsi:type="xsd:double"&gt;19.28&lt;/D&gt;&lt;D xsi:type="xsd:double"&gt;19.17&lt;/D&gt;&lt;D xsi:type="xsd:double"&gt;18.88&lt;/D&gt;&lt;D xsi:type="xsd:double"&gt;20.95&lt;/D&gt;&lt;D xsi:type="xsd:double"&gt;21.66&lt;/D&gt;&lt;D xsi:type="xsd:double"&gt;21.09&lt;/D&gt;&lt;D xsi:type="xsd:double"&gt;19.86&lt;/D&gt;&lt;D xsi:type="xsd:double"&gt;21.05&lt;/D&gt;&lt;D xsi:type="xsd:double"&gt;22.67&lt;/D&gt;&lt;D xsi:type="xsd:double"&gt;22.57&lt;/D&gt;&lt;D xsi:type="xsd:double"&gt;22.28&lt;/D&gt;&lt;D xsi:type="xsd:double"&gt;20.1&lt;/D&gt;&lt;D xsi:type="xsd:double"&gt;22.47&lt;/D&gt;&lt;D xsi:type="xsd:double"&gt;23.83&lt;/D&gt;&lt;D xsi:type="xsd:double"&gt;26.43&lt;/D&gt;&lt;D xsi:type="xsd:double"&gt;29.36&lt;/D&gt;&lt;D xsi:type="xsd:double"&gt;31.76&lt;/D&gt;&lt;D xsi:type="xsd:double"&gt;28.27&lt;/D&gt;&lt;D xsi:type="xsd:double"&gt;30.13&lt;/D&gt;&lt;D xsi:type="xsd:double"&gt;29.29&lt;/D&gt;&lt;D xsi:type="xsd:double"&gt;29.42&lt;/D&gt;&lt;D xsi:type="xsd:double"&gt;30.36&lt;/D&gt;&lt;D xsi:type="xsd:double"&gt;28.3&lt;/D&gt;&lt;D xsi:type="xsd:double"&gt;30.46&lt;/D&gt;&lt;D xsi:type="xsd:double"&gt;28.71&lt;/D&gt;&lt;D xsi:type="xsd:double"&gt;28.1&lt;/D&gt;&lt;D xsi:type="xsd:double"&gt;30.39&lt;/D&gt;&lt;D xsi:type="xsd:double"&gt;29.88&lt;/D&gt;&lt;D xsi:type="xsd:double"&gt;32.03&lt;/D&gt;&lt;D xsi:type="xsd:double"&gt;32.54&lt;/D&gt;&lt;D xsi:type="xsd:double"&gt;32.51&lt;/D&gt;&lt;D xsi:type="xsd:double"&gt;26.96&lt;/D&gt;&lt;D xsi:type="xsd:double"&gt;26.78&lt;/D&gt;&lt;D xsi:type="xsd:double"&gt;24.26&lt;/D&gt;&lt;D xsi:type="xsd:double"&gt;23.4&lt;/D&gt;&lt;D xsi:type="xsd:double"&gt;22.46&lt;/D&gt;&lt;D xsi:type="xsd:double"&gt;23.76&lt;/D&gt;&lt;D xsi:type="xsd:double"&gt;25.44&lt;/D&gt;&lt;D xsi:type="xsd:double"&gt;26.025&lt;/D&gt;&lt;D xsi:type="xsd:double"&gt;25.58&lt;/D&gt;&lt;D xsi:type="xsd:double"&gt;26.68&lt;/D&gt;&lt;D xsi:type="xsd:double"&gt;24.99&lt;/D&gt;&lt;D xsi:type="xsd:double"&gt;21.53&lt;/D&gt;&lt;D xsi:type="xsd:double"&gt;19.89&lt;/D&gt;&lt;D xsi:type="xsd:double"&gt;20.47&lt;/D&gt;&lt;D xsi:type="xsd:double"&gt;19.6&lt;/D&gt;&lt;D xsi:type="xsd:double"&gt;19.06&lt;/D&gt;&lt;D xsi:type="xsd:double"&gt;17.48&lt;/D&gt;&lt;D xsi:type="xsd:double"&gt;19.92&lt;/D&gt;&lt;D xsi:type="xsd:double"&gt;20.43&lt;/D&gt;&lt;D xsi:type="xsd:d</t>
        </r>
      </text>
    </comment>
    <comment ref="A7" authorId="0" shapeId="0" xr:uid="{00000000-0006-0000-0000-000007000000}">
      <text>
        <r>
          <rPr>
            <sz val="11"/>
            <color theme="1"/>
            <rFont val="맑은 고딕"/>
            <family val="2"/>
            <charset val="129"/>
            <scheme val="minor"/>
          </rPr>
          <t>ouble"&gt;19.25&lt;/D&gt;&lt;D xsi:type="xsd:double"&gt;17.67&lt;/D&gt;&lt;D xsi:type="xsd:double"&gt;19.44&lt;/D&gt;&lt;D xsi:type="xsd:double"&gt;21&lt;/D&gt;&lt;D xsi:type="xsd:double"&gt;19.53&lt;/D&gt;&lt;D xsi:type="xsd:double"&gt;21.5&lt;/D&gt;&lt;D xsi:type="xsd:double"&gt;18.76&lt;/D&gt;&lt;D xsi:type="xsd:double"&gt;19.51&lt;/D&gt;&lt;D xsi:type="xsd:double"&gt;19.54&lt;/D&gt;&lt;D xsi:type="xsd:double"&gt;20.36&lt;/D&gt;&lt;D xsi:type="xsd:double"&gt;19.23&lt;/D&gt;&lt;D xsi:type="xsd:double"&gt;19.6&lt;/D&gt;&lt;D xsi:type="xsd:double"&gt;20.8&lt;/D&gt;&lt;D xsi:type="xsd:double"&gt;22.45&lt;/D&gt;&lt;D xsi:type="xsd:double"&gt;23.39&lt;/D&gt;&lt;D xsi:type="xsd:double"&gt;22.18&lt;/D&gt;&lt;D xsi:type="xsd:double"&gt;22.91&lt;/D&gt;&lt;D xsi:type="xsd:double"&gt;21.62&lt;/D&gt;&lt;D xsi:type="xsd:double"&gt;24.58&lt;/D&gt;&lt;D xsi:type="xsd:double"&gt;23.73&lt;/D&gt;&lt;D xsi:type="xsd:double"&gt;21.68&lt;/D&gt;&lt;D xsi:type="xsd:double"&gt;20.46&lt;/D&gt;&lt;D xsi:type="xsd:double"&gt;21.31&lt;/D&gt;&lt;D xsi:type="xsd:double"&gt;21.12&lt;/D&gt;&lt;D xsi:type="xsd:double"&gt;20.66&lt;/D&gt;&lt;D xsi:type="xsd:double"&gt;22.18&lt;/D&gt;&lt;D xsi:type="xsd:double"&gt;20.72&lt;/D&gt;&lt;D xsi:type="xsd:double"&gt;21.11&lt;/D&gt;&lt;D xsi:type="xsd:double"&gt;18.81&lt;/D&gt;&lt;D xsi:type="xsd:double"&gt;18.64&lt;/D&gt;&lt;D xsi:type="xsd:double"&gt;18.9&lt;/D&gt;&lt;D xsi:type="xsd:double"&gt;17.8&lt;/D&gt;&lt;D xsi:type="xsd:double"&gt;18.64&lt;/D&gt;&lt;D xsi:type="xsd:double"&gt;18.12&lt;/D&gt;&lt;D xsi:type="xsd:double"&gt;18.41&lt;/D&gt;&lt;D xsi:type="xsd:double"&gt;18.03&lt;/D&gt;&lt;D xsi:type="xsd:double"&gt;17.7&lt;/D&gt;&lt;D xsi:type="xsd:double"&gt;17.21&lt;/D&gt;&lt;D xsi:type="xsd:double"&gt;17.79&lt;/D&gt;&lt;D xsi:type="xsd:double"&gt;17.06&lt;/D&gt;&lt;D xsi:type="xsd:double"&gt;18.17&lt;/D&gt;&lt;D xsi:type="xsd:double"&gt;18.28&lt;/D&gt;&lt;D xsi:type="xsd:double"&gt;18.62&lt;/D&gt;&lt;D xsi:type="xsd:double"&gt;18.36&lt;/D&gt;&lt;D xsi:type="xsd:double"&gt;16.91&lt;/D&gt;&lt;D xsi:type="xsd:double"&gt;17.62&lt;/D&gt;&lt;D xsi:type="xsd:double"&gt;17.64&lt;/D&gt;&lt;D xsi:type="xsd:double"&gt;18.04&lt;/D&gt;&lt;D xsi:type="xsd:double"&gt;18.48&lt;/D&gt;&lt;D xsi:type="xsd:double"&gt;19.28&lt;/D&gt;&lt;D xsi:type="xsd:double"&gt;19.82&lt;/D&gt;&lt;D xsi:type="xsd:double"&gt;19.71&lt;/D&gt;&lt;D xsi:type="xsd:double"&gt;19.33&lt;/D&gt;&lt;D xsi:type="xsd:double"&gt;18.48&lt;/D&gt;&lt;D xsi:type="xsd:double"&gt;18.79&lt;/D&gt;&lt;D xsi:type="xsd:double"&gt;18.4&lt;/D&gt;&lt;D xsi:type="xsd:double"&gt;19.01&lt;/D&gt;&lt;D xsi:type="xsd:double"&gt;20.24&lt;/D&gt;&lt;D xsi:type="xsd:double"&gt;21.9&lt;/D&gt;&lt;D xsi:type="xsd:double"&gt;20.07&lt;/D&gt;&lt;D xsi:type="xsd:double"&gt;21.18&lt;/D&gt;&lt;D xsi:type="xsd:double"&gt;21.3&lt;/D&gt;&lt;D xsi:type="xsd:double"&gt;21.26&lt;/D&gt;&lt;D xsi:type="xsd:double"&gt;21.71&lt;/D&gt;&lt;D xsi:type="xsd:double"&gt;20.48&lt;/D&gt;&lt;D xsi:type="xsd:double"&gt;21.25&lt;/D&gt;&lt;D xsi:type="xsd:double"&gt;22.04&lt;/D&gt;&lt;D xsi:type="xsd:double"&gt;21.52&lt;/D&gt;&lt;D xsi:type="xsd:double"&gt;22.63&lt;/D&gt;&lt;D xsi:type="xsd:double"&gt;22.04&lt;/D&gt;&lt;D xsi:type="xsd:double"&gt;23.83&lt;/D&gt;&lt;D xsi:type="xsd:double"&gt;24.32&lt;/D&gt;&lt;D xsi:type="xsd:double"&gt;24.89&lt;/D&gt;&lt;D xsi:type="xsd:double"&gt;23.64&lt;/D&gt;&lt;D xsi:type="xsd:double"&gt;24.67&lt;/D&gt;&lt;D xsi:type="xsd:double"&gt;23.87&lt;/D&gt;&lt;D xsi:type="xsd:double"&gt;23.88&lt;/D&gt;&lt;D xsi:type="xsd:double"&gt;23.09&lt;/D&gt;&lt;D xsi:type="xsd:double"&gt;23.03&lt;/D&gt;&lt;D xsi:type="xsd:double"&gt;24.71&lt;/D&gt;&lt;D xsi:type="xsd:double"&gt;24.82&lt;/D&gt;&lt;D xsi:type="xsd:double"&gt;25.67&lt;/D&gt;&lt;D xsi:type="xsd:double"&gt;26.05&lt;/D&gt;&lt;D xsi:type="xsd:double"&gt;26.99&lt;/D&gt;&lt;D xsi:type="xsd:double"&gt;27.08&lt;/D&gt;&lt;D xsi:type="xsd:double"&gt;25.58&lt;/D&gt;&lt;D xsi:type="xsd:double"&gt;23.77&lt;/D&gt;&lt;D xsi:type="xsd:double"&gt;24.1&lt;/D&gt;&lt;D xsi:type="xsd:double"&gt;24.38&lt;/D&gt;&lt;D xsi:type="xsd:double"&gt;24.21&lt;/D&gt;&lt;D xsi:type="xsd:double"&gt;24.13&lt;/D&gt;&lt;D xsi:type="xsd:double"&gt;23.81&lt;/D&gt;&lt;D xsi:type="xsd:double"&gt;22.89&lt;/D&gt;&lt;D xsi:type="xsd:double"&gt;21.4&lt;/D&gt;&lt;D xsi:type="xsd:double"&gt;20.97&lt;/D&gt;&lt;D xsi:type="xsd:double"&gt;21.15&lt;/D&gt;&lt;D xsi:type="xsd:double"&gt;21.23&lt;/D&gt;&lt;D xsi:type="xsd:double"&gt;21.37&lt;/D&gt;&lt;D xsi:type="xsd:double"&gt;19.87&lt;/D&gt;&lt;D xsi:type="xsd:double"&gt;20.8&lt;/D&gt;&lt;D xsi:type="xsd:double"&gt;21.59&lt;/D&gt;&lt;D xsi:type="xsd:double"&gt;23.54&lt;/D&gt;&lt;D xsi:type="xsd:double"&gt;22.71&lt;/D&gt;&lt;D xsi:type="xsd:double"&gt;21.05&lt;/D&gt;&lt;D xsi:type="xsd:double"&gt;20.4&lt;/D&gt;&lt;D xsi:type="xsd:double"&gt;19.35&lt;/D&gt;&lt;D xsi:type="xsd:double"&gt;19.04&lt;/D&gt;&lt;D xsi:type="xsd:double"&gt;20.1&lt;/D&gt;&lt;D xsi:type="xsd:double"&gt;20.29&lt;/D&gt;&lt;D xsi:type="xsd:double"&gt;18.63&lt;/D&gt;&lt;D xsi:type="xsd:double"&gt;17.32&lt;/D&gt;&lt;D xsi:type="xsd:double"&gt;15.98&lt;/D&gt;&lt;D xsi:type="xsd:double"&gt;15.15&lt;/D&gt;&lt;D xsi:type="xsd:double"&gt;14.8&lt;/D&gt;&lt;D xsi:type="xsd:double"&gt;14.85&lt;/D&gt;&lt;D xsi:type="xsd:double"&gt;15.22&lt;/D&gt;&lt;D xsi:type="xsd:double"&gt;15.25&lt;/D&gt;&lt;D xsi:type="xsd:double"&gt;14.68&lt;/D&gt;&lt;D xsi:type="xsd:double"&gt;14.81&lt;/D&gt;&lt;D xsi:type="xsd:double"&gt;15.37&lt;/D&gt;&lt;D xsi:type="xsd:double"&gt;15.38&lt;/D&gt;&lt;D xsi:type="xsd:double"&gt;16.1&lt;/D&gt;&lt;D xsi:type="xsd:double"&gt;15.35&lt;/D&gt;&lt;D xsi:type="xsd:double"&gt;15.63&lt;/D&gt;&lt;D xsi:type="xsd:double"&gt;16.07&lt;/D&gt;&lt;D xsi:type="xsd:double"&gt;16.6&lt;/D&gt;&lt;D xsi:type="xsd:double"&gt;16.58&lt;/D&gt;&lt;D xsi:type="xsd:double"&gt;15.98&lt;/D&gt;&lt;D xsi:type="xsd:double"&gt;13.08&lt;/D&gt;&lt;D xsi:type="xsd:double"&gt;14.24&lt;/D&gt;&lt;D xsi:type="xsd:double"&gt;13.79&lt;/D&gt;&lt;D xsi:type="xsd:double"&gt;14.49&lt;/D&gt;&lt;D xsi:type="xsd:double"&gt;15.03&lt;/D&gt;&lt;D xsi:type="xsd:double"&gt;15.52&lt;/D&gt;&lt;D xsi:type="xsd:double"&gt;16.4&lt;/D&gt;&lt;D xsi:type="xsd:double"&gt;16.18&lt;/D&gt;&lt;D xsi:type="xsd:double"&gt;16.51&lt;/D&gt;&lt;D xsi:type="xsd:double"&gt;16.69&lt;/D&gt;&lt;D xsi:type="xsd:double"&gt;17.4&lt;/D&gt;&lt;D xsi:type="xsd:double"&gt;16.47&lt;/D&gt;&lt;D xsi:type="xsd:double"&gt;17.12&lt;/D&gt;&lt;D xsi:type="xsd:double"&gt;18.04&lt;/D&gt;&lt;D xsi:type="xsd:double"&gt;18.52&lt;/D&gt;&lt;D xsi:type="xsd:double"&gt;18.56&lt;/D&gt;&lt;D xsi:type="xsd:double"&gt;18.8&lt;/D&gt;&lt;D xsi:type="xsd:double"&gt;18.42&lt;/D&gt;&lt;D xsi:type="xsd:double"&gt;18.84&lt;/D&gt;&lt;D xsi:type="xsd:double"&gt;18.66&lt;/D&gt;&lt;D xsi:type="xsd:double"&gt;19.12&lt;/D&gt;&lt;D xsi:type="xsd:double"&gt;18.65&lt;/D&gt;&lt;D xsi:type="xsd:double"&gt;19.31&lt;/D&gt;&lt;D xsi:type="xsd:double"&gt;19.21&lt;/D&gt;&lt;D xsi:type="xsd:double"&gt;19.7&lt;/D&gt;&lt;D xsi:type="xsd:double"&gt;19.27&lt;/D&gt;&lt;D xsi:type="xsd:double"&gt;18.41&lt;/D&gt;&lt;D xsi:type="xsd:double"&gt;16.79&lt;/D&gt;&lt;D xsi:type="xsd:double"&gt;17.68&lt;/D&gt;&lt;D xsi:type="xsd:double"&gt;17.51&lt;/D&gt;&lt;D xsi:type="xsd:double"&gt;18.82&lt;/D&gt;&lt;D xsi:type="xsd:double"&gt;18.19&lt;/D&gt;&lt;D xsi:type="xsd:double"&gt;18.92&lt;/D&gt;&lt;D xsi:type="xsd:double"&gt;19.14&lt;/D&gt;&lt;D xsi:type="xsd:double"&gt;19.9&lt;/D&gt;&lt;D xsi:type="xsd:double"&gt;20.45&lt;/D&gt;&lt;D xsi:type="xsd:double"&gt;18.27&lt;/D&gt;&lt;D xsi:type="xsd:double"&gt;18.3&lt;/D&gt;&lt;D xsi:type="xsd:double"&gt;19.43&lt;/D&gt;&lt;D xsi:type="xsd:double"&gt;19.37&lt;/D&gt;&lt;D xsi:type="xsd:double"&gt;19.64&lt;/D&gt;&lt;D xsi:type="xsd:double"&gt;20.37&lt;/D&gt;&lt;D xsi:type="xsd:double"&gt;21.4&lt;/D&gt;&lt;D xsi:type="xsd:double"&gt;22.95&lt;/D&gt;&lt;D xsi:type="xsd:double"&gt;22.72&lt;/D&gt;&lt;D xsi:type="xsd:double"&gt;23.8&lt;/D&gt;&lt;D xsi:type="xsd:double"&gt;25.24&lt;/D&gt;&lt;/FQL&gt;&lt;FQL&gt;&lt;Q&gt;005880-KR^P_PRICE(1/4/2019,NOW,W)&lt;/Q&gt;&lt;R&gt;373&lt;/R&gt;&lt;C&gt;1&lt;/C&gt;&lt;D xsi:type="xsd:double"&gt;2022.5522&lt;/D&gt;&lt;D xsi:type="xsd:double"&gt;2177.7715&lt;/D&gt;&lt;D xsi:type="xsd:double"&gt;2173.0679&lt;/D&gt;&lt;D xsi:type="xsd:double"&gt;2253.029&lt;/D&gt;&lt;D xsi:type="xsd:double"&gt;2248.3254&lt;/D&gt;&lt;D xsi:type="xsd:double"&gt;2215.4004&lt;/D&gt;&lt;D xsi:type="xsd:double"&gt;2173.0679&lt;/D&gt;&lt;D xsi:type="xsd:double"&gt;2281.2507&lt;/D&gt;&lt;D xsi:type="xsd:double"&gt;2158.957&lt;/D&gt;&lt;D xsi:type="xsd:double"&gt;2055.4775&lt;/D&gt;&lt;D xsi:type="xsd:double"&gt;2102.5137&lt;/D&gt;&lt;D xsi:type="xsd:double"&gt;2102.5137&lt;/D&gt;&lt;D xsi:type="xsd:double"&gt;1989.627&lt;/D&gt;&lt;D xsi:type="xsd:double"&gt;2088.4028&lt;/D&gt;&lt;D xsi:type="xsd:double"&gt;2097.81&lt;/D&gt;&lt;D xsi:type="xsd:double"&gt;2253.029&lt;/D&gt;&lt;D xsi:type="xsd:double"&gt;2234.2148&lt;/D&gt;&lt;D xsi:type="xsd:double"&gt;2267.14&lt;/D&gt;&lt;D xsi:type="xsd:double"&gt;2177.7715&lt;/D&gt;&lt;D xsi:type="xsd:double"&gt;2234.2148&lt;/D&gt;&lt;D xsi:type="xsd:double"&gt;2121.3281&lt;/D&gt;&lt;D xsi:type="xsd:double"&gt;2262.4363&lt;/D&gt;&lt;D xsi:type="xsd:double"&gt;2257.7327&lt;/D&gt;&lt;D xsi:type="xsd:double"&gt;2380.0266&lt;/D&gt;&lt;D xsi:type="xsd:double"&gt;2384.7302&lt;/D&gt;&lt;D xsi:type="xsd:double"&gt;2535.2458&lt;/D&gt;&lt;D xsi:type="xsd:double"&gt;2676.354&lt;/D&gt;&lt;D xsi:type="xsd:double"&gt;2605.7998&lt;/D&gt;&lt;D xsi:type="xsd:double"&gt;2568.1711&lt;/D&gt;&lt;D xsi:type="xsd:double"&gt;2431.7664&lt;/D&gt;&lt;D xsi:type="xsd:double"&gt;2304.7688&lt;/D&gt;&lt;D xsi:type="xsd:double"&gt;2168.3643&lt;/D&gt;&lt;D xsi:type="xsd:double"&gt;2102.5137&lt;/D&gt;&lt;D xsi:type="xsd:double"&gt;2078.9956&lt;/D&gt;&lt;D xsi:type="xsd:double"&gt;2187.1787&lt;/D&gt;&lt;D xsi:type="xsd:double"&gt;2276.547&lt;/D&gt;&lt;D xsi:type="xsd:double"&gt;2253.029&lt;/D&gt;&lt;D xsi:type="xsd:double"&gt;2182.475&lt;/D&gt;&lt;D xsi:type="xsd:double"&gt;2064.8848&lt;/D&gt;&lt;D xsi:type="xsd:double"&gt;2036.6631&lt;/D&gt;&lt;D xsi:type="xsd:double"&gt;2064.8848&lt;/D&gt;&lt;D xsi:type="xsd:double"&gt;2130.7354&lt;/D&gt;&lt;D xsi:type="xsd:double"&gt;2116.6245&lt;/D&gt;&lt;D xsi:type="xsd:double"&gt;2050.774&lt;/D&gt;&lt;D xsi:type="xsd:double"&gt;2097.81&lt;/D&gt;&lt;D xsi:type="xsd:double"&gt;2163.6606&lt;/D&gt;&lt;D xsi:type="xsd:double"&gt;2060.1812&lt;/D&gt;&lt;D xsi:type="xsd:double"&gt;2055.4775&lt;/D&gt;&lt;D xsi:type="xsd:double"&gt;2041.3667&lt;/D&gt;&lt;D xsi:type="xsd:double"&gt;2088.4028&lt;/D&gt;&lt;D xsi:type="xsd:double"&gt;2187.1787&lt;/D&gt;&lt;D xsi:type="xsd:double"&gt;2191.8823&lt;/D&gt;&lt;D xsi:type="xsd:double"&gt;2135.439&lt;/D&gt;&lt;D xsi:type="xsd:double"&gt;2036.6631&lt;/D&gt;&lt;D xsi:type="xsd:double"&gt;2078.9956&lt;/D&gt;&lt;D xsi:type="xsd:double"&gt;2031.9595&lt;/D&gt;&lt;D xsi:type="xsd:double"&gt;1937.8873&lt;/D&gt;&lt;D xsi:type="xsd:double"&gt;2008.4414&lt;/D&gt;&lt;D xsi:type="xsd:double"&gt;1895.5548&lt;/D&gt;&lt;D xsi:type="xsd:double"&gt;1735.6321&lt;/D&gt;&lt;D xsi:type="xsd:double"&gt;1589.8202&lt;/D&gt;&lt;D xsi:type="xsd:double"&gt;1594.5238&lt;/D&gt;&lt;D xsi:type="xsd:double"&gt;1171.1989&lt;/D&gt;&lt;D xsi:type="xsd:double"&gt;1204.1241&lt;/D&gt;&lt;D xsi:type="xsd:double"&gt;1175.9025&lt;/D&gt;&lt;D xsi:type="xsd:double"&gt;1298.1963&lt;/D&gt;&lt;D xsi:type="xsd:double"&gt;1702.7068&lt;/D&gt;&lt;D xsi:type="xsd:double"&gt;1721.5212&lt;/D&gt;&lt;D xsi:type="xsd:double"&gt;1726.2249&lt;/D&gt;&lt;D xsi:type="xsd:double"&gt;1707.4104&lt;/D&gt;&lt;D xsi:type="xsd:double"&gt;1707.4104&lt;/D&gt;&lt;D xsi:type="xsd:double"&gt;1669.7815&lt;/D&gt;&lt;D xsi:type="xsd:double"&gt;1688.596&lt;/D&gt;&lt;D xsi:type="xsd:double"&gt;1627.4491&lt;/D&gt;&lt;D xsi:type="xsd:double"&gt;1740.3357&lt;/D&gt;&lt;D xsi:type="xsd:double"&gt;1665.0779&lt;/D&gt;&lt;D xsi:type="xsd:double"&gt;1740.3357&lt;/D&gt;&lt;D xsi:type="xsd:double"&gt;1650.967&lt;/D&gt;&lt;D xsi:type="xsd:double"&gt;1627.4491&lt;/D&gt;&lt;D xsi:type="xsd:double"&gt;1571.0057&lt;/D&gt;&lt;D xsi:type="xsd:double"&gt;1571.0057&lt;/D&gt;&lt;D xsi:type="xsd:double"&gt;1514.5624&lt;/D&gt;&lt;D xsi:type="xsd:double"&gt;1528.6732&lt;/D&gt;&lt;D xsi:type="xsd:double"&gt;1523.9696&lt;/D&gt;&lt;D xsi:type="xsd:double"&gt;1594.5238&lt;/D&gt;&lt;D xsi:type="xsd:double"&gt;1472.2299&lt;/D&gt;&lt;D xsi:type="xsd:double"&gt;1476.9335&lt;/D&gt;&lt;D xsi:type="xsd:double"&gt;1495.7479&lt;/D&gt;&lt;D xsi:type="xsd:double"&gt;1561.5985&lt;/D&gt;&lt;D xsi:type="xsd:double"&gt;1608.6346&lt;/D&gt;&lt;D xsi:type="xsd:double"&gt;1542.784&lt;/D&gt;&lt;D xsi:type="xsd:double"&gt;1589.8202&lt;/D&gt;&lt;D xsi:type="xsd:double"&gt;1702.7068&lt;/D&gt;&lt;D xsi:type="xsd:double"&gt;1542.784&lt;/D&gt;&lt;D xsi:type="xsd:double"&gt;1547.4877&lt;/D&gt;&lt;D xsi:type="xsd:double"&gt;1495.7479&lt;/D&gt;&lt;D xsi:type="xsd:double"&gt;1533.3768&lt;/D&gt;&lt;D xsi:type="xsd:double"&gt;2685.7612&lt;/D&gt;&lt;D xsi:type="xsd:double"&gt;2652.836&lt;/D&gt;&lt;D xsi:type="xsd:double"&gt;2873.9058&lt;/D&gt;&lt;D xsi:type="xsd:double"&gt;2991.4958&lt;/D&gt;&lt;D xsi:type="xsd:double"&gt;2972.6814&lt;/D&gt;&lt;D xsi:type="xsd:double"&gt;2925.6453&lt;/D&gt;&lt;D xsi:type="xsd:double"&gt;2775.13&lt;/D&gt;&lt;D xsi:type="xsd:double"&gt;2859.795&lt;/D&gt;&lt;D xsi:type="xsd:double"&gt;3344.2666&lt;/D&gt;&lt;D xsi:type="xsd:double"&gt;3118.4934&lt;/D&gt;&lt;D xsi:type="xsd:double"&gt;3189.0476&lt;/D&gt;&lt;D xsi:type="xsd:double"&gt;3184.344&lt;/D&gt;&lt;D xsi:type="xsd:double"&gt;3066.7537&lt;/D&gt;&lt;D xsi:type="xsd:double"&gt;3057.3464&lt;/D&gt;&lt;D xsi:type="xsd:double"&gt;3160.826&lt;/D&gt;&lt;D xsi:type="xsd:double"&gt;3099.679&lt;/D&gt;&lt;D xsi:type="xsd:double"&gt;3236.0837&lt;/D&gt;&lt;D xsi:type="xsd:double"&gt;3480.6714&lt;/D&gt;&lt;D xsi:type="xsd:double"&gt;3259.6018&lt;/D&gt;&lt;D xsi:type="xsd:double"&gt;3527.7075&lt;/D&gt;&lt;D xsi:type="xsd:double"&gt;2836.2769&lt;/D&gt;&lt;D xsi:type="xsd:double"&gt;2765.7227&lt;/D&gt;&lt;D xsi:type="xsd:double"&gt;2756.3154&lt;/D&gt;&lt;D xsi:type="xsd:double"&gt;2925.6453&lt;/D&gt;&lt;D xsi:type="xsd:double"&gt;3535&lt;/D&gt;&lt;D xsi:type="xsd:double"&gt;3560&lt;/D&gt;&lt;D xsi:type="xsd:double"&gt;3385&lt;/D&gt;&lt;D xsi:type="xsd:double"&gt;3430&lt;/D&gt;&lt;D xsi:type="xsd:double"&gt;3385&lt;/D&gt;&lt;D xsi:type="xsd:double"&gt;3280&lt;/D&gt;&lt;D xsi:type="xsd:double"&gt;3440&lt;/D&gt;&lt;D xsi:type="xsd:double"&gt;3565&lt;/D&gt;&lt;D xsi:type="xsd:double"&gt;3450&lt;/D&gt;&lt;D xsi:type="xsd:double"&gt;3550&lt;/D&gt;&lt;D xsi:type="xsd:double"&gt;3415&lt;/D&gt;&lt;D xsi:type="xsd:double"&gt;3375&lt;/D&gt;&lt;D xsi:type="xsd:double"&gt;3310&lt;/D&gt;&lt;D xsi:type="xsd:double"&gt;3095&lt;/D&gt;&lt;D xsi:type="xsd:double"&gt;3080&lt;/D&gt;&lt;D xsi:type="xsd:double"&gt;2885&lt;/D&gt;&lt;D xsi:type="xsd:double"&gt;2705&lt;/D&gt;&lt;D xsi:type="xsd:double"&gt;2920&lt;/D&gt;&lt;D xsi:type="xsd:double"&gt;2955&lt;/D&gt;&lt;D xsi:type="xsd:double"&gt;2850&lt;/D&gt;&lt;D xsi:type="xsd:double"&gt;2950&lt;/D&gt;&lt;D xsi:type="xsd:double"&gt;2910&lt;/D&gt;&lt;D xsi:type="xsd:double"&gt;3000&lt;/D&gt;&lt;D xsi:type="xsd:double"&gt;2730&lt;/D&gt;&lt;D xsi:type="xsd:double"&gt;2960&lt;/D&gt;&lt;D xsi:type="xsd:double"&gt;2825&lt;/D&gt;&lt;D xsi:type="xsd:double"&gt;2820&lt;/D&gt;&lt;D xsi:type="xsd:double"&gt;2715&lt;/D&gt;&lt;D xsi:type="xsd:double"&gt;2720&lt;/D&gt;&lt;D xsi:type="xsd:double"&gt;2600&lt;/D&gt;&lt;D xsi:type="xsd:double"&gt;2480&lt;/D&gt;&lt;D xsi:type="xsd:double"&gt;2490&lt;/D&gt;&lt;D xsi:type="xsd:double"&gt;2590&lt;/D&gt;&lt;D xsi:type="xsd:double"&gt;2630&lt;/D&gt;&lt;D xsi:type="xsd:double"&gt;2560&lt;/D&gt;&lt;D xsi:type="xsd:double"&gt;2640&lt;/D&gt;&lt;D xsi:type="xsd:double"&gt;2540&lt;/D&gt;&lt;D xsi:type="xsd:double"&gt;2465&lt;/D&gt;&lt;D xsi:type="xsd:double"&gt;2340&lt;/D&gt;&lt;D xsi:type="xsd:double"&gt;2140&lt;/D&gt;&lt;D xsi:type="xsd:double"&gt;2305&lt;/D&gt;&lt;D xsi:type="xsd:double"&gt;2550&lt;/D&gt;&lt;D xsi:type="xsd:double"&gt;2620&lt;/D&gt;&lt;D xsi:type="xsd:double"&gt;2750&lt;/D&gt;&lt;D xsi:type="xsd:double"&gt;3090&lt;/D&gt;&lt;D xsi:type="xsd:double"&gt;3090&lt;/D&gt;&lt;D xsi:type="xsd:double"&gt;2830&lt;/D&gt;&lt;D xsi:type="xsd:double"&gt;2745&lt;/D&gt;&lt;D xsi:type="xsd:double"&gt;2745&lt;/D&gt;&lt;D xsi:type="xsd:double"&gt;2635&lt;/D&gt;&lt;D xsi:type="xsd:double"&gt;2755&lt;/D&gt;&lt;D xsi:type="xsd:double"&gt;2730&lt;/D&gt;&lt;D xsi:type="xsd:double"&gt;2675&lt;/D&gt;&lt;D xsi:type="xsd:double"&gt;2785&lt;/D&gt;&lt;D xsi:type="xsd:double"&gt;2940&lt;/D&gt;&lt;D xsi:type="xsd:double"&gt;2965&lt;/D&gt;&lt;D xsi:type="xsd:double"&gt;3205&lt;/D&gt;&lt;D xsi:type="xsd:double"&gt;3115&lt;/D&gt;&lt;D xsi:type="xsd:double"&gt;3040&lt;/D&gt;&lt;D xsi:type="xsd:double"&gt;2695&lt;/D&gt;&lt;D xsi:type="xsd:double"&gt;2380&lt;/D&gt;&lt;D xsi:type="xsd:double"&gt;2520&lt;/D&gt;&lt;D xsi:type="xsd:double"&gt;2440&lt;/D&gt;&lt;D xsi:type="xsd:double"&gt;2255&lt;/D&gt;&lt;D xsi:type="xsd:double"&gt;2355&lt;/D&gt;&lt;D xsi:type="xsd:double"&gt;2385&lt;/D&gt;&lt;D xsi:type="xsd:double"&gt;2465&lt;/D&gt;&lt;D xsi:type="xsd:double"&gt;2540&lt;/D&gt;&lt;D xsi:type="xsd:double"&gt;2450&lt;/D&gt;&lt;D xsi:type="xsd:double"&gt;2365&lt;/D&gt;&lt;D xsi:type="xsd:double"&gt;2205&lt;/D&gt;&lt;D xsi:type="xsd:double"&gt;2080&lt;/D&gt;&lt;D xsi:type="xsd:double"&gt;2255&lt;/D&gt;&lt;D xsi:type="xsd:double"&gt;2270&lt;/D&gt;&lt;D xsi:type="xsd:double"&gt;1945&lt;/D&gt;&lt;D xsi:type="xsd:double"&gt;2120&lt;/D&gt;&lt;D xsi:type="xsd:double"&gt;2005&lt;/D&gt;&lt;D xsi:type="xsd:double"&gt;1995&lt;/D&gt;&lt;D xsi:type="xsd:double"&gt;1955&lt;/D&gt;&lt;D xsi:type="xsd:double"&gt;1980&lt;/D&gt;&lt;D xsi:type="xsd:double"&gt;2090&lt;/D&gt;&lt;D xsi:type="xsd:double"&gt;2170&lt;/D&gt;&lt;D xsi:type="xsd:double"&gt;2130&lt;/D&gt;&lt;D xsi:type="xsd:double"&gt;2170&lt;/D&gt;&lt;D xsi:type="xsd:double"&gt;2190&lt;/D&gt;&lt;D xsi:type="xsd:double"&gt;2130&lt;/D&gt;&lt;D xsi:type="xsd:double"&gt;2170&lt;/D&gt;&lt;D xsi:type="xsd:double"&gt;2175&lt;/D&gt;&lt;D xsi:type="xsd:double"&gt;2060&lt;/D&gt;&lt;D xsi:type="xsd:double"&gt;2180&lt;/D&gt;&lt;D xsi:type="xsd:double"&gt;2170&lt;/D&gt;&lt;D xsi:type="xsd:double"&gt;2280&lt;/D&gt;&lt;D xsi:type="xsd:double"&gt;2305&lt;/D&gt;&lt;D xsi:type="xsd:double"&gt;2290&lt;/D&gt;&lt;D xsi:type="xsd:double"&gt;2230&lt;/D&gt;&lt;D xsi:type="xsd:double"&gt;2445&lt;/D&gt;&lt;D xsi:type="xsd:double"&gt;2450&lt;/D&gt;&lt;D xsi:type="xsd:double"&gt;2270&lt;/D&gt;&lt;D xsi:type="xsd:double"&gt;2205&lt;/D&gt;&lt;D xsi:type="xsd:double"&gt;2225&lt;/D&gt;&lt;D xsi:type="xsd:double"&gt;2180&lt;/D&gt;&lt;D xsi:type="xsd:double"&gt;2090&lt;/D&gt;&lt;D xsi:type="xsd:double"&gt;2160&lt;/D&gt;&lt;D xsi:type="xsd:double"&gt;2110&lt;/D&gt;&lt;D xsi:type="xsd:double"&gt;2060&lt;/D&gt;&lt;D xsi:type="xsd:double"&gt;2005&lt;/D&gt;&lt;D xsi:type="xsd:double"&gt;2010&lt;/D&gt;&lt;D xsi:type="xsd:double"&gt;1999&lt;/D&gt;&lt;D xsi:type="xsd:double"&gt;1911&lt;/D&gt;&lt;D xsi:type="xsd:double"&gt;1853&lt;/D&gt;&lt;D xsi:type="xsd:double"&gt;1896&lt;/D&gt;&lt;D xsi:type="xsd:double"&gt;1977&lt;/D&gt;&lt;D xsi:type="xsd:double"&gt;1996&lt;/D&gt;&lt;D xsi:type="xsd:double"&gt;2025&lt;/D&gt;&lt;D xsi:type="xsd:double"&gt;1960&lt;/D&gt;&lt;D xsi:type="xsd:double"&gt;2000&lt;/D&gt;&lt;D xsi:type="xsd:double"&gt;1916&lt;/D&gt;&lt;D xsi:type="xsd:double"&gt;1873&lt;/D&gt;&lt;D xsi:type="xsd:double"&gt;1950&lt;/D&gt;&lt;D xsi:type="xsd:double"&gt;1911&lt;/D&gt;&lt;D xsi:type="xsd:double"&gt;1836&lt;/D&gt;&lt;D xsi:type="xsd:double"&gt;1782&lt;/D&gt;&lt;D xsi:type="xsd:double"&gt;1785&lt;/D&gt;&lt;D xsi:type="xsd:double"&gt;1762&lt;/D&gt;&lt;D xsi:type="xsd:double"&gt;1850&lt;/D&gt;&lt;D xsi:type="xsd:double"&gt;1872&lt;/D&gt;&lt;D xsi:type="xsd:double"&gt;1779&lt;/D&gt;&lt;D xsi:type="xsd:double"&gt;1730&lt;/D&gt;&lt;D xsi:type="xsd:double"&gt;1660&lt;/D&gt;&lt;D xsi:type="xsd:double"&gt;1693&lt;/D&gt;&lt;D xsi:type="xsd:double"&gt;1655&lt;/D&gt;&lt;D xsi:type="xsd:double"&gt;1715&lt;/D&gt;&lt;D xsi:type="xsd:double"&gt;1692&lt;/D&gt;&lt;D xsi:type="xsd:double"&gt;1695&lt;/D&gt;&lt;D xsi:type="xsd:double"&gt;1730&lt;/D&gt;&lt;D xsi:type="xsd:double"&gt;2020&lt;/D&gt;&lt;D xsi:type="xsd:double"&gt;2050&lt;/D&gt;&lt;D xsi:type="xsd:double"&gt;2120&lt;/D&gt;&lt;D xsi:type="xsd:double"&gt;2130&lt;/D&gt;&lt;D xsi:type="xsd:double"&gt;2155&lt;/D&gt;&lt;D xsi:type="xsd:double"&gt;2165&lt;/D&gt;&lt;D xsi:type="xsd:double"&gt;2565&lt;/D&gt;&lt;D xsi:type="xsd:double"&gt;2495&lt;/D&gt;&lt;D xsi:type="xsd:double"&gt;2140&lt;/D&gt;&lt;D xsi:type="xsd:double"&gt;2120&lt;/D&gt;&lt;D xsi:type="xsd:double"&gt;2105&lt;/D&gt;&lt;D xsi:type="xsd:double"&gt;2130&lt;/D&gt;&lt;D xsi:type="xsd:double"&gt;2015&lt;/D&gt;&lt;D xsi:type="xsd:double"&gt;2055&lt;/D&gt;&lt;D xsi:type="xsd:double"&gt;1995&lt;/D&gt;&lt;D xsi:type="xsd:double"&gt;1969&lt;/D&gt;&lt;D xsi:type="xsd:double"&gt;1901&lt;/D&gt;&lt;D xsi:type="xsd:double"&gt;1877&lt;/D&gt;&lt;D xsi:type="xsd:double"&gt;1880&lt;/D&gt;&lt;D xsi:type="xsd:double"&gt;1881&lt;/D&gt;&lt;D xsi:type="xsd:double"&gt;1830&lt;/D&gt;&lt;D xsi:type="xsd:double"&gt;1755&lt;/D&gt;&lt;D xsi:type="xsd:double"&gt;1795&lt;/D&gt;&lt;D xsi:type="xsd:double"&gt;2200&lt;/D&gt;&lt;D xsi:type="xsd:double"&gt;2245&lt;/D&gt;&lt;D xsi:type="xsd:double"&gt;2190&lt;/D&gt;&lt;D xsi:type="xsd:double"&gt;2490&lt;/D&gt;&lt;D xsi:type="xsd:double"&gt;2410&lt;/D&gt;&lt;D xsi:type="xsd:double"&gt;2335&lt;/D&gt;&lt;D xsi:type="xsd:double"&gt;2250&lt;/D&gt;&lt;D xsi:type="xsd:double"&gt;2895&lt;/D&gt;&lt;D xsi:type="xsd:double"&gt;2510&lt;/D&gt;&lt;D xsi:type="xsd:double"&gt;2230&lt;/D&gt;&lt;D xsi:type="xsd:double"&gt;2060&lt;/D&gt;&lt;D xsi:type="xsd:double"&gt;2060&lt;/D&gt;&lt;D xsi:type="xsd:double"&gt;2140&lt;/D&gt;&lt;D xsi:type="xsd:double"&gt;2030&lt;/D&gt;&lt;D xsi:type="xsd:double"&gt;2000&lt;/D&gt;&lt;D xsi:type="xsd:double"&gt;1921&lt;/D&gt;&lt;D xsi:type="xsd:double"&gt;1955&lt;/D&gt;&lt;D xsi:type="xsd:double"&gt;1796&lt;/D&gt;&lt;D xsi:type="xsd:double"&gt;1851&lt;/D&gt;&lt;D xsi:type="xsd:double"&gt;1913&lt;/D&gt;&lt;D xsi:type="xsd:double"&gt;2105&lt;/D&gt;&lt;D xsi:type="xsd:double"&gt;1940&lt;/D&gt;&lt;D xsi:type="xsd:double"&gt;1861&lt;/D&gt;&lt;D xsi:type="xsd:double"&gt;1821&lt;/D&gt;&lt;D xsi:type="xsd:double"&gt;1767&lt;/D&gt;&lt;D xsi:type="xsd:double"&gt;1794&lt;/D&gt;&lt;D xsi:type="xsd:double"&gt;1841&lt;/D&gt;&lt;D xsi:type="xsd:double"&gt;1740&lt;/D&gt;&lt;D xsi:type="xsd:double"&gt;1775&lt;/D&gt;&lt;D xsi:type="xsd:double"&gt;1779&lt;/D&gt;&lt;D xsi:type="xsd:double"&gt;1669&lt;/D&gt;&lt;D xsi:type="xsd:double"&gt;1737&lt;/D&gt;&lt;D xsi:type="xsd:double"&gt;1687&lt;/D&gt;&lt;D xsi:type="xsd:double"&gt;1659&lt;/D&gt;&lt;D xsi:type="xsd:double"&gt;1739&lt;/D&gt;&lt;D xsi:type="xsd:double"&gt;1733&lt;/D&gt;&lt;D xsi:type="xsd:double"&gt;1748&lt;/D&gt;&lt;D xsi:type="xsd:double"&gt;1681&lt;/D&gt;&lt;D xsi:type="xsd:double"&gt;1690&lt;/D&gt;&lt;D xsi:type="xsd:double"&gt;1687&lt;/D&gt;&lt;D xsi:type="xsd:double"&gt;1717&lt;/D&gt;&lt;D xsi:type="xsd:double"&gt;1792&lt;/D&gt;&lt;D xsi:type="xsd:double"&gt;1686&lt;/D&gt;&lt;D xsi:type="xsd:double"&gt;1798&lt;/D&gt;&lt;D xsi:type="xsd:double"&gt;1716&lt;/D&gt;&lt;D xsi:type="xsd:double"&gt;1668&lt;/D&gt;&lt;D xsi:type="xsd:double"&gt;1651&lt;/D&gt;&lt;D xsi:type="xsd:double"&gt;1545&lt;/D&gt;&lt;D xsi:type="xsd:double"&gt;1505&lt;/D&gt;&lt;D xsi:type="xsd:double"&gt;1560&lt;/D&gt;&lt;D xsi:type="xsd:double"&gt;1558&lt;/D&gt;&lt;D xsi:type="xsd:double"&gt;1517&lt;/D&gt;&lt;D xsi:type="xsd:double"&gt;1496&lt;/D&gt;&lt;D xsi:type="xsd:double"&gt;1572&lt;/D&gt;&lt;D xsi:type="xsd:double"&gt;1526&lt;/D&gt;&lt;D xsi:type="xsd:double"&gt;1555&lt;/D&gt;&lt;D xsi:type="xsd:double"&gt;1577&lt;/D&gt;&lt;D xsi:type="xsd:double"&gt;1796&lt;/D&gt;&lt;D xsi:type="xsd:double"&gt;1671&lt;/D&gt;&lt;D xsi:type="xsd:double"&gt;1605&lt;/D&gt;&lt;D xsi:type="xsd:double"&gt;1703&lt;/D&gt;&lt;D xsi:type="xsd:double"&gt;1890&lt;/D&gt;&lt;D xsi:type="xsd:double"&gt;1884&lt;/D&gt;&lt;D xsi:type="xsd:double"&gt;1849&lt;/D&gt;&lt;D xsi:type="xsd:double"&gt;1758&lt;/D&gt;&lt;D xsi:type="xsd:double"&gt;1799&lt;/D&gt;&lt;D xsi:type="xsd:double"&gt;1760&lt;/D&gt;&lt;D xsi:type="xsd:double"&gt;1715&lt;/D&gt;&lt;D xsi:type="xsd:double"&gt;1714&lt;/D&gt;&lt;D xsi:type="xsd:double"&gt;1729&lt;/D&gt;&lt;D xsi:type="xsd:double"&gt;1844&lt;/D&gt;&lt;D xsi:type="xsd:double"&gt;1797&lt;/D&gt;&lt;D xsi:type="xsd:double"&gt;1715&lt;/D&gt;&lt;D xsi:type="xsd:double"&gt;1707&lt;/D&gt;&lt;D xsi:type="xsd:double"&gt;1663&lt;/D&gt;&lt;D xsi:type="xsd:double"&gt;1669&lt;/D&gt;&lt;D xsi:type="xsd:double"&gt;1798&lt;/D&gt;&lt;D xsi:type="xsd:double"&gt;1878&lt;/D&gt;&lt;D xsi:type="xsd:double"&gt;1785&lt;/D&gt;&lt;D xsi:type="xsd:double"&gt;1769&lt;/D&gt;&lt;D xsi:type="xsd:double"&gt;1728&lt;/D&gt;&lt;D xsi:type="xsd:double"&gt;1714&lt;/D&gt;&lt;D xsi:type="xsd:double"&gt;1953&lt;/D&gt;&lt;D xsi:type="xsd:double"&gt;1897&lt;/D&gt;&lt;D xsi:type="xsd:double"&gt;1818&lt;/D&gt;&lt;D xsi:type="xsd:double"&gt;1760&lt;/D&gt;&lt;D xsi:type="xsd:double"&gt;1747&lt;/D&gt;&lt;D xsi:type="xsd:double"&gt;1760&lt;/D&gt;&lt;D xsi:type="xsd:double"&gt;1824&lt;/D&gt;&lt;D xsi:type="xsd:double"&gt;1876&lt;/D&gt;&lt;D xsi:type="xsd:double"&gt;1953&lt;/D&gt;&lt;D xsi:type="xsd:double"&gt;2045&lt;/D&gt;&lt;D xsi:type="xsd:double"&gt;2165&lt;/D&gt;&lt;D xsi:type="xsd:double"&gt;2305&lt;/D&gt;&lt;/FQL&gt;&lt;FQL&gt;&lt;Q&gt;028670-KR^P_PRICE(1/4/2019,NOW,W)&lt;/Q&gt;&lt;R&gt;373&lt;/R&gt;&lt;C&gt;1&lt;/C&gt;&lt;D xsi:type="xsd:double"&gt;4465&lt;/D&gt;&lt;D xsi:type="xsd:double"&gt;4620&lt;/D&gt;&lt;D xsi:type="xsd:double"&gt;4665&lt;/D&gt;&lt;D xsi:type="xsd:double"&gt;4710&lt;/D&gt;&lt;D xsi:type="xsd:double"&gt;4480&lt;/D&gt;&lt;D xsi:type="xsd:double"&gt;4305&lt;/D&gt;&lt;D xsi:type="xsd:double"&gt;4280&lt;/D&gt;&lt;D xsi:type="xsd:double"&gt;4335&lt;/D&gt;&lt;D xsi:type="xsd:double"&gt;4325&lt;/D&gt;&lt;D xsi:type="xsd:double"&gt;4155&lt;/D&gt;&lt;D xsi:type="xsd:double"&gt;4245&lt;/D&gt;&lt;D xsi:type="xsd:double"&gt;4210&lt;/D&gt;&lt;D xsi:type="xsd:double"&gt;4110&lt;/D&gt;&lt;D xsi:type="xsd:double"&gt;4295&lt;/D&gt;&lt;D xsi:type="xsd:double"&gt;4435&lt;/D&gt;&lt;D xsi:type="xsd:double"&gt;4685&lt;/D&gt;&lt;D xsi:type="xsd:double"&gt;4695&lt;/D&gt;&lt;D xsi:type="xsd:double"&gt;4820&lt;/D&gt;&lt;D xsi:type="xsd:double"&gt;4450&lt;/D&gt;&lt;D xsi:type="xsd:double"&gt;4410&lt;/D&gt;&lt;D xsi:type="xsd:double"&gt;4275&lt;/D&gt;&lt;D xsi:type="xsd:double"&gt;4335&lt;/D&gt;&lt;D xsi:type="xsd:double"&gt;4320&lt;/D&gt;&lt;D xsi:type="xsd:double"&gt;4425&lt;/D&gt;&lt;D xsi:type="xsd:double"&gt;4335&lt;/D&gt;&lt;D xsi:type="xsd:double"&gt;4640&lt;/D&gt;&lt;D xsi:type="xsd:double"&gt;4930&lt;/D&gt;&lt;D xsi:type="xsd:double"&gt;4810&lt;/D&gt;&lt;D xsi:type="xsd:double"&gt;5010&lt;/D&gt;&lt;D xsi:type="xsd:double"&gt;4725&lt;/D&gt;&lt;D xsi:type="xsd:double"&gt;4650&lt;/D&gt;&lt;D xsi:type="xsd:double"&gt;4220&lt;/D&gt;&lt;D xsi:type="xsd:double"&gt;4455&lt;/D&gt;&lt;D xsi:type="xsd:double"&gt;4500&lt;/D&gt;&lt;D xsi:type="xsd:double"&gt;4860&lt;/D&gt;&lt;D xsi:type="xsd:double"&gt;4840&lt;/D&gt;&lt;D xsi:type="xsd:double"&gt;4850&lt;/D&gt;&lt;D xsi:type="xsd:double"&gt;4660&lt;/D&gt;&lt;D xsi:type="xsd:double"&gt;4540&lt;/D&gt;&lt;D xsi:type="xsd:double"&gt;4385&lt;/D&gt;&lt;D xsi:type="xsd:double"&gt;4400&lt;/D&gt;&lt;D xsi:type="xsd:double"&gt;4605&lt;/D&gt;&lt;D xsi:type="xsd:double"&gt;4555&lt;/D&gt;&lt;D xsi:type="xsd:double"&gt;4415&lt;/D&gt;&lt;D xsi:type="xsd:double"&gt;4595&lt;/D&gt;&lt;D xsi:type="xsd:double"&gt;4440&lt;/D&gt;&lt;D xsi:type="xsd:double"&gt;4260&lt;/D&gt;&lt;D xsi:type="xsd:double"&gt;4200&lt;/D&gt;&lt;D xsi:type="xsd:double"&gt;4295&lt;/D&gt;&lt;D xsi:type="xsd:double"&gt;4450&lt;/D&gt;&lt;D xsi:type="xsd:double"&gt;4645&lt;/D&gt;&lt;D xsi:type="xsd:double"&gt;4550&lt;/D&gt;&lt;D xsi:type="xsd:double"&gt;4500&lt;/D&gt;&lt;D xsi:type="xsd:double"&gt;4345&lt;/D&gt;&lt;D xsi:type="xsd:double"&gt;4310&lt;/D&gt;&lt;D xsi:type="xsd:double"&gt;4275&lt;/D&gt;&lt;D xsi:type="xsd:double"&gt;3980&lt;/D&gt;&lt;D xsi:type="xsd:double"&gt;4065&lt;/D&gt;&lt;D xsi:type="xsd:double"&gt;4040&lt;/D&gt;&lt;D xsi:type="xsd:double"&gt;3825&lt;/D&gt;&lt;D xsi:type="xsd:double"&gt;3735&lt;/D&gt;&lt;D xsi:type="xsd:double"&gt;3865&lt;/D&gt;&lt;D xsi:type="xsd:double"&gt;3200&lt;/D&gt;&lt;D xsi:type="xsd:double"&gt;2680&lt;/D&gt;&lt;D xsi:type="xsd:double"&gt;2830&lt;/D&gt;&lt;D xsi:type="xsd:double"&gt;2960&lt;/D&gt;&lt;D xsi:type="xsd:double"&gt;3115&lt;/D&gt;&lt;D xsi:type="xsd:double"&gt;3260&lt;/D&gt;&lt;D xsi:type="xsd:double"&gt;3370&lt;/D&gt;&lt;D xsi:type="xsd:double"&gt;3445&lt;/D&gt;&lt;D xsi:type="xsd:double"&gt;3330&lt;/D&gt;&lt;D xsi:type="xsd:double"&gt;3340&lt;/D&gt;&lt;D xsi:type="xsd:double"&gt;3420&lt;/D&gt;&lt;D xsi:type="xsd:double"&gt;3575&lt;/D&gt;&lt;D xsi:type="xsd:double"&gt;3955&lt;/D&gt;&lt;D xsi:type="xsd:double"&gt;3625&lt;/D&gt;&lt;D xsi:type="xsd:double"&gt;3855&lt;/D&gt;&lt;D xsi:type="xsd:double"&gt;4000&lt;/D&gt;&lt;D xsi:type="xsd:double"&gt;3860&lt;/D&gt;&lt;D xsi:type="xsd:double"&gt;3715&lt;/D&gt;&lt;D xsi:type="xsd:double"&gt;3705&lt;/D&gt;&lt;D xsi:type="xsd:double"&gt;3580&lt;/D&gt;&lt;D xsi:type="xsd:double"&gt;3515&lt;/D&gt;&lt;D xsi:type="xsd:double"&gt;3585&lt;/D&gt;&lt;D xsi:type="xsd:double"&gt;3810&lt;/D&gt;&lt;D xsi:type="xsd:double"&gt;3485&lt;/D&gt;&lt;D xsi:type="xsd:double"&gt;3465&lt;/D&gt;&lt;D xsi:type="xsd:double"&gt;3375&lt;/D&gt;&lt;D xsi:type="xsd:double"&gt;3385&lt;/D&gt;&lt;D xsi:type="xsd:double"&gt;3480&lt;/D&gt;&lt;D xsi:type="xsd:double"&gt;3340&lt;/D&gt;&lt;D xsi:type="xsd:double"&gt;3420&lt;/D&gt;&lt;D xsi:type="xsd:double"&gt;3930&lt;/D&gt;&lt;D xsi:type="xsd:double"&gt;3600&lt;/D&gt;&lt;D xsi:type="xsd:double"&gt;3740&lt;/D&gt;&lt;D xsi:type="xsd:double"&gt;3585&lt;/D&gt;&lt;D xsi:type="xsd:double"&gt;3485&lt;/D&gt;&lt;D xsi:type="xsd:double"&gt;4225&lt;/D&gt;&lt;D xsi:type="xsd:double"&gt;4050&lt;/D&gt;&lt;D xsi:type="xsd:double"&gt;4110&lt;/D&gt;&lt;D xsi:type="xsd:double"&gt;4185&lt;/D&gt;&lt;D xsi:type="xsd:double"&gt;4200&lt;/D&gt;&lt;D xsi:type="xsd:double"&gt;4480&lt;/D&gt;&lt;D xsi:type="xsd:double"&gt;4720&lt;/D&gt;&lt;D xsi:type="xsd:double"&gt;5020&lt;/D&gt;&lt;D xsi:type="xsd:double"&gt;4995&lt;/D&gt;&lt;D xsi:type="xsd:double"&gt;4755&lt;/D&gt;&lt;D xsi:type="xsd:double"&gt;5120&lt;/D&gt;&lt;D xsi:type="xsd:double"&gt;4550&lt;/D&gt;&lt;D xsi:type="xsd:double"&gt;4570&lt;/D&gt;&lt;D xsi:type="xsd:double"&gt;4835&lt;/D&gt;&lt;D xsi:type="xsd:double"&gt;5310&lt;/D&gt;&lt;D xsi:type="xsd:double"&gt;5720&lt;/D&gt;&lt;D xsi:type="xsd:double"&gt;6430&lt;/D&gt;&lt;D xsi:type="xsd:double"&gt;6390&lt;/D&gt;&lt;D xsi:type="xsd:double"&gt;6310&lt;/D&gt;&lt;D xsi:type="xsd:double"&gt;6830&lt;/D&gt;&lt;D xsi:type="xsd:double"&gt;6090&lt;/D&gt;&lt;D xsi:type="xsd:double"&gt;6040&lt;/D&gt;&lt;D xsi:type="xsd:double"&gt;6340&lt;/D&gt;&lt;D xsi:type="xsd:double"&gt;7000&lt;/D&gt;&lt;D xsi:type="xsd:double"&gt;7340&lt;/D&gt;&lt;D xsi:type="xsd:double"&gt;7440&lt;/D&gt;&lt;D xsi:type="xsd:double"&gt;6870&lt;/D&gt;&lt;D xsi:type="xsd:double"&gt;6700&lt;/D&gt;&lt;D xsi:type="xsd:double"&gt;6910&lt;/D&gt;&lt;D xsi:type="xsd:double"&gt;6630&lt;/D&gt;&lt;D xsi:type="xsd:double"&gt;6900&lt;/D&gt;&lt;D xsi:type="xsd:double"&gt;7390&lt;/D&gt;&lt;D xsi:type="xsd:double"&gt;8270&lt;/D&gt;&lt;D xsi:type="xsd:double"&gt;8340&lt;/D&gt;&lt;D xsi:type="xsd:double"&gt;7940&lt;/D&gt;&lt;D xsi:type="xsd:double"&gt;7540&lt;/D&gt;&lt;D xsi:type="xsd:double"&gt;7580&lt;/D&gt;&lt;D xsi:type="xsd:double"&gt;7550&lt;/D&gt;&lt;D xsi:type="xsd:double"&gt;7540&lt;/D&gt;&lt;D xsi:type="xsd:double"&gt;7410&lt;/D&gt;&lt;D xsi:type="xsd:double"&gt;7630&lt;/D&gt;&lt;D xsi:type="xsd:double"&gt;8100&lt;/D&gt;&lt;D xsi:type="xsd:double"&gt;7800&lt;/D&gt;&lt;D xsi:type="xsd:double"&gt;7230&lt;/D&gt;&lt;D xsi:type="xsd:double"&gt;7480&lt;/D&gt;&lt;D xsi:type="xsd:double"&gt;7340&lt;/D&gt;&lt;D xsi:type="xsd:double"&gt;7680&lt;/D&gt;&lt;D xsi:type="xsd:double"&gt;6690&lt;/D&gt;&lt;D xsi:type="xsd:double"&gt;6680&lt;/D&gt;&lt;D xsi:type="xsd:double"&gt;6140&lt;/D&gt;&lt;D xsi:type="xsd:double"&gt;6020&lt;/D&gt;&lt;D xsi:type="xsd:double"&gt;5760&lt;/D&gt;&lt;D xsi:type="xsd:double"&gt;5680&lt;/D&gt;&lt;D xsi:type="xsd:double"&gt;5530&lt;/D&gt;&lt;D xsi:type="xsd:double"&gt;5330&lt;/D&gt;&lt;D xsi:type="xsd:double"&gt;5590&lt;/D&gt;&lt;D xsi:type="xsd:double"&gt;5630&lt;/D&gt;&lt;D xsi:type="xsd:double"&gt;5690&lt;/D&gt;&lt;D xsi:type="xsd:double"&gt;5540&lt;/D&gt;&lt;D xsi:type="xsd:double"&gt;5410&lt;/D&gt;&lt;D xsi:type="xsd:double"&gt;5640&lt;/D&gt;&lt;D xsi:type="xsd:double"&gt;5390&lt;/D&gt;&lt;D xsi:type="xsd:double"&gt;5220&lt;/D&gt;&lt;D xsi:type="xsd:double"&gt;4915&lt;/D&gt;&lt;D xsi:type="xsd:double"&gt;5080&lt;/D&gt;&lt;D xsi:type="xsd:double"&gt;5960&lt;/D&gt;&lt;D xsi:type="xsd:double"&gt;6290&lt;/D&gt;&lt;D xsi:type="xsd:double"&gt;6330&lt;/D&gt;&lt;D xsi:type="xsd:double"&gt;7100&lt;/D&gt;&lt;D xsi:type="xsd:double"&gt;7490&lt;/D&gt;&lt;D xsi:type="xsd:double"&gt;7060&lt;/D&gt;&lt;D xsi:type="xsd:double"&gt;6780&lt;/D&gt;&lt;D xsi:type="xsd:double"&gt;6710&lt;/D&gt;&lt;D xsi:type="xsd:double"&gt;6400&lt;/D&gt;&lt;D xsi:type="xsd:double"&gt;6610&lt;/D&gt;&lt;D xsi:type="xsd:double"&gt;6650&lt;/D&gt;&lt;D xsi:type="xsd:double"&gt;6660&lt;/D&gt;&lt;D xsi:type="xsd:double"&gt;7110&lt;/D&gt;&lt;D xsi:type="xsd:double"&gt;7860&lt;/D&gt;&lt;D xsi:type="xsd:double"&gt;7930&lt;/D&gt;&lt;D xsi:type="xsd:double"&gt;8080&lt;/D&gt;&lt;D xsi:type="xsd:double"&gt;7620&lt;/D&gt;&lt;D xsi:type="xsd:double"&gt;6980&lt;/D&gt;&lt;D xsi:type="xsd:double"&gt;6650&lt;/D&gt;&lt;D xsi:type="xsd:double"&gt;5950&lt;/D&gt;&lt;D xsi:type="xsd:double"&gt;5820&lt;/D&gt;&lt;D xsi:type="xsd:double"&gt;5590&lt;/D&gt;&lt;D xsi:type="xsd:double"&gt;5170&lt;/D&gt;&lt;D xsi:type="xsd:double"&gt;5500&lt;/D&gt;&lt;D xsi:type="xsd:double"&gt;5650&lt;/D&gt;&lt;D xsi:type="xsd:double"&gt;5620&lt;/D&gt;&lt;D xsi:type="xsd:double"&gt;5780&lt;/D&gt;&lt;D xsi:type="xsd:double"&gt;5520&lt;/D&gt;&lt;D xsi:type="xsd:double"&gt;5470&lt;/D&gt;&lt;D xsi:type="xsd:double"&gt;5030&lt;/D&gt;&lt;D xsi:type="xsd:double"&gt;4830&lt;/D&gt;&lt;D xsi:type="xsd:double"&gt;5470&lt;/D&gt;&lt;D xsi:type="xsd:double"&gt;5170&lt;/D&gt;&lt;D xsi:type="xsd:double"&gt;4500&lt;/D&gt;&lt;D xsi:type="xsd:double"&gt;4775&lt;/D&gt;&lt;D xsi:type="xsd:double"&gt;4585&lt;/D&gt;&lt;D xsi:type="xsd:double"&gt;4545&lt;/D&gt;&lt;D xsi:type="xsd:double"&gt;4330&lt;/D&gt;&lt;D xsi:type="xsd:double"&gt;4250&lt;/D&gt;&lt;D xsi:type="xsd:double"&gt;5120&lt;/D&gt;&lt;D xsi:type="xsd:double"&gt;5220&lt;/D&gt;&lt;D xsi:type="xsd:double"&gt;5190&lt;/D&gt;&lt;D xsi:type="xsd:double"&gt;5450&lt;/D&gt;&lt;D xsi:type="xsd:double"&gt;5950&lt;/D&gt;&lt;D xsi:type="xsd:double"&gt;5880&lt;/D&gt;&lt;D xsi:type="xsd:double"&gt;6030&lt;/D&gt;&lt;D xsi:type="xsd:double"&gt;5730&lt;/D&gt;&lt;D xsi:type="xsd:double"&gt;5440&lt;/D&gt;&lt;D xsi:type="xsd:double"&gt;5900&lt;/D&gt;&lt;D xsi:type="xsd:double"&gt;5950&lt;/D&gt;&lt;D xsi:type="xsd:double"&gt;6120&lt;/D&gt;&lt;D xsi:type="xsd:double"&gt;6130&lt;/D&gt;&lt;D xsi:type="xsd:double"&gt;5940&lt;/D&gt;&lt;D xsi:type="xsd:double"&gt;6070&lt;/D&gt;&lt;D xsi:type="xsd:double"&gt;6620&lt;/D&gt;&lt;D xsi:type="xsd:double"&gt;6580&lt;/D&gt;&lt;D xsi:type="xsd:double"&gt;6000&lt;/D&gt;&lt;D xsi:type="xsd:double"&gt;5710&lt;/D&gt;&lt;D xsi:type="xsd:double"&gt;5540&lt;/D&gt;&lt;D xsi:type="xsd:double"&gt;5810&lt;/D&gt;&lt;D xsi:type="xsd:double"&gt;5530&lt;/D&gt;&lt;D xsi:type="xsd:double"&gt;6010&lt;/D&gt;&lt;D xsi:type="xsd:double"&gt;5980&lt;/D&gt;&lt;D xsi:type="xsd:double"&gt;5440&lt;/D&gt;&lt;D xsi:type="xsd:double"&gt;5150&lt;/D&gt;&lt;D xsi:type="xsd:double"&gt;5230&lt;/D&gt;&lt;D xsi:type="xsd:double"&gt;5210&lt;/D&gt;&lt;D xsi:type="xsd:double"&gt;4710&lt;/D&gt;&lt;D xsi:type="xsd:double"&gt;4720&lt;/D&gt;&lt;D xsi:type="xsd:double"&gt;5250&lt;/D&gt;&lt;D xsi:type="xsd:double"&gt;5340&lt;/D&gt;&lt;D xsi:type="xsd:double"&gt;5110&lt;/D&gt;&lt;D xsi:type="xsd:double"&gt;5180&lt;/D&gt;&lt;D xsi:type="xsd:double"&gt;4855&lt;/D&gt;&lt;D xsi:type="xsd:double"&gt;5160&lt;/D&gt;&lt;D xsi:type="xsd:double"&gt;4910&lt;/D&gt;&lt;D xsi:type="xsd:double"&gt;4810&lt;/D&gt;&lt;D xsi:type="xsd:double"&gt;4815&lt;/D&gt;&lt;D xsi:type="xsd:double"&gt;4805&lt;/D&gt;&lt;D xsi:type="xsd:double"&gt;4400&lt;/D&gt;&lt;D xsi:type="xsd:double"&gt;4335&lt;/D&gt;&lt;D xsi:type="xsd:double"&gt;4440&lt;/D&gt;&lt;D xsi:type="xsd:double"&gt;4285&lt;/D&gt;&lt;D xsi:type="xsd:double"&gt;4820&lt;/D&gt;&lt;D xsi:type="xsd:double"&gt;4950&lt;/D&gt;&lt;D xsi:type="xsd:double"&gt;4960&lt;/D&gt;&lt;D xsi:type="xsd:double"&gt;4725&lt;/D&gt;&lt;D xsi:type="xsd:double"&gt;4120&lt;/D&gt;&lt;D xsi:type="xsd:double"&gt;4205&lt;/D&gt;&lt;D xsi:type="xsd:double"&gt;4255&lt;/D&gt;&lt;D xsi:type="xsd:double"&gt;4275&lt;/D&gt;&lt;D xsi:type="xsd:double"&gt;4525&lt;/D&gt;&lt;D xsi:type="xsd:double"&gt;4110&lt;/D&gt;&lt;D xsi:type="xsd:double"&gt;4220&lt;/D&gt;&lt;D xsi:type="xsd:double"&gt;4845&lt;/D&gt;&lt;D xsi:type="xsd:double"&gt;4315&lt;/D&gt;&lt;D xsi:type="xsd:double"&gt;4375&lt;/D&gt;&lt;D xsi:type="xsd:double"&gt;3730&lt;/D&gt;&lt;D xsi:type="xsd:double"&gt;3735&lt;/D&gt;&lt;D xsi:type="xsd:double"&gt;3645&lt;/D&gt;&lt;D xsi:type="xsd:double"&gt;3595&lt;/D&gt;&lt;D xsi:type="xsd:double"&gt;3625&lt;/D&gt;&lt;D xsi:type="xsd:double"&gt;3620&lt;/D&gt;&lt;D xsi:type="xsd:double"&gt;3825&lt;/D&gt;&lt;D xsi:type="xsd:double"&gt;4490&lt;/D&gt;&lt;D xsi:type="xsd:double"&gt;4445&lt;/D&gt;&lt;D xsi:type="xsd:double"&gt;4485&lt;/D&gt;&lt;D xsi:type="xsd:double"&gt;4865&lt;/D&gt;&lt;D xsi:type="xsd:double"&gt;4580&lt;/D&gt;&lt;D xsi:type="xsd:double"&gt;4450&lt;/D&gt;&lt;D xsi:type="xsd:double"&gt;4435&lt;/D&gt;&lt;D xsi:type="xsd:double"&gt;4135&lt;/D&gt;&lt;D xsi:type="xsd:double"&gt;4020&lt;/D&gt;&lt;D xsi:type="xsd:double"&gt;4050&lt;/D&gt;&lt;D xsi:type="xsd:double"&gt;4015&lt;/D&gt;&lt;D xsi:type="xsd:double"&gt;4070&lt;/D&gt;&lt;D xsi:type="xsd:double"&gt;4175&lt;/D&gt;&lt;D xsi:type="xsd:double"&gt;4815&lt;/D&gt;&lt;D xsi:type="xsd:double"&gt;4340&lt;/D&gt;&lt;D xsi:type="xsd:double"&gt;4255&lt;/D&gt;&lt;D xsi:type="xsd:double"&gt;4305&lt;/D&gt;&lt;D xsi:type="xsd:double"&gt;4280&lt;/D&gt;&lt;D xsi:type="xsd:double"&gt;4080&lt;/D&gt;&lt;D xsi:type="xsd:double"&gt;4080&lt;/D&gt;&lt;D xsi:type="xsd:double"&gt;4285&lt;/D&gt;&lt;D xsi:type="xsd:double"&gt;4060&lt;/D&gt;&lt;D xsi:type="xsd:double"&gt;3905&lt;/D&gt;&lt;D xsi:type="xsd:double"&gt;3765&lt;/D&gt;&lt;D xsi:type="xsd:double"&gt;3800&lt;/D&gt;&lt;D xsi:type="xsd:double"&gt;3715&lt;/D&gt;&lt;D xsi:type="xsd:double"&gt;3660&lt;/D&gt;&lt;D xsi:type="xsd:double"&gt;3800&lt;/D&gt;&lt;D xsi:type="xsd:double"&gt;3730&lt;/D&gt;&lt;D xsi:type="xsd:double"&gt;3705&lt;/D&gt;&lt;D xsi:type="xsd:double"&gt;3380&lt;/D&gt;&lt;D xsi:type="xsd:double"&gt;3515&lt;/D&gt;&lt;D xsi:type="xsd:double"&gt;3540&lt;/D&gt;&lt;D xsi:type="xsd:double"&gt;4015&lt;/D&gt;&lt;D xsi:type="xsd:double"&gt;3670&lt;/D&gt;&lt;D xsi:type="xsd:double"&gt;3615&lt;/D&gt;&lt;D xsi:type="xsd:double"&gt;3590&lt;/D&gt;&lt;D xsi:type="xsd:double"&gt;3405&lt;/D&gt;&lt;D xsi:type="xsd:double"&gt;3560&lt;/D&gt;&lt;D xsi:type="xsd:double"&gt;3620&lt;/D&gt;&lt;D xsi:type="xsd:double"&gt;3510&lt;/D&gt;&lt;D xsi:type="xsd:double"&gt;3620&lt;/D&gt;&lt;D xsi:type="xsd:double"&gt;3455&lt;/D&gt;&lt;D xsi:type="xsd:double"&gt;3365&lt;/D&gt;&lt;D xsi:type="xsd:double"&gt;3470&lt;/D&gt;&lt;D xsi:type="xsd:double"&gt;3360&lt;/D&gt;&lt;D xsi:type="xsd:double"&gt;3285&lt;/D&gt;&lt;D xsi:type="xsd:double"&gt;3400&lt;/D&gt;&lt;D xsi:type="xsd:double"&gt;3360&lt;/D&gt;&lt;D xsi:type="xsd:double"&gt;3435&lt;/D&gt;&lt;D xsi:type="xsd:double"&gt;3300&lt;/D&gt;&lt;D xsi:type="xsd:double"&gt;3325&lt;/D&gt;&lt;D xsi:type="xsd:double"&gt;3320&lt;/D&gt;&lt;D xsi:type="xsd:double"&gt;3465&lt;/D&gt;&lt;D xsi:type="xsd:double"&gt;3740&lt;/D&gt;&lt;D xsi:type="xsd:double"&gt;3780&lt;/D&gt;&lt;D xsi:type="xsd:double"&gt;3945&lt;/D&gt;&lt;D xsi:type="xsd:double"&gt;3610&lt;/D&gt;&lt;D xsi:type="xsd:double"&gt;3585&lt;/D&gt;&lt;D xsi:type="xsd:double"&gt;3375&lt;/D&gt;&lt;D xsi:type="xsd:double"&gt;3350&lt;/D&gt;&lt;D xsi:type="xsd:double"&gt;3290&lt;/D&gt;&lt;D xsi:type="xsd:double"&gt;3345&lt;/D&gt;&lt;D xsi:type="xsd:double"&gt;3315&lt;/D&gt;&lt;D xsi:type="xsd:double"&gt;3315&lt;/D&gt;&lt;D xsi:type="xsd:double"&gt;3375&lt;/D&gt;&lt;D xsi:type="xsd:double"&gt;3635&lt;/D&gt;&lt;D xsi:type="xsd:double"&gt;3600&lt;/D&gt;&lt;D xsi:type="xsd:double"&gt;3705&lt;/D&gt;&lt;D xsi:type="xsd:double"&gt;3685&lt;/D&gt;&lt;D xsi:type="xsd:double"&gt;3890&lt;/D&gt;&lt;D xsi:type="xsd:double"&gt;3910&lt;/D&gt;&lt;D xsi:type="xsd:double"&gt;3715&lt;/D&gt;&lt;D xsi:type="xsd:double"&gt;3845&lt;/D&gt;&lt;D xsi:type="xsd:double"&gt;4045&lt;/D&gt;&lt;D xsi:type="xsd:double"&gt;4210&lt;/D&gt;&lt;D xsi:type="xsd:double"&gt;4295&lt;/D&gt;&lt;D xsi:type="xsd:double"&gt;3960&lt;/D&gt;&lt;D xsi:type="xsd:double"&gt;4150&lt;/D&gt;&lt;D xsi:type="xsd:double"&gt;4100&lt;/D&gt;&lt;D xsi:type="xsd:double"&gt;4005&lt;/D&gt;&lt;D xsi:type="xsd:double"&gt;3895&lt;/D&gt;&lt;D xsi:type="xsd:double"&gt;3975&lt;/D&gt;&lt;D xsi:type="xsd:double"&gt;4165&lt;/D&gt;&lt;D xsi:type="xsd:double"&gt;4100&lt;/D&gt;&lt;D xsi:type="xsd:double"&gt;3905&lt;/D&gt;&lt;D xsi:type="xsd:double"&gt;3785&lt;/D&gt;&lt;D xsi:type="xsd:double"&gt;3590&lt;/D&gt;&lt;D xsi:type="xsd:double"&gt;3690&lt;/D&gt;&lt;D xsi:type="xsd:double"&gt;3830&lt;/D&gt;&lt;D xsi:type="xsd:double"&gt;3830&lt;/D&gt;&lt;D xsi:type="xsd:double"&gt;3800&lt;/D&gt;&lt;D xsi:type="xsd:double"&gt;3725&lt;/D&gt;&lt;D xsi:type="xsd:double"&gt;3750&lt;/D&gt;&lt;D xsi:type="xsd:double"&gt;3770&lt;/D&gt;&lt;D xsi:type="xsd:double"&gt;4280&lt;/D&gt;&lt;D xsi:type="xsd:double"&gt;4055&lt;/D&gt;&lt;D xsi:type="xsd:double"&gt;3925&lt;/D&gt;&lt;D xsi:type="xsd:double"&gt;3905&lt;/D&gt;&lt;D xsi:type="xsd:double"&gt;3795&lt;/D&gt;&lt;D xsi:type="xsd:double"&gt;3880&lt;/D&gt;&lt;D xsi:type="xsd:double"&gt;4155&lt;/D&gt;&lt;D xsi:type="xsd:double"&gt;4435&lt;/D&gt;&lt;D xsi:type="xsd:double"&gt;4700&lt;/D&gt;&lt;D xsi:type="xsd:double"&gt;4885&lt;/D&gt;&lt;D xsi:type="xsd:double"&gt;5080&lt;/D&gt;&lt;D xsi:type="xsd:double"&gt;5350&lt;/D&gt;&lt;/FQL&gt;&lt;FQL&gt;&lt;Q&gt;2615-TW^P_PRICE(1/4/2019,NOW,W)&lt;/Q&gt;&lt;R&gt;367&lt;/R&gt;&lt;C&gt;1&lt;/C&gt;&lt;D xsi:type="xsd:double"&gt;12.37154&lt;/D&gt;&lt;D xsi:type="xsd:double"&gt;12.490117&lt;/D&gt;&lt;D xsi:type="xsd:double"&gt;12.37154&lt;/D&gt;&lt;D xsi:type="xsd:double"&gt;12.529643&lt;/D&gt;&lt;D xsi:type="xsd:double"&gt;12.450591&lt;/D&gt;&lt;D xsi:type="xsd:double"&gt;12.727271&lt;/D&gt;&lt;D xsi:type="xsd:double"&gt;12.845848&lt;/D&gt;&lt;D xsi:type="xsd:double"&gt;12.608693&lt;/D&gt;&lt;D xsi:type="xsd:double"&gt;12.806323&lt;/D&gt;&lt;D xsi:type="xsd:double"&gt;12.687745&lt;/D&gt;&lt;D xsi:type="xsd:double"&gt;12.687745&lt;/D&gt;&lt;D xsi:type="xsd:double"&gt;12.687745&lt;/D&gt;&lt;D xsi:type="xsd:double"&gt;12.766796&lt;/D&gt;&lt;D xsi:type="xsd:double"&gt;12.766796&lt;/D&gt;&lt;D xsi:type="xsd:double"&gt;12.727271&lt;/D&gt;&lt;D xsi:type="xsd:double"&gt;12.885373&lt;/D&gt;&lt;D xsi:type="xsd:double"&gt;13.083001&lt;/D&gt;&lt;D xsi:type="xsd:double"&gt;12.924899&lt;/D&gt;&lt;D xsi:type="xsd:double"&gt;13.399208&lt;/D&gt;&lt;D xsi:type="xsd:double"&gt;14.150195&lt;/D&gt;&lt;D xsi:type="xsd:double"&gt;14.901184&lt;/D&gt;&lt;D xsi:type="xsd:double"&gt;14.189722&lt;/D&gt;&lt;D xsi:type="xsd:double"&gt;14.545452&lt;/D&gt;&lt;D xsi:type="xsd:double"&gt;14.229247&lt;/D&gt;&lt;D xsi:type="xsd:double"&gt;14.308299&lt;/D&gt;&lt;D xsi:type="xsd:double"&gt;15.217389&lt;/D&gt;&lt;D xsi:type="xsd:double"&gt;15.01976&lt;/D&gt;&lt;D xsi:type="xsd:double"&gt;15.01976&lt;/D&gt;&lt;D xsi:type="xsd:double"&gt;17.31225&lt;/D&gt;&lt;D xsi:type="xsd:double"&gt;17.2332&lt;/D&gt;&lt;D xsi:type="xsd:double"&gt;16.916994&lt;/D&gt;&lt;D xsi:type="xsd:double"&gt;15.454542&lt;/D&gt;&lt;D xsi:type="xsd:double"&gt;14.703555&lt;/D&gt;&lt;D xsi:type="xsd:double"&gt;15.01976&lt;/D&gt;&lt;D xsi:type="xsd:double"&gt;15.612647&lt;/D&gt;&lt;D xsi:type="xsd:double"&gt;15.138337&lt;/D&gt;&lt;D xsi:type="xsd:double"&gt;14.901184&lt;/D&gt;&lt;D xsi:type="xsd:double"&gt;14.426875&lt;/D&gt;&lt;D xsi:type="xsd:double"&gt;</t>
        </r>
      </text>
    </comment>
    <comment ref="A8" authorId="0" shapeId="0" xr:uid="{00000000-0006-0000-0000-000008000000}">
      <text>
        <r>
          <rPr>
            <sz val="11"/>
            <color theme="1"/>
            <rFont val="맑은 고딕"/>
            <family val="2"/>
            <charset val="129"/>
            <scheme val="minor"/>
          </rPr>
          <t>13.992094&lt;/D&gt;&lt;D xsi:type="xsd:double"&gt;14.071144&lt;/D&gt;&lt;D xsi:type="xsd:double"&gt;14.150195&lt;/D&gt;&lt;D xsi:type="xsd:double"&gt;14.703555&lt;/D&gt;&lt;D xsi:type="xsd:double"&gt;14.426875&lt;/D&gt;&lt;D xsi:type="xsd:double"&gt;14.545452&lt;/D&gt;&lt;D xsi:type="xsd:double"&gt;14.229247&lt;/D&gt;&lt;D xsi:type="xsd:double"&gt;14.387349&lt;/D&gt;&lt;D xsi:type="xsd:double"&gt;14.347824&lt;/D&gt;&lt;D xsi:type="xsd:double"&gt;14.545452&lt;/D&gt;&lt;D xsi:type="xsd:double"&gt;14.11067&lt;/D&gt;&lt;D xsi:type="xsd:double"&gt;14.703555&lt;/D&gt;&lt;D xsi:type="xsd:double"&gt;14.624504&lt;/D&gt;&lt;D xsi:type="xsd:double"&gt;14.703555&lt;/D&gt;&lt;D xsi:type="xsd:double"&gt;14.545452&lt;/D&gt;&lt;D xsi:type="xsd:double"&gt;14.387349&lt;/D&gt;&lt;D xsi:type="xsd:double"&gt;14.347824&lt;/D&gt;&lt;D xsi:type="xsd:double"&gt;13.438733&lt;/D&gt;&lt;D xsi:type="xsd:double"&gt;13.517784&lt;/D&gt;&lt;D xsi:type="xsd:double"&gt;13.55731&lt;/D&gt;&lt;D xsi:type="xsd:double"&gt;13.873515&lt;/D&gt;&lt;D xsi:type="xsd:double"&gt;13.715413&lt;/D&gt;&lt;D xsi:type="xsd:double"&gt;13.359682&lt;/D&gt;&lt;D xsi:type="xsd:double"&gt;11.936757&lt;/D&gt;&lt;D xsi:type="xsd:double"&gt;9.920947&lt;/D&gt;&lt;D xsi:type="xsd:double"&gt;10.988141&lt;/D&gt;&lt;D xsi:type="xsd:double"&gt;11.343872&lt;/D&gt;&lt;D xsi:type="xsd:double"&gt;12.09486&lt;/D&gt;&lt;D xsi:type="xsd:double"&gt;12.766796&lt;/D&gt;&lt;D xsi:type="xsd:double"&gt;12.608693&lt;/D&gt;&lt;D xsi:type="xsd:double"&gt;13.359682&lt;/D&gt;&lt;D xsi:type="xsd:double"&gt;13.241105&lt;/D&gt;&lt;D xsi:type="xsd:double"&gt;12.292488&lt;/D&gt;&lt;D xsi:type="xsd:double"&gt;12.608693&lt;/D&gt;&lt;D xsi:type="xsd:double"&gt;12.885373&lt;/D&gt;&lt;D xsi:type="xsd:double"&gt;13.201579&lt;/D&gt;&lt;D xsi:type="xsd:double"&gt;12.964425&lt;/D&gt;&lt;D xsi:type="xsd:double"&gt;12.845848&lt;/D&gt;&lt;D xsi:type="xsd:double"&gt;13.162053&lt;/D&gt;&lt;D xsi:type="xsd:double"&gt;13.359682&lt;/D&gt;&lt;D xsi:type="xsd:double"&gt;14.74308&lt;/D&gt;&lt;D xsi:type="xsd:double"&gt;14.308299&lt;/D&gt;&lt;D xsi:type="xsd:double"&gt;13.83399&lt;/D&gt;&lt;D xsi:type="xsd:double"&gt;13.754938&lt;/D&gt;&lt;D xsi:type="xsd:double"&gt;14.4664&lt;/D&gt;&lt;D xsi:type="xsd:double"&gt;15.731222&lt;/D&gt;&lt;D xsi:type="xsd:double"&gt;15.889326&lt;/D&gt;&lt;D xsi:type="xsd:double"&gt;16.600788&lt;/D&gt;&lt;D xsi:type="xsd:double"&gt;15.810274&lt;/D&gt;&lt;D xsi:type="xsd:double"&gt;15.810274&lt;/D&gt;&lt;D xsi:type="xsd:double"&gt;16.047428&lt;/D&gt;&lt;D xsi:type="xsd:double"&gt;16.166006&lt;/D&gt;&lt;D xsi:type="xsd:double"&gt;16.798416&lt;/D&gt;&lt;D xsi:type="xsd:double"&gt;18.814226&lt;/D&gt;&lt;D xsi:type="xsd:double"&gt;18.616598&lt;/D&gt;&lt;D xsi:type="xsd:double"&gt;19.446636&lt;/D&gt;&lt;D xsi:type="xsd:double"&gt;20.71146&lt;/D&gt;&lt;D xsi:type="xsd:double"&gt;23.201578&lt;/D&gt;&lt;D xsi:type="xsd:double"&gt;24.18972&lt;/D&gt;&lt;D xsi:type="xsd:double"&gt;29.05138&lt;/D&gt;&lt;D xsi:type="xsd:double"&gt;33.99209&lt;/D&gt;&lt;D xsi:type="xsd:double"&gt;30.03952&lt;/D&gt;&lt;D xsi:type="xsd:double"&gt;30.79051&lt;/D&gt;&lt;D xsi:type="xsd:double"&gt;34.150192&lt;/D&gt;&lt;D xsi:type="xsd:double"&gt;37.94466&lt;/D&gt;&lt;D xsi:type="xsd:double"&gt;41.818176&lt;/D&gt;&lt;D xsi:type="xsd:double"&gt;38.339912&lt;/D&gt;&lt;D xsi:type="xsd:double"&gt;34.189716&lt;/D&gt;&lt;D xsi:type="xsd:double"&gt;35.415012&lt;/D&gt;&lt;D xsi:type="xsd:double"&gt;33.83399&lt;/D&gt;&lt;D xsi:type="xsd:double"&gt;33.35968&lt;/D&gt;&lt;D xsi:type="xsd:double"&gt;35.17786&lt;/D&gt;&lt;D xsi:type="xsd:double"&gt;37.905136&lt;/D&gt;&lt;D xsi:type="xsd:double"&gt;36.245052&lt;/D&gt;&lt;D xsi:type="xsd:double"&gt;37.470352&lt;/D&gt;&lt;D xsi:type="xsd:double"&gt;39.169956&lt;/D&gt;&lt;D xsi:type="xsd:double"&gt;41.818176&lt;/D&gt;&lt;D xsi:type="xsd:double"&gt;44.189716&lt;/D&gt;&lt;D xsi:type="xsd:double"&gt;46.0079&lt;/D&gt;&lt;D xsi:type="xsd:double"&gt;57.94466&lt;/D&gt;&lt;D xsi:type="xsd:double"&gt;64.82213&lt;/D&gt;&lt;D xsi:type="xsd:double"&gt;74.86164&lt;/D&gt;&lt;D xsi:type="xsd:double"&gt;72.964424&lt;/D&gt;&lt;D xsi:type="xsd:double"&gt;64.50592&lt;/D&gt;&lt;D xsi:type="xsd:double"&gt;90.11857&lt;/D&gt;&lt;D xsi:type="xsd:double"&gt;122.13437&lt;/D&gt;&lt;D xsi:type="xsd:double"&gt;122.92488&lt;/D&gt;&lt;D xsi:type="xsd:double"&gt;137.94464&lt;/D&gt;&lt;D xsi:type="xsd:double"&gt;179.05135&lt;/D&gt;&lt;D xsi:type="xsd:double"&gt;215.81024&lt;/D&gt;&lt;D xsi:type="xsd:double"&gt;258.10272&lt;/D&gt;&lt;D xsi:type="xsd:double"&gt;217.39128&lt;/D&gt;&lt;D xsi:type="xsd:double"&gt;226.08693&lt;/D&gt;&lt;D xsi:type="xsd:double"&gt;189.7233&lt;/D&gt;&lt;D xsi:type="xsd:double"&gt;176.67982&lt;/D&gt;&lt;D xsi:type="xsd:double"&gt;182.60866&lt;/D&gt;&lt;D xsi:type="xsd:double"&gt;169.96045&lt;/D&gt;&lt;D xsi:type="xsd:double"&gt;178.26083&lt;/D&gt;&lt;D xsi:type="xsd:double"&gt;199.20946&lt;/D&gt;&lt;D xsi:type="xsd:double"&gt;175.49405&lt;/D&gt;&lt;D xsi:type="xsd:double"&gt;183.913&lt;/D&gt;&lt;D xsi:type="xsd:double"&gt;182.60866&lt;/D&gt;&lt;D xsi:type="xsd:double"&gt;186.95648&lt;/D&gt;&lt;D xsi:type="xsd:double"&gt;159.56519&lt;/D&gt;&lt;D xsi:type="xsd:double"&gt;147.39127&lt;/D&gt;&lt;D xsi:type="xsd:double"&gt;139.99997&lt;/D&gt;&lt;D xsi:type="xsd:double"&gt;132.60866&lt;/D&gt;&lt;D xsi:type="xsd:double"&gt;139.1304&lt;/D&gt;&lt;D xsi:type="xsd:double"&gt;154.78258&lt;/D&gt;&lt;D xsi:type="xsd:double"&gt;138.26083&lt;/D&gt;&lt;D xsi:type="xsd:double"&gt;135.65215&lt;/D&gt;&lt;D xsi:type="xsd:double"&gt;132.17389&lt;/D&gt;&lt;D xsi:type="xsd:double"&gt;143.04344&lt;/D&gt;&lt;D xsi:type="xsd:double"&gt;183.04344&lt;/D&gt;&lt;D xsi:type="xsd:double"&gt;173.913&lt;/D&gt;&lt;D xsi:type="xsd:double"&gt;173.04344&lt;/D&gt;&lt;D xsi:type="xsd:double"&gt;172.60866&lt;/D&gt;&lt;D xsi:type="xsd:double"&gt;163.04344&lt;/D&gt;&lt;D xsi:type="xsd:double"&gt;150.86952&lt;/D&gt;&lt;D xsi:type="xsd:double"&gt;131.7391&lt;/D&gt;&lt;D xsi:type="xsd:double"&gt;128.26083&lt;/D&gt;&lt;D xsi:type="xsd:double"&gt;149.56519&lt;/D&gt;&lt;D xsi:type="xsd:double"&gt;169.1304&lt;/D&gt;&lt;D xsi:type="xsd:double"&gt;162.60866&lt;/D&gt;&lt;D xsi:type="xsd:double"&gt;166.95648&lt;/D&gt;&lt;D xsi:type="xsd:double"&gt;152.17387&lt;/D&gt;&lt;D xsi:type="xsd:double"&gt;141.73909&lt;/D&gt;&lt;D xsi:type="xsd:double"&gt;133.47823&lt;/D&gt;&lt;D xsi:type="xsd:double"&gt;139.1304&lt;/D&gt;&lt;D xsi:type="xsd:double"&gt;133.91301&lt;/D&gt;&lt;D xsi:type="xsd:double"&gt;134.78258&lt;/D&gt;&lt;D xsi:type="xsd:double"&gt;135.65215&lt;/D&gt;&lt;D xsi:type="xsd:double"&gt;126.95649&lt;/D&gt;&lt;D xsi:type="xsd:double"&gt;131.7391&lt;/D&gt;&lt;D xsi:type="xsd:double"&gt;133.47823&lt;/D&gt;&lt;D xsi:type="xsd:double"&gt;129.56519&lt;/D&gt;&lt;D xsi:type="xsd:double"&gt;139.56519&lt;/D&gt;&lt;D xsi:type="xsd:double"&gt;137.82605&lt;/D&gt;&lt;D xsi:type="xsd:double"&gt;130.43475&lt;/D&gt;&lt;D xsi:type="xsd:double"&gt;113.91302&lt;/D&gt;&lt;D xsi:type="xsd:double"&gt;101.30432&lt;/D&gt;&lt;D xsi:type="xsd:double"&gt;96.52171&lt;/D&gt;&lt;D xsi:type="xsd:double"&gt;104.782585&lt;/D&gt;&lt;D xsi:type="xsd:double"&gt;101.739105&lt;/D&gt;&lt;D xsi:type="xsd:double"&gt;106.5&lt;/D&gt;&lt;D xsi:type="xsd:double"&gt;107&lt;/D&gt;&lt;D xsi:type="xsd:double"&gt;107.5&lt;/D&gt;&lt;D xsi:type="xsd:double"&gt;104.5&lt;/D&gt;&lt;D xsi:type="xsd:double"&gt;100.5&lt;/D&gt;&lt;D xsi:type="xsd:double"&gt;93.1&lt;/D&gt;&lt;D xsi:type="xsd:double"&gt;78&lt;/D&gt;&lt;D xsi:type="xsd:double"&gt;74.1&lt;/D&gt;&lt;D xsi:type="xsd:double"&gt;80.7&lt;/D&gt;&lt;D xsi:type="xsd:double"&gt;74.9&lt;/D&gt;&lt;D xsi:type="xsd:double"&gt;66.8&lt;/D&gt;&lt;D xsi:type="xsd:double"&gt;73.2&lt;/D&gt;&lt;D xsi:type="xsd:double"&gt;68.8&lt;/D&gt;&lt;D xsi:type="xsd:double"&gt;66.5&lt;/D&gt;&lt;D xsi:type="xsd:double"&gt;68.5&lt;/D&gt;&lt;D xsi:type="xsd:double"&gt;66.6&lt;/D&gt;&lt;D xsi:type="xsd:double"&gt;73.5&lt;/D&gt;&lt;D xsi:type="xsd:double"&gt;71.8&lt;/D&gt;&lt;D xsi:type="xsd:double"&gt;74.9&lt;/D&gt;&lt;D xsi:type="xsd:double"&gt;74.5&lt;/D&gt;&lt;D xsi:type="xsd:double"&gt;70.1&lt;/D&gt;&lt;D xsi:type="xsd:double"&gt;78.8&lt;/D&gt;&lt;D xsi:type="xsd:double"&gt;86.2&lt;/D&gt;&lt;D xsi:type="xsd:double"&gt;80.1&lt;/D&gt;&lt;D xsi:type="xsd:double"&gt;77.8&lt;/D&gt;&lt;D xsi:type="xsd:double"&gt;74.5&lt;/D&gt;&lt;D xsi:type="xsd:double"&gt;73.6&lt;/D&gt;&lt;D xsi:type="xsd:double"&gt;79.5&lt;/D&gt;&lt;D xsi:type="xsd:double"&gt;75.5&lt;/D&gt;&lt;D xsi:type="xsd:double"&gt;73.3&lt;/D&gt;&lt;D xsi:type="xsd:double"&gt;79.6&lt;/D&gt;&lt;D xsi:type="xsd:double"&gt;81.1&lt;/D&gt;&lt;D xsi:type="xsd:double"&gt;79.1&lt;/D&gt;&lt;D xsi:type="xsd:double"&gt;69&lt;/D&gt;&lt;D xsi:type="xsd:double"&gt;70.5&lt;/D&gt;&lt;D xsi:type="xsd:double"&gt;68.5&lt;/D&gt;&lt;D xsi:type="xsd:double"&gt;69.4&lt;/D&gt;&lt;D xsi:type="xsd:double"&gt;69.9&lt;/D&gt;&lt;D xsi:type="xsd:double"&gt;65&lt;/D&gt;&lt;D xsi:type="xsd:double"&gt;65&lt;/D&gt;&lt;D xsi:type="xsd:double"&gt;59.5&lt;/D&gt;&lt;D xsi:type="xsd:double"&gt;59.2&lt;/D&gt;&lt;D xsi:type="xsd:double"&gt;60.3&lt;/D&gt;&lt;D xsi:type="xsd:double"&gt;58.9&lt;/D&gt;&lt;D xsi:type="xsd:double"&gt;58.1&lt;/D&gt;&lt;D xsi:type="xsd:double"&gt;61.8&lt;/D&gt;&lt;D xsi:type="xsd:double"&gt;62.6&lt;/D&gt;&lt;D xsi:type="xsd:double"&gt;60.2&lt;/D&gt;&lt;D xsi:type="xsd:double"&gt;59&lt;/D&gt;&lt;D xsi:type="xsd:double"&gt;56.7&lt;/D&gt;&lt;D xsi:type="xsd:double"&gt;50.4&lt;/D&gt;&lt;D xsi:type="xsd:double"&gt;50.9&lt;/D&gt;&lt;D xsi:type="xsd:double"&gt;51.8&lt;/D&gt;&lt;D xsi:type="xsd:double"&gt;51.6&lt;/D&gt;&lt;D xsi:type="xsd:double"&gt;50.6&lt;/D&gt;&lt;D xsi:type="xsd:double"&gt;50.5&lt;/D&gt;&lt;D xsi:type="xsd:double"&gt;45.9&lt;/D&gt;&lt;D xsi:type="xsd:double"&gt;44.9&lt;/D&gt;&lt;D xsi:type="xsd:double"&gt;46.3&lt;/D&gt;&lt;D xsi:type="xsd:double"&gt;50.6&lt;/D&gt;&lt;D xsi:type="xsd:double"&gt;49.5&lt;/D&gt;&lt;D xsi:type="xsd:double"&gt;48.3&lt;/D&gt;&lt;D xsi:type="xsd:double"&gt;46.95&lt;/D&gt;&lt;D xsi:type="xsd:double"&gt;44.25&lt;/D&gt;&lt;D xsi:type="xsd:double"&gt;44.9&lt;/D&gt;&lt;D xsi:type="xsd:double"&gt;45.5&lt;/D&gt;&lt;D xsi:type="xsd:double"&gt;47.7&lt;/D&gt;&lt;D xsi:type="xsd:double"&gt;45&lt;/D&gt;&lt;D xsi:type="xsd:double"&gt;47.25&lt;/D&gt;&lt;D xsi:type="xsd:double"&gt;45.5&lt;/D&gt;&lt;D xsi:type="xsd:double"&gt;48.65&lt;/D&gt;&lt;D xsi:type="xsd:double"&gt;51.1&lt;/D&gt;&lt;D xsi:type="xsd:double"&gt;50.6&lt;/D&gt;&lt;D xsi:type="xsd:double"&gt;60.1&lt;/D&gt;&lt;D xsi:type="xsd:double"&gt;55&lt;/D&gt;&lt;D xsi:type="xsd:double"&gt;57.9&lt;/D&gt;&lt;D xsi:type="xsd:double"&gt;52.5&lt;/D&gt;&lt;D xsi:type="xsd:double"&gt;51.2&lt;/D&gt;&lt;D xsi:type="xsd:double"&gt;49.75&lt;/D&gt;&lt;D xsi:type="xsd:double"&gt;48.2&lt;/D&gt;&lt;D xsi:type="xsd:double"&gt;47.75&lt;/D&gt;&lt;D xsi:type="xsd:double"&gt;47.3&lt;/D&gt;&lt;D xsi:type="xsd:double"&gt;49.65&lt;/D&gt;&lt;D xsi:type="xsd:double"&gt;49.9&lt;/D&gt;&lt;D xsi:type="xsd:double"&gt;48.65&lt;/D&gt;&lt;D xsi:type="xsd:double"&gt;46.45&lt;/D&gt;&lt;D xsi:type="xsd:double"&gt;45.3&lt;/D&gt;&lt;D xsi:type="xsd:double"&gt;44.1&lt;/D&gt;&lt;D xsi:type="xsd:double"&gt;43.65&lt;/D&gt;&lt;D xsi:type="xsd:double"&gt;45&lt;/D&gt;&lt;D xsi:type="xsd:double"&gt;43.25&lt;/D&gt;&lt;D xsi:type="xsd:double"&gt;48.35&lt;/D&gt;&lt;D xsi:type="xsd:double"&gt;49.4&lt;/D&gt;&lt;D xsi:type="xsd:double"&gt;63.8&lt;/D&gt;&lt;D xsi:type="xsd:double"&gt;70&lt;/D&gt;&lt;D xsi:type="xsd:double"&gt;74.9&lt;/D&gt;&lt;D xsi:type="xsd:double"&gt;79.7&lt;/D&gt;&lt;D xsi:type="xsd:double"&gt;96.2&lt;/D&gt;&lt;D xsi:type="xsd:double"&gt;92.8&lt;/D&gt;&lt;D xsi:type="xsd:double"&gt;92.3&lt;/D&gt;&lt;D xsi:type="xsd:double"&gt;88.6&lt;/D&gt;&lt;D xsi:type="xsd:double"&gt;83.7&lt;/D&gt;&lt;D xsi:type="xsd:double"&gt;76.4&lt;/D&gt;&lt;D xsi:type="xsd:double"&gt;71.1&lt;/D&gt;&lt;D xsi:type="xsd:double"&gt;73.9&lt;/D&gt;&lt;D xsi:type="xsd:double"&gt;79.7&lt;/D&gt;&lt;D xsi:type="xsd:double"&gt;77.2&lt;/D&gt;&lt;D xsi:type="xsd:double"&gt;80.8&lt;/D&gt;&lt;D xsi:type="xsd:double"&gt;79.5&lt;/D&gt;&lt;D xsi:type="xsd:double"&gt;82.9&lt;/D&gt;&lt;D xsi:type="xsd:double"&gt;78.2&lt;/D&gt;&lt;D xsi:type="xsd:double"&gt;79.2&lt;/D&gt;&lt;D xsi:type="xsd:double"&gt;81.1&lt;/D&gt;&lt;D xsi:type="xsd:double"&gt;107.5&lt;/D&gt;&lt;D xsi:type="xsd:double"&gt;89.3&lt;/D&gt;&lt;D xsi:type="xsd:double"&gt;83&lt;/D&gt;&lt;D xsi:type="xsd:double"&gt;85.3&lt;/D&gt;&lt;D xsi:type="xsd:double"&gt;86.9&lt;/D&gt;&lt;D xsi:type="xsd:double"&gt;94.2&lt;/D&gt;&lt;D xsi:type="xsd:double"&gt;93.7&lt;/D&gt;&lt;D xsi:type="xsd:double"&gt;90.5&lt;/D&gt;&lt;D xsi:type="xsd:double"&gt;93.6&lt;/D&gt;&lt;D xsi:type="xsd:double"&gt;83&lt;/D&gt;&lt;D xsi:type="xsd:double"&gt;84&lt;/D&gt;&lt;D xsi:type="xsd:double"&gt;82.2&lt;/D&gt;&lt;D xsi:type="xsd:double"&gt;82.3&lt;/D&gt;&lt;D xsi:type="xsd:double"&gt;81&lt;/D&gt;&lt;D xsi:type="xsd:double"&gt;84.7&lt;/D&gt;&lt;D xsi:type="xsd:double"&gt;80.9&lt;/D&gt;&lt;D xsi:type="xsd:double"&gt;76.6&lt;/D&gt;&lt;D xsi:type="xsd:double"&gt;76.1&lt;/D&gt;&lt;D xsi:type="xsd:double"&gt;75.1&lt;/D&gt;&lt;D xsi:type="xsd:double"&gt;82.3&lt;/D&gt;&lt;D xsi:type="xsd:double"&gt;84&lt;/D&gt;&lt;D xsi:type="xsd:double"&gt;84&lt;/D&gt;&lt;D xsi:type="xsd:double"&gt;87.9&lt;/D&gt;&lt;D xsi:type="xsd:double"&gt;82.6&lt;/D&gt;&lt;D xsi:type="xsd:double"&gt;86.1&lt;/D&gt;&lt;D xsi:type="xsd:double"&gt;82.2&lt;/D&gt;&lt;D xsi:type="xsd:double"&gt;83.6&lt;/D&gt;&lt;D xsi:type="xsd:double"&gt;73.9&lt;/D&gt;&lt;D xsi:type="xsd:double"&gt;83.2&lt;/D&gt;&lt;D xsi:type="xsd:double"&gt;82.2&lt;/D&gt;&lt;D xsi:type="xsd:double"&gt;83.1&lt;/D&gt;&lt;D xsi:type="xsd:double"&gt;86.6&lt;/D&gt;&lt;D xsi:type="xsd:double"&gt;111&lt;/D&gt;&lt;D xsi:type="xsd:double"&gt;126.5&lt;/D&gt;&lt;D xsi:type="xsd:double"&gt;108&lt;/D&gt;&lt;D xsi:type="xsd:double"&gt;101.5&lt;/D&gt;&lt;D xsi:type="xsd:double"&gt;101&lt;/D&gt;&lt;D xsi:type="xsd:double"&gt;99.7&lt;/D&gt;&lt;D xsi:type="xsd:double"&gt;92&lt;/D&gt;&lt;D xsi:type="xsd:double"&gt;90.1&lt;/D&gt;&lt;D xsi:type="xsd:double"&gt;89&lt;/D&gt;&lt;D xsi:type="xsd:double"&gt;91.9&lt;/D&gt;&lt;D xsi:type="xsd:double"&gt;91.6&lt;/D&gt;&lt;D xsi:type="xsd:double"&gt;90.2&lt;/D&gt;&lt;D xsi:type="xsd:double"&gt;89&lt;/D&gt;&lt;D xsi:type="xsd:double"&gt;88.5&lt;/D&gt;&lt;D xsi:type="xsd:double"&gt;84.1&lt;/D&gt;&lt;D xsi:type="xsd:double"&gt;82.8&lt;/D&gt;&lt;D xsi:type="xsd:double"&gt;82.2&lt;/D&gt;&lt;D xsi:type="xsd:double"&gt;80&lt;/D&gt;&lt;D xsi:type="xsd:double"&gt;81.5&lt;/D&gt;&lt;D xsi:type="xsd:double"&gt;74.2&lt;/D&gt;&lt;D xsi:type="xsd:double"&gt;73.5&lt;/D&gt;&lt;D xsi:type="xsd:double"&gt;74.2&lt;/D&gt;&lt;D xsi:type="xsd:double"&gt;80.2&lt;/D&gt;&lt;D xsi:type="xsd:double"&gt;77&lt;/D&gt;&lt;D xsi:type="xsd:double"&gt;82.1&lt;/D&gt;&lt;D xsi:type="xsd:double"&gt;82.6&lt;/D&gt;&lt;D xsi:type="xsd:double"&gt;82.5&lt;/D&gt;&lt;D xsi:type="xsd:double"&gt;79.7&lt;/D&gt;&lt;D xsi:type="xsd:double"&gt;80.6&lt;/D&gt;&lt;D xsi:type="xsd:double"&gt;79.7&lt;/D&gt;&lt;D xsi:type="xsd:double"&gt;78.2&lt;/D&gt;&lt;D xsi:type="xsd:double"&gt;78&lt;/D&gt;&lt;D xsi:type="xsd:double"&gt;79.8&lt;/D&gt;&lt;D xsi:type="xsd:double"&gt;79.6&lt;/D&gt;&lt;D xsi:type="xsd:double"&gt;79.2&lt;/D&gt;&lt;D xsi:type="xsd:double"&gt;77.2&lt;/D&gt;&lt;D xsi:type="xsd:double"&gt;75.7&lt;/D&gt;&lt;D xsi:type="xsd:double"&gt;73.5&lt;/D&gt;&lt;D xsi:type="xsd:double"&gt;73.9&lt;/D&gt;&lt;D xsi:type="xsd:double"&gt;75&lt;/D&gt;&lt;/FQL&gt;&lt;FQL&gt;&lt;Q&gt;2609-TW^P_PRICE(1/4/2019,NOW,W)&lt;/Q&gt;&lt;R&gt;367&lt;/R&gt;&lt;C&gt;1&lt;/C&gt;&lt;D xsi:type="xsd:double"&gt;8.6&lt;/D&gt;&lt;D xsi:type="xsd:double"&gt;8.87&lt;/D&gt;&lt;D xsi:type="xsd:double"&gt;8.81&lt;/D&gt;&lt;D xsi:type="xsd:double"&gt;8.96&lt;/D&gt;&lt;D xsi:type="xsd:double"&gt;8.94&lt;/D&gt;&lt;D xsi:type="xsd:double"&gt;8.82&lt;/D&gt;&lt;D xsi:type="xsd:double"&gt;8.95&lt;/D&gt;&lt;D xsi:type="xsd:double"&gt;9.23&lt;/D&gt;&lt;D xsi:type="xsd:double"&gt;8.96&lt;/D&gt;&lt;D xsi:type="xsd:double"&gt;8.8&lt;/D&gt;&lt;D xsi:type="xsd:double"&gt;8.84&lt;/D&gt;&lt;D xsi:type="xsd:double"&gt;8.65&lt;/D&gt;&lt;D xsi:type="xsd:double"&gt;8.64&lt;/D&gt;&lt;D xsi:type="xsd:double"&gt;8.73&lt;/D&gt;&lt;D xsi:type="xsd:double"&gt;8.89&lt;/D&gt;&lt;D xsi:type="xsd:double"&gt;8.79&lt;/D&gt;&lt;D xsi:type="xsd:double"&gt;8.9&lt;/D&gt;&lt;D xsi:type="xsd:double"&gt;8.48&lt;/D&gt;&lt;D xsi:type="xsd:double"&gt;7.96&lt;/D&gt;&lt;D xsi:type="xsd:double"&gt;8.04&lt;/D&gt;&lt;D xsi:type="xsd:double"&gt;8.13&lt;/D&gt;&lt;D xsi:type="xsd:double"&gt;7.9700003&lt;/D&gt;&lt;D xsi:type="xsd:double"&gt;8.09&lt;/D&gt;&lt;D xsi:type="xsd:double"&gt;8.15&lt;/D&gt;&lt;D xsi:type="xsd:double"&gt;8.16&lt;/D&gt;&lt;D xsi:type="xsd:double"&gt;8.51&lt;/D&gt;&lt;D xsi:type="xsd:double"&gt;8.7&lt;/D&gt;&lt;D xsi:type="xsd:double"&gt;9.09&lt;/D&gt;&lt;D xsi:type="xsd:double"&gt;8.94&lt;/D&gt;&lt;D xsi:type="xsd:double"&gt;8.48&lt;/D&gt;&lt;D xsi:type="xsd:double"&gt;8.45&lt;/D&gt;&lt;D xsi:type="xsd:double"&gt;8.1&lt;/D&gt;&lt;D xsi:type="xsd:double"&gt;7.98&lt;/D&gt;&lt;D xsi:type="xsd:double"&gt;7.96&lt;/D&gt;&lt;D xsi:type="xsd:double"&gt;8.03&lt;/D&gt;&lt;D xsi:type="xsd:double"&gt;8.02&lt;/D&gt;&lt;D xsi:type="xsd:double"&gt;7.9&lt;/D&gt;&lt;D xsi:type="xsd:double"&gt;7.8&lt;/D&gt;&lt;D xsi:type="xsd:double"&gt;7.68&lt;/D&gt;&lt;D xsi:type="xsd:double"&gt;7.48&lt;/D&gt;&lt;D xsi:type="xsd:double"&gt;7.64&lt;/D&gt;&lt;D xsi:type="xsd:double"&gt;7.69&lt;/D&gt;&lt;D xsi:type="xsd:double"&gt;7.59&lt;/D&gt;&lt;D xsi:type="xsd:double"&gt;7.54&lt;/D&gt;&lt;D xsi:type="xsd:double"&gt;7.22&lt;/D&gt;&lt;D xsi:type="xsd:double"&gt;7.05&lt;/D&gt;&lt;D xsi:type="xsd:double"&gt;7.29&lt;/D&gt;&lt;D xsi:type="xsd:double"&gt;7.29&lt;/D&gt;&lt;D xsi:type="xsd:double"&gt;7.26&lt;/D&gt;&lt;D xsi:type="xsd:double"&gt;7.23&lt;/D&gt;&lt;D xsi:type="xsd:double"&gt;7.2&lt;/D&gt;&lt;D xsi:type="xsd:double"&gt;7.32&lt;/D&gt;&lt;D xsi:type="xsd:double"&gt;7.23&lt;/D&gt;&lt;D xsi:type="xsd:double"&gt;7.25&lt;/D&gt;&lt;D xsi:type="xsd:double"&gt;7.18&lt;/D&gt;&lt;D xsi:type="xsd:double"&gt;6.77&lt;/D&gt;&lt;D xsi:type="xsd:double"&gt;6.58&lt;/D&gt;&lt;D xsi:type="xsd:double"&gt;6.58&lt;/D&gt;&lt;D xsi:type="xsd:double"&gt;7.09&lt;/D&gt;&lt;D xsi:type="xsd:double"&gt;6.93&lt;/D&gt;&lt;D xsi:type="xsd:double"&gt;6.81&lt;/D&gt;&lt;D xsi:type="xsd:double"&gt;5.68&lt;/D&gt;&lt;D xsi:type="xsd:double"&gt;5.02&lt;/D&gt;&lt;D xsi:type="xsd:double"&gt;5.18&lt;/D&gt;&lt;D xsi:type="xsd:double"&gt;5.06&lt;/D&gt;&lt;D xsi:type="xsd:double"&gt;5.5&lt;/D&gt;&lt;D xsi:type="xsd:double"&gt;5.41&lt;/D&gt;&lt;D xsi:type="xsd:double"&gt;5.43&lt;/D&gt;&lt;D xsi:type="xsd:double"&gt;6.77&lt;/D&gt;&lt;D xsi:type="xsd:double"&gt;6.37&lt;/D&gt;&lt;D xsi:type="xsd:double"&gt;6.32&lt;/D&gt;&lt;D xsi:type="xsd:double"&gt;6.68&lt;/D&gt;&lt;D xsi:type="xsd:double"&gt;6.5&lt;/D&gt;&lt;D xsi:type="xsd:double"&gt;6.85&lt;/D&gt;&lt;D xsi:type="xsd:double"&gt;6.42&lt;/D&gt;&lt;D xsi:type="xsd:double"&gt;6.59&lt;/D&gt;&lt;D xsi:type="xsd:double"&gt;6.54&lt;/D&gt;&lt;D xsi:type="xsd:double"&gt;6.51&lt;/D&gt;&lt;D xsi:type="xsd:double"&gt;6.4&lt;/D&gt;&lt;D xsi:type="xsd:double"&gt;6.31&lt;/D&gt;&lt;D xsi:type="xsd:double"&gt;6.25&lt;/D&gt;&lt;D xsi:type="xsd:double"&gt;6.31&lt;/D&gt;&lt;D xsi:type="xsd:double"&gt;6.46&lt;/D&gt;&lt;D xsi:type="xsd:double"&gt;8.59&lt;/D&gt;&lt;D xsi:type="xsd:double"&gt;7.84&lt;/D&gt;&lt;D xsi:type="xsd:double"&gt;9.21&lt;/D&gt;&lt;D xsi:type="xsd:double"&gt;11.5&lt;/D&gt;&lt;D xsi:type="xsd:double"&gt;10.2&lt;/D&gt;&lt;D xsi:type="xsd:double"&gt;9.88&lt;/D&gt;&lt;D xsi:type="xsd:double"&gt;9.75&lt;/D&gt;&lt;D xsi:type="xsd:double"&gt;9.7&lt;/D&gt;&lt;D xsi:type="xsd:double"&gt;10.05&lt;/D&gt;&lt;D xsi:type="xsd:double"&gt;10.4&lt;/D&gt;&lt;D xsi:type="xsd:double"&gt;11&lt;/D&gt;&lt;D xsi:type="xsd:double"&gt;11.5&lt;/D&gt;&lt;D xsi:type="xsd:double"&gt;12.9&lt;/D&gt;&lt;D xsi:type="xsd:double"&gt;12.5&lt;/D&gt;&lt;D xsi:type="xsd:double"&gt;12.8&lt;/D&gt;&lt;D xsi:type="xsd:double"&gt;13.6&lt;/D&gt;&lt;D xsi:type="xsd:double"&gt;12.85&lt;/D&gt;&lt;D xsi:type="xsd:double"&gt;13.7&lt;/D&gt;&lt;D xsi:type="xsd:double"&gt;17.25&lt;/D&gt;&lt;D xsi:type="xsd:double"&gt;23.1&lt;/D&gt;&lt;D xsi:type="xsd:double"&gt;29.25&lt;/D&gt;&lt;D xsi:type="xsd:double"&gt;27.3&lt;/D&gt;&lt;D xsi:type="xsd:double"&gt;23.35&lt;/D&gt;&lt;D xsi:type="xsd:double"&gt;22.6&lt;/D&gt;&lt;D xsi:type="xsd:double"&gt;19.75&lt;/D&gt;&lt;D xsi:type="xsd:double"&gt;21.5&lt;/D&gt;&lt;D xsi:type="xsd:double"&gt;25.6&lt;/D&gt;&lt;D xsi:type="xsd:double"&gt;29&lt;/D&gt;&lt;D xsi:type="xsd:double"&gt;26.05&lt;/D&gt;&lt;D xsi:type="xsd:double"&gt;29.15&lt;/D&gt;&lt;D xsi:type="xsd:double"&gt;32.6&lt;/D&gt;&lt;D xsi:type="xsd:double"&gt;34&lt;/D&gt;&lt;D xsi:type="xsd:double"&gt;40.15&lt;/D&gt;&lt;D xsi:type="xsd:double"&gt;42.75&lt;/D&gt;&lt;D xsi:type="xsd:double"&gt;50.6&lt;/D&gt;&lt;D xsi:type="xsd:double"&gt;60.4&lt;/D&gt;&lt;D xsi:type="xsd:double"&gt;79.8&lt;/D&gt;&lt;D xsi:type="xsd:double"&gt;91.5&lt;/D&gt;&lt;D xsi:type="xsd:double"&gt;74&lt;/D&gt;&lt;D xsi:type="xsd:double"&gt;91.8&lt;/D&gt;&lt;D xsi:type="xsd:double"&gt;108&lt;/D&gt;&lt;D xsi:type="xsd:double"&gt;115.5&lt;/D&gt;&lt;D xsi:type="xsd:double"&gt;116&lt;/D&gt;&lt;D xsi:type="xsd:double"&gt;149.5&lt;/D&gt;&lt;D xsi:type="xsd:double"&gt;151&lt;/D&gt;&lt;D xsi:type="xsd:double"&gt;191&lt;/D&gt;&lt;D xsi:type="xsd:double"&gt;195.5&lt;/D&gt;&lt;D xsi:type="xsd:double"&gt;188&lt;/D&gt;&lt;D xsi:type="xsd:double"&gt;145.5&lt;/D&gt;&lt;D xsi:type="xsd:double"&gt;117&lt;/D&gt;&lt;D xsi:type="xsd:double"&gt;131&lt;/D&gt;&lt;D xsi:type="xsd:double"&gt;133&lt;/D&gt;&lt;D xsi:type="xsd:double"&gt;130.5&lt;/D&gt;&lt;D xsi:type="xsd:double"&gt;137&lt;/D&gt;&lt;D xsi:type="xsd:double"&gt;120.5&lt;/D&gt;&lt;D xsi:type="xsd:double"&gt;125.5&lt;/D&gt;&lt;D xsi:type="xsd:double"&gt;123&lt;/D&gt;&lt;D xsi:type="xsd:double"&gt;126.5&lt;/D&gt;&lt;D xsi:type="xsd:double"&gt;108&lt;/D&gt;&lt;D xsi:type="xsd:double"&gt;96.8&lt;/D&gt;&lt;D xsi:type="xsd:double"&gt;92.3&lt;/D&gt;&lt;D xsi:type="xsd:double"&gt;85.1&lt;/D&gt;&lt;D xsi:type="xsd:double"&gt;96.5&lt;/D&gt;&lt;D xsi:type="xsd:double"&gt;107.5&lt;/D&gt;&lt;D xsi:type="xsd:double"&gt;106.5&lt;/D&gt;&lt;D xsi:type="xsd:double"&gt;107.5&lt;/D&gt;&lt;D xsi:type="xsd:double"&gt;108.5&lt;/D&gt;&lt;D xsi:type="xsd:double"&gt;121&lt;/D&gt;&lt;D xsi:type="xsd:double"&gt;124&lt;/D&gt;&lt;D xsi:type="xsd:double"&gt;123.5&lt;/D&gt;&lt;D xsi:type="xsd:double"&gt;122.5&lt;/D&gt;&lt;D xsi:type="xsd:double"&gt;121&lt;/D&gt;&lt;D xsi:type="xsd:double"&gt;113.5&lt;/D&gt;&lt;D xsi:type="xsd:double"&gt;107.5&lt;/D&gt;&lt;D xsi:type="xsd:double"&gt;99&lt;/D&gt;&lt;D xsi:type="xsd:double"&gt;98.6&lt;/D&gt;&lt;D xsi:type="xsd:double"&gt;112&lt;/D&gt;&lt;D xsi:type="xsd:double"&gt;116.5&lt;/D&gt;&lt;D xsi:type="xsd:double"&gt;115.5&lt;/D&gt;&lt;D xsi:type="xsd:double"&gt;133&lt;/D&gt;&lt;D xsi:type="xsd:double"&gt;125.5&lt;/D&gt;&lt;D xsi:type="xsd:double"&gt;130&lt;/D&gt;&lt;D xsi:type="xsd:double"&gt;122&lt;/D&gt;&lt;D xsi:type="xsd:double"&gt;126.5&lt;/D&gt;&lt;D xsi:type="xsd:double"&gt;124&lt;/D&gt;&lt;D xsi:type="xsd:double"&gt;124&lt;/D&gt;&lt;D xsi:type="xsd:double"&gt;126.5&lt;/D&gt;&lt;D xsi:type="xsd:double"&gt;126&lt;/D&gt;&lt;D xsi:type="xsd:double"&gt;130.5&lt;/D&gt;&lt;D xsi:type="xsd:double"&gt;123.5&lt;/D&gt;&lt;D xsi:type="xsd:double"&gt;117.5&lt;/D&gt;&lt;D xsi:type="xsd:double"&gt;128&lt;/D&gt;&lt;D xsi:type="xsd:double"&gt;126.5&lt;/D&gt;&lt;D xsi:type="xsd:double"&gt;126&lt;/D&gt;&lt;D xsi:type="xsd:double"&gt;119.5&lt;/D&gt;&lt;D xsi:type="xsd:double"&gt;98.3&lt;/D&gt;&lt;D xsi:type="xsd:double"&gt;77.8&lt;/D&gt;&lt;D xsi:type="xsd:double"&gt;86.5&lt;/D&gt;&lt;D xsi:type="xsd:double"&gt;86&lt;/D&gt;&lt;D xsi:type="xsd:double"&gt;89.5&lt;/D&gt;&lt;D xsi:type="xsd:double"&gt;89.6&lt;/D&gt;&lt;D xsi:type="xsd:double"&gt;90.5&lt;/D&gt;&lt;D xsi:type="xsd:double"&gt;91.1&lt;/D&gt;&lt;D xsi:type="xsd:double"&gt;86.4&lt;/D&gt;&lt;D xsi:type="xsd:double"&gt;83.4&lt;/D&gt;&lt;D xsi:type="xsd:double"&gt;71.1&lt;/D&gt;&lt;D xsi:type="xsd:double"&gt;67.8&lt;/D&gt;&lt;D xsi:type="xsd:double"&gt;73.5&lt;/D&gt;&lt;D xsi:type="xsd:double"&gt;67.4&lt;/D&gt;&lt;D xsi:type="xsd:double"&gt;61.5&lt;/D&gt;&lt;D xsi:type="xsd:double"&gt;65.1&lt;/D&gt;&lt;D xsi:type="xsd:double"&gt;62.8&lt;/D&gt;&lt;D xsi:type="xsd:double"&gt;61&lt;/D&gt;&lt;D xsi:type="xsd:double"&gt;60.6&lt;/D&gt;&lt;D xsi:type="xsd:double"&gt;61.2&lt;/D&gt;&lt;D xsi:type="xsd:double"&gt;65.2&lt;/D&gt;&lt;D xsi:type="xsd:double"&gt;63&lt;/D&gt;&lt;D xsi:type="xsd:double"&gt;64.9&lt;/D&gt;&lt;D xsi:type="xsd:double"&gt;64.8&lt;/D&gt;&lt;D xsi:type="xsd:double"&gt;62.8&lt;/D&gt;&lt;D xsi:type="xsd:double"&gt;65.3&lt;/D&gt;&lt;D xsi:type="xsd:double"&gt;67.3&lt;/D&gt;&lt;D xsi:type="xsd:double"&gt;65.5&lt;/D&gt;&lt;D xsi:type="xsd:double"&gt;63.6&lt;/D&gt;&lt;D xsi:type="xsd:double"&gt;61.9&lt;/D&gt;&lt;D xsi:type="xsd:double"&gt;62&lt;/D&gt;&lt;D xsi:type="xsd:double"&gt;63.6&lt;/D&gt;&lt;D xsi:type="xsd:double"&gt;60.6&lt;/D&gt;&lt;D xsi:type="xsd:double"&gt;59.8&lt;/D&gt;&lt;D xsi:type="xsd:double"&gt;64.6&lt;/D&gt;&lt;D xsi:type="xsd:double"&gt;67.1&lt;/D&gt;&lt;D xsi:type="xsd:double"&gt;68.7&lt;/D&gt;&lt;D xsi:type="xsd:double"&gt;65.4&lt;/D&gt;&lt;D xsi:type="xsd:double"&gt;64.2&lt;/D&gt;&lt;D xsi:type="xsd:double"&gt;64.3&lt;/D&gt;&lt;D xsi:type="xsd:double"&gt;65.6&lt;/D&gt;&lt;D xsi:type="xsd:double"&gt;66.8&lt;/D&gt;&lt;D xsi:type="xsd:double"&gt;64.9&lt;/D&gt;&lt;D xsi:type="xsd:double"&gt;63.1&lt;/D&gt;&lt;D xsi:type="xsd:double"&gt;61.2&lt;/D&gt;&lt;D xsi:type="xsd:double"&gt;60.2&lt;/D&gt;&lt;D xsi:type="xsd:double"&gt;61.3&lt;/D&gt;&lt;D xsi:type="xsd:double"&gt;61.3&lt;/D&gt;&lt;D xsi:type="xsd:double"&gt;61.5&lt;/D&gt;&lt;D xsi:type="xsd:double"&gt;62.9&lt;/D&gt;&lt;D xsi:type="xsd:double"&gt;64.8&lt;/D&gt;&lt;D xsi:type="xsd:double"&gt;61.5&lt;/D&gt;&lt;D xsi:type="xsd:double"&gt;63&lt;/D&gt;&lt;D xsi:type="xsd:double"&gt;50.6&lt;/D&gt;&lt;D xsi:type="xsd:double"&gt;44.6&lt;/D&gt;&lt;D xsi:type="xsd:double"&gt;47.35&lt;/D&gt;&lt;D xsi:type="xsd:double"&gt;47.75&lt;/D&gt;&lt;D xsi:type="xsd:double"&gt;47.15&lt;/D&gt;&lt;D xsi:type="xsd:double"&gt;45.3&lt;/D&gt;&lt;D xsi:type="xsd:double"&gt;43.9&lt;/D&gt;&lt;D xsi:type="xsd:double"&gt;42.05&lt;/D&gt;&lt;D xsi:type="xsd:double"&gt;42.1&lt;/D&gt;&lt;D xsi:type="xsd:double"&gt;42.65&lt;/D&gt;&lt;D xsi:type="xsd:double"&gt;46.45&lt;/D&gt;&lt;D xsi:type="xsd:double"&gt;45.8&lt;/D&gt;&lt;D xsi:type="xsd:double"&gt;45.45&lt;/D&gt;&lt;D xsi:type="xsd:double"&gt;45&lt;/D&gt;&lt;D xsi:type="xsd:double"&gt;42.55&lt;/D&gt;&lt;D xsi:type="xsd:double"&gt;42.35&lt;/D&gt;&lt;D xsi:type="xsd:double"&gt;43&lt;/D&gt;&lt;D xsi:type="xsd:double"&gt;43.25&lt;/D&gt;&lt;D xsi:type="xsd:double"&gt;41.3&lt;/D&gt;&lt;D xsi:type="xsd:double"&gt;41.8&lt;/D&gt;&lt;D xsi:type="xsd:double"&gt;41.75&lt;/D&gt;&lt;D xsi:type="xsd:double"&gt;43.3&lt;/D&gt;&lt;D xsi:type="xsd:double"&gt;44&lt;/D&gt;&lt;D xsi:type="xsd:double"&gt;44.25&lt;/D&gt;&lt;D xsi:type="xsd:double"&gt;57.5&lt;/D&gt;&lt;D xsi:type="xsd:double"&gt;51.3&lt;/D&gt;&lt;D xsi:type="xsd:double"&gt;58&lt;/D&gt;&lt;D xsi:type="xsd:double"&gt;51.8&lt;/D&gt;&lt;D xsi:type="xsd:double"&gt;50.9&lt;/D&gt;&lt;D xsi:type="xsd:double"&gt;48.9&lt;/D&gt;&lt;D xsi:type="xsd:double"&gt;47.75&lt;/D&gt;&lt;D xsi:type="xsd:double"&gt;47.3&lt;/D&gt;&lt;D xsi:type="xsd:double"&gt;46.9&lt;/D&gt;&lt;D xsi:type="xsd:double"&gt;49.1&lt;/D&gt;&lt;D xsi:type="xsd:double"&gt;49.15&lt;/D&gt;&lt;D xsi:type="xsd:double"&gt;47.55&lt;/D&gt;&lt;D xsi:type="xsd:double"&gt;46.5&lt;/D&gt;&lt;D xsi:type="xsd:double"&gt;45.15&lt;/D&gt;&lt;D xsi:type="xsd:double"&gt;44.4&lt;/D&gt;&lt;D xsi:type="xsd:double"&gt;43.8&lt;/D&gt;&lt;D xsi:type="xsd:double"&gt;45.2&lt;/D&gt;&lt;D xsi:type="xsd:double"&gt;45.15&lt;/D&gt;&lt;D xsi:type="xsd:double"&gt;51.8&lt;/D&gt;&lt;D xsi:type="xsd:double"&gt;50.4&lt;/D&gt;&lt;D xsi:type="xsd:double"&gt;60.6&lt;/D&gt;&lt;D xsi:type="xsd:double"&gt;71&lt;/D&gt;&lt;D xsi:type="xsd:double"&gt;73.5&lt;/D&gt;&lt;D xsi:type="xsd:double"&gt;71.5&lt;/D&gt;&lt;D xsi:type="xsd:double"&gt;82.9&lt;/D&gt;&lt;D xsi:type="xsd:double"&gt;75.4&lt;/D&gt;&lt;D xsi:type="xsd:double"&gt;75.9&lt;/D&gt;&lt;D xsi:type="xsd:double"&gt;74.6&lt;/D&gt;&lt;D xsi:type="xsd:double"&gt;72.3&lt;/D&gt;&lt;D xsi:type="xsd:double"&gt;64&lt;/D&gt;&lt;D xsi:type="xsd:double"&gt;60.2&lt;/D&gt;&lt;D xsi:type="xsd:double"&gt;60.3&lt;/D&gt;&lt;D xsi:type="xsd:double"&gt;64.1&lt;/D&gt;&lt;D xsi:type="xsd:double"&gt;60.8&lt;/D&gt;&lt;D xsi:type="xsd:double"&gt;63.8&lt;/D&gt;&lt;D xsi:type="xsd:double"&gt;63.6&lt;/D&gt;&lt;D xsi:type="xsd:double"&gt;64.5&lt;/D&gt;&lt;D xsi:type="xsd:double"&gt;62.1&lt;/D&gt;&lt;D xsi:type="xsd:double"&gt;62.4&lt;/D&gt;&lt;D xsi:type="xsd:double"&gt;63.6&lt;/D&gt;&lt;D xsi:type="xsd:double"&gt;72.9&lt;/D&gt;&lt;D xsi:type="xsd:double"&gt;64.1&lt;/D&gt;&lt;D xsi:type="xsd:double"&gt;62.8&lt;/D&gt;&lt;D xsi:type="xsd:double"&gt;65.9&lt;/D&gt;&lt;D xsi:type="xsd:double"&gt;67.8&lt;/D&gt;&lt;D xsi:type="xsd:double"&gt;70&lt;/D&gt;&lt;D xsi:type="xsd:double"&gt;71.5&lt;/D&gt;&lt;D xsi:type="xsd:double"&gt;72.2&lt;/D&gt;&lt;D xsi:type="xsd:double"&gt;77.5&lt;/D&gt;&lt;D xsi:type="xsd:double"&gt;73.2&lt;/D&gt;&lt;D xsi:type="xsd:double"&gt;75.6&lt;/D&gt;&lt;D xsi:type="xsd:double"&gt;80.4&lt;/D&gt;&lt;D xsi:type="xsd:double"&gt;79.7&lt;/D&gt;&lt;D xsi:type="xsd:double"&gt;75.7&lt;/D&gt;&lt;D xsi:type="xsd:double"&gt;77.4&lt;/D&gt;&lt;D xsi:type="xsd:double"&gt;72.2&lt;/D&gt;&lt;D xsi:type="xsd:double"&gt;68.8&lt;/D&gt;&lt;D xsi:type="xsd:double"&gt;67.8&lt;/D&gt;&lt;D xsi:type="xsd:double"&gt;67.4&lt;/D&gt;&lt;D xsi:type="xsd:double"&gt;70.3&lt;/D&gt;&lt;D xsi:type="xsd:double"&gt;71.4&lt;/D&gt;&lt;D xsi:type="xsd:double"&gt;72.9&lt;/D&gt;&lt;D xsi:type="xsd:double"&gt;74.8&lt;/D&gt;&lt;D xsi:type="xsd:double"&gt;74.2&lt;/D&gt;&lt;D xsi:type="xsd:double"&gt;76.8&lt;/D&gt;&lt;D xsi:type="xsd:double"&gt;75.2&lt;/D&gt;&lt;D xsi:type="xsd:double"&gt;77.4&lt;/D&gt;&lt;D xsi:type="xsd:double"&gt;68.4&lt;/D&gt;&lt;D xsi:type="xsd:double"&gt;72.1&lt;/D&gt;&lt;D xsi:type="xsd:double"&gt;69.8&lt;/D&gt;&lt;D xsi:type="xsd:double"&gt;70.9&lt;/D&gt;&lt;D xsi:type="xsd:double"&gt;71.8&lt;/D&gt;&lt;D xsi:type="xsd:double"&gt;84&lt;/D&gt;&lt;D xsi:type="xsd:double"&gt;83.7&lt;/D&gt;&lt;D xsi:type="xsd:double"&gt;79.6&lt;/D&gt;&lt;D xsi:type="xsd:double"&gt;73.5&lt;/D&gt;&lt;D xsi:type="xsd:double"&gt;74.1&lt;/D&gt;&lt;D xsi:type="xsd:double"&gt;73&lt;/D&gt;&lt;D xsi:type="xsd:double"&gt;72.6&lt;/D&gt;&lt;D xsi:type="xsd:double"&gt;73.4&lt;/D&gt;&lt;D xsi:type="xsd:double"&gt;62.5&lt;/D&gt;&lt;D xsi:type="xsd:double"&gt;62.9&lt;/D&gt;&lt;D xsi:type="xsd:double"&gt;63.1&lt;/D&gt;&lt;D xsi:type="xsd:double"&gt;61.1&lt;/D&gt;&lt;D xsi:type="xsd:double"&gt;61&lt;/D&gt;&lt;D xsi:type="xsd:double"&gt;61.2&lt;/D&gt;&lt;D xsi:type="xsd:double"&gt;59.6&lt;/D&gt;&lt;D xsi:type="xsd:double"&gt;57.7&lt;/D&gt;&lt;D xsi:type="xsd:double"&gt;57.9&lt;/D&gt;&lt;D xsi:type="xsd:double"&gt;56.5&lt;/D&gt;&lt;D xsi:type="xsd:double"&gt;57.1&lt;/D&gt;&lt;D xsi:type="xsd:double"&gt;53.3&lt;/D&gt;&lt;D xsi:type="xsd:double"&gt;52&lt;/D&gt;&lt;D xsi:type="xsd:double"&gt;51.3&lt;/D&gt;&lt;D xsi:type="xsd:double"&gt;54.1&lt;/D&gt;&lt;D xsi:type="xsd:double"&gt;54&lt;/D&gt;&lt;D xsi:type="xsd:double"&gt;57.5&lt;/D&gt;&lt;D xsi:type="xsd:double"&gt;54.3&lt;/D&gt;&lt;D xsi:type="xsd:double"&gt;53.7&lt;/D&gt;&lt;D xsi:type="xsd:double"&gt;51&lt;/D&gt;&lt;D xsi:type="xsd:double"&gt;52&lt;/D&gt;&lt;D xsi:type="xsd:double"&gt;51.7&lt;/D&gt;&lt;D xsi:type="xsd:double"&gt;50.8&lt;/D&gt;&lt;D xsi:type="xsd:double"&gt;52.3&lt;/D&gt;&lt;D xsi:type="xsd:double"&gt;56.1&lt;/D&gt;&lt;D xsi:type="xsd:double"&gt;56&lt;/D&gt;&lt;D xsi:type="xsd:double"&gt;56.2&lt;/D&gt;&lt;D xsi:type="xsd:double"&gt;54.5&lt;/D&gt;&lt;D xsi:type="xsd:double"&gt;54.3&lt;/D&gt;&lt;D xsi:type="xsd:double"&gt;53.4&lt;/D&gt;&lt;D xsi:type="xsd:double"&gt;52.2&lt;/D&gt;&lt;D xsi:type="xsd:double"&gt;53.3&lt;/D&gt;&lt;/FQL&gt;&lt;FQL&gt;&lt;Q&gt;2603-TW^P_PRICE(1/4/2019,NOW,W)&lt;/Q&gt;&lt;R&gt;367&lt;/R&gt;&lt;C&gt;1&lt;/C&gt;&lt;D xsi:type="xsd:double"&gt;28.794071&lt;/D&gt;&lt;D xsi:type="xsd:double"&gt;29.662857&lt;/D&gt;&lt;D xsi:type="xsd:double"&gt;29.911081&lt;/D&gt;&lt;D xsi:type="xsd:double"&gt;29.911081&lt;/D&gt;&lt;D xsi:type="xsd:double"&gt;29.662857&lt;/D&gt;&lt;D xsi:type="xsd:double"&gt;29.414635&lt;/D&gt;&lt;D xsi:type="xsd:double"&gt;30.159306&lt;/D&gt;&lt;D xsi:type="xsd:double"&gt;30.90398&lt;/D&gt;&lt;D xsi:type="xsd:double"&gt;30.159306&lt;/D&gt;&lt;D xsi:type="xsd:double"&gt;30.28342&lt;/D&gt;&lt;D xsi:type="xsd:double"&gt;30.407532&lt;/D&gt;&lt;D xsi:type="xsd:double"&gt;29.662857&lt;/D&gt;&lt;D xsi:type="xsd:double"&gt;29.78697&lt;/D&gt;&lt;D xsi:type="xsd:double"&gt;30.28342&lt;/D&gt;&lt;D xsi:type="xsd:double"&gt;32.145103&lt;/D&gt;&lt;D xsi:type="xsd:double"&gt;33.013893&lt;/D&gt;&lt;D xsi:type="xsd:double"&gt;34.00679&lt;/D&gt;&lt;D xsi:type="xsd:double"&gt;31.028095&lt;/D&gt;&lt;D xsi:type="xsd:double"&gt;29.911081&lt;/D&gt;&lt;D xsi:type="xsd:double"&gt;30.035194&lt;/D&gt;&lt;D xsi:type="xsd:double"&gt;30.035194&lt;/D&gt;&lt;D xsi:type="xsd:double"&gt;29.662857&lt;/D&gt;&lt;D xsi:type="xsd:double"&gt;29.911081&lt;/D&gt;&lt;D xsi:type="xsd:double"&gt;30.90398&lt;/D&gt;&lt;D xsi:type="xsd:double"&gt;30.90398&lt;/D&gt;&lt;D xsi:type="xsd:double"&gt;33.634457&lt;/D&gt;&lt;D xsi:type="xsd:double"&gt;32.88978&lt;/D&gt;&lt;D xsi:type="xsd:double"&gt;33.88268&lt;/D&gt;&lt;D xsi:type="xsd:double"&gt;34.751465&lt;/D&gt;&lt;D xsi:type="xsd:double"&gt;33.262115&lt;/D&gt;&lt;D xsi:type="xsd:double"&gt;33.138004&lt;/D&gt;&lt;D xsi:type="xsd:double"&gt;31.40043&lt;/D&gt;&lt;D xsi:type="xsd:double"&gt;32.020992&lt;/D&gt;&lt;D xsi:type="xsd:double"&gt;31.896881&lt;/D&gt;&lt;D xsi:type="xsd:double"&gt;32.641556&lt;/D&gt;&lt;D xsi:type="xsd:double"&gt;33.013893&lt;/D&gt;&lt;D xsi:type="xsd:double"&gt;32.51744&lt;/D&gt;&lt;D xsi:type="xsd:double"&gt;32.26922&lt;/D&gt;&lt;D xsi:type="xsd:double"&gt;31.648655&lt;/D&gt;&lt;D xsi:type="xsd:double"&gt;31.524544&lt;/D&gt;&lt;D xsi:type="xsd:double"&gt;32.641556&lt;/D&gt;&lt;D xsi:type="xsd:double"&gt;32.765667&lt;/D&gt;&lt;D xsi:type="xsd:double"&gt;31.028095&lt;/D&gt;&lt;D xsi:type="xsd:double"&gt;31.875&lt;/D&gt;&lt;D xsi:type="xsd:double"&gt;31.125&lt;/D&gt;&lt;D xsi:type="xsd:double"&gt;31&lt;/D&gt;&lt;D xsi:type="xsd:double"&gt;31&lt;/D&gt;&lt;D xsi:type="xsd:double"&gt;30.625&lt;/D&gt;&lt;D xsi:type="xsd:double"&gt;31&lt;/D&gt;&lt;D xsi:type="xsd:double"&gt;31&lt;/D&gt;&lt;D xsi:type="xsd:double"&gt;31.25&lt;/D&gt;&lt;D xsi:type="xsd:double"&gt;32.5&lt;/D&gt;&lt;D xsi:type="xsd:double"&gt;32.875&lt;/D&gt;&lt;D xsi:type="xsd:double"&gt;32.5&lt;/D&gt;&lt;D xsi:type="xsd:double"&gt;32.375&lt;/D&gt;&lt;D xsi:type="xsd:double"&gt;29.375&lt;/D&gt;&lt;D xsi:type="xsd:double"&gt;29.125&lt;/D&gt;&lt;D xsi:type="xsd:double"&gt;29.375&lt;/D&gt;&lt;D xsi:type="xsd:double"&gt;29.375&lt;/D&gt;&lt;D xsi:type="xsd:double"&gt;28.875&lt;/D&gt;&lt;D xsi:type="xsd:double"&gt;29.25&lt;/D&gt;&lt;D xsi:type="xsd:double"&gt;26.125&lt;/D&gt;&lt;D xsi:type="xsd:double"&gt;24&lt;/D&gt;&lt;D xsi:type="xsd:double"&gt;23.5&lt;/D&gt;&lt;D xsi:type="xsd:double"&gt;22.75&lt;/D&gt;&lt;D xsi:type="xsd:double"&gt;25.5&lt;/D&gt;&lt;D xsi:type="xsd:double"&gt;25.625&lt;/D&gt;&lt;D xsi:type="xsd:double"&gt;24.849998&lt;/D&gt;&lt;D xsi:type="xsd:double"&gt;27.75&lt;/D&gt;&lt;D xsi:type="xsd:double"&gt;26.375&lt;/D&gt;&lt;D xsi:type="xsd:double"&gt;26.125&lt;/D&gt;&lt;D xsi:type="xsd:double"&gt;26.875&lt;/D&gt;&lt;D xsi:type="xsd:double"&gt;27.25&lt;/D&gt;&lt;D xsi:type="xsd:double"&gt;28.5&lt;/D&gt;&lt;D xsi:type="xsd:double"&gt;27.125&lt;/D&gt;&lt;D xsi:type="xsd:double"&gt;27&lt;/D&gt;&lt;D xsi:type="xsd:double"&gt;26.875&lt;/D&gt;&lt;D xsi:type="xsd:double"&gt;27.875&lt;/D&gt;&lt;D xsi:type="xsd:double"&gt;26.875&lt;/D&gt;&lt;D xsi:type="xsd:double"&gt;27.125&lt;/D&gt;&lt;D xsi:type="xsd:double"&gt;26.75&lt;/D&gt;&lt;D xsi:type="xsd:double"&gt;27.5&lt;/D&gt;&lt;D xsi:type="xsd:double"&gt;28.5&lt;/D&gt;&lt;D xsi:type="xsd:double"&gt;33.875&lt;/D&gt;&lt;D xsi:type="xsd:double"&gt;38&lt;/D&gt;&lt;D xsi:type="xsd:double"&gt;40.875&lt;/D&gt;&lt;D xsi:type="xsd:double"&gt;47&lt;/D&gt;&lt;D xsi:type="xsd:double"&gt;44.25&lt;/D&gt;&lt;D xsi:type="xsd:double"&gt;40.125&lt;/D&gt;&lt;D xsi:type="xsd:double"&gt;38.5&lt;/D&gt;&lt;D xsi:type="xsd:double"&gt;39.625&lt;/D&gt;&lt;D xsi:type="xsd:double"&gt;41.625&lt;/D&gt;&lt;D xsi:type="xsd:double"&gt;44.125&lt;/D&gt;&lt;D xsi:type="xsd:double"&gt;46.5&lt;/D&gt;&lt;D xsi:type="xsd:double"&gt;47.25&lt;/D&gt;&lt;D xsi:type="xsd:double"&gt;50.875&lt;/D&gt;&lt;D xsi:type="xsd:double"&gt;50.25&lt;/D&gt;&lt;D xsi:type="xsd:double"&gt;56.375&lt;/D&gt;&lt;D xsi:type="xsd:double"&gt;62.75&lt;/D&gt;&lt;D xsi:type="xsd:double"&gt;60.5&lt;/D&gt;&lt;D xsi:type="xsd:double"&gt;67.875&lt;/D&gt;&lt;D xsi:type="xsd:double"&gt;76.5&lt;/D&gt;&lt;D xsi:type="xsd:double"&gt;83.625&lt;/D&gt;&lt;D xsi:type="xsd:double"&gt;101.75&lt;/D&gt;&lt;D xsi:type="xsd:double"&gt;100.75&lt;/D&gt;&lt;D xsi:type="xsd:double"&gt;85.625&lt;/D&gt;&lt;D xsi:type="xsd:double"&gt;87.5&lt;/D&gt;&lt;D xsi:type="xsd:double"&gt;78&lt;/D&gt;&lt;D xsi:type="xsd:double"&gt;84.25&lt;/D&gt;&lt;D xsi:type="xsd:double"&gt;92.125&lt;/D&gt;&lt;D xsi:type="xsd:double"&gt;94.875&lt;/D&gt;&lt;D xsi:type="xsd:double"&gt;93.25&lt;/D&gt;&lt;D xsi:type="xsd:double"&gt;97&lt;/D&gt;&lt;D xsi:type="xsd:double"&gt;104.25&lt;/D&gt;&lt;D xsi:type="xsd:double"&gt;107.625&lt;/D&gt;&lt;D xsi:type="xsd:double"&gt;119.75&lt;/D&gt;&lt;D xsi:type="xsd:double"&gt;125&lt;/D&gt;&lt;D xsi:type="xsd:double"&gt;158.25&lt;/D&gt;&lt;D xsi:type="xsd:double"&gt;174.75&lt;/D&gt;&lt;D xsi:type="xsd:double"&gt;197.5&lt;/D&gt;&lt;D xsi:type="xsd:double"&gt;212.5&lt;/D&gt;&lt;D xsi:type="xsd:double"&gt;175.25&lt;/D&gt;&lt;D xsi:type="xsd:double"&gt;211.75&lt;/D&gt;&lt;D xsi:type="xsd:double"&gt;241&lt;/D&gt;&lt;D xsi:type="xsd:double"&gt;291.25&lt;/D&gt;&lt;D xsi:type="xsd:double"&gt;310&lt;/D&gt;&lt;D xsi:type="xsd:double"&gt;350&lt;/D&gt;&lt;D xsi:type="xsd:double"&gt;400&lt;/D&gt;&lt;D xsi:type="xsd:double"&gt;516.25&lt;/D&gt;&lt;D xsi:type="xsd:double"&gt;467.5&lt;/D&gt;&lt;D xsi:type="xsd:double"&gt;446.25&lt;/D&gt;&lt;D xsi:type="xsd:double"&gt;385&lt;/D&gt;&lt;D xsi:type="xsd:double"&gt;330&lt;/D&gt;&lt;D xsi:type="xsd:double"&gt;355&lt;/D&gt;&lt;D xsi:type="xsd:double"&gt;326.25&lt;/D&gt;&lt;D xsi:type="xsd:double"&gt;331.25&lt;/D&gt;&lt;D xsi:type="xsd:double"&gt;352.5&lt;/D&gt;&lt;D xsi:type="xsd:double"&gt;313.75&lt;/D&gt;&lt;D xsi:type="xsd:double"&gt;333.75&lt;/D&gt;&lt;D xsi:type="xsd:double"&gt;320&lt;/D&gt;&lt;D xsi:type="xsd:double"&gt;335&lt;/D&gt;&lt;D xsi:type="xsd:double"&gt;283.75&lt;/D&gt;&lt;D xsi:type="xsd:double"&gt;250&lt;/D&gt;&lt;D xsi:type="xsd:double"&gt;234.75&lt;/D&gt;&lt;D xsi:type="xsd:double"&gt;223&lt;/D&gt;&lt;D xsi:type="xsd:double"&gt;248.75&lt;/D&gt;&lt;D xsi:type="xsd:double"&gt;285&lt;/D&gt;&lt;D xsi:type="xsd:double"&gt;278.75&lt;/D&gt;&lt;D xsi:type="xsd:double"&gt;292.5&lt;/D&gt;&lt;D xsi:type="xsd:double"&gt;296.25&lt;/D&gt;&lt;D xsi:type="xsd:double"&gt;333.75&lt;/D&gt;&lt;D xsi:type="xsd:double"&gt;350&lt;/D&gt;&lt;D xsi:type="xsd:double"&gt;351.25&lt;/D&gt;&lt;D xsi:type="xsd:double"&gt;347.5&lt;/D&gt;&lt;D xsi:type="xsd:double"&gt;356.25&lt;/D&gt;&lt;D xsi:type="xsd:double"&gt;351.25&lt;/D&gt;&lt;D xsi:type="xsd:double"&gt;330&lt;/D&gt;&lt;D xsi:type="xsd:double"&gt;288.75&lt;/D&gt;&lt;D xsi:type="xsd:double"&gt;282.5&lt;/D&gt;&lt;D xsi:type="xsd:double"&gt;328.75&lt;/D&gt;&lt;D xsi:type="xsd:double"&gt;353.75&lt;/D&gt;&lt;D xsi:type="xsd:double"&gt;358.75&lt;/D&gt;&lt;D xsi:type="xsd:double"&gt;397.5&lt;/D&gt;&lt;D xsi:type="xsd:double"&gt;400&lt;/D&gt;&lt;D xsi:type="xsd:double"&gt;352.5&lt;/D&gt;&lt;D xsi:type="xsd:double"&gt;331.25&lt;/D&gt;&lt;D xsi:type="xsd:double"&gt;346.25&lt;/D&gt;&lt;D xsi:type="xsd:double"&gt;338.75&lt;/D&gt;&lt;D xsi:type="xsd:double"&gt;353.75&lt;/D&gt;&lt;D xsi:type="xsd:double"&gt;368.75&lt;/D&gt;&lt;D xsi:type="xsd:double"&gt;362.5&lt;/D&gt;&lt;D xsi:type="xsd:double"&gt;385&lt;/D&gt;&lt;D xsi:type="xsd:double"&gt;358.75&lt;/D&gt;&lt;D xsi:type="xsd:double"&gt;337.5&lt;/D&gt;&lt;D xsi:type="xsd:double"&gt;361.25&lt;/D&gt;&lt;D xsi:type="xsd:double"&gt;361.25&lt;/D&gt;&lt;D xsi:type="xsd:double"&gt;347.5&lt;/D&gt;&lt;D xsi:type="xsd:double"&gt;298.75&lt;/D&gt;&lt;D xsi:type="xsd:double"&gt;246.75&lt;/D&gt;&lt;D xsi:type="xsd:double"&gt;199.5&lt;/D&gt;&lt;D xsi:type="xsd:double"&gt;231.75&lt;/D&gt;&lt;D xsi:type="xsd:double"&gt;223.25&lt;/D&gt;&lt;D xsi:type="xsd:double"&gt;235.5&lt;/D&gt;&lt;D xsi:type="xsd:double"&gt;238.75&lt;/D&gt;&lt;D xsi:type="xsd:double"&gt;248&lt;/D&gt;&lt;D xsi:type="xsd:double"&gt;260&lt;/D&gt;&lt;D xsi:type="xsd:double"&gt;245&lt;/D&gt;&lt;D xsi:type="xsd:double"&gt;233.75&lt;/D&gt;&lt;D xsi:type="xsd:double"&gt;199.25&lt;/D&gt;&lt;D xsi:type="xsd:double"&gt;187&lt;/D&gt;&lt;D xsi:type="xsd:double"&gt;187&lt;/D&gt;&lt;D xsi:type="xsd:double"&gt;158&lt;/D&gt;&lt;D xsi:type="xsd:double"&gt;146&lt;/D&gt;&lt;D xsi:type="xsd:double"&gt;155.5&lt;/D&gt;&lt;D xsi:type="xsd:double"&gt;152.5&lt;/D&gt;&lt;D xsi:type="xsd:double"&gt;135.5&lt;/D&gt;&lt;D xsi:type="xsd:double"&gt;137.5&lt;/D&gt;&lt;D xsi:type="xsd:double"&gt;139&lt;/D&gt;&lt;D xsi:type="xsd:double"&gt;150&lt;/D&gt;&lt;D xsi:type="xsd:double"&gt;150.5&lt;/D&gt;&lt;D xsi:type="xsd:double"&gt;160.5&lt;/D&gt;&lt;D xsi:type="xsd:double"&gt;158.5&lt;/D&gt;&lt;D xsi:type="xsd:double"&gt;154.5&lt;/D&gt;&lt;D xsi:type="xsd:double"&gt;164&lt;/D&gt;&lt;D xsi:type="xsd:double"&gt;167.5&lt;/D&gt;&lt;D xsi:type="xsd:double"&gt;163&lt;/D&gt;&lt;D xsi:type="xsd:double"&gt;159&lt;/D&gt;&lt;D xsi:type="xsd:double"&gt;152.5&lt;/D&gt;&lt;D xsi:type="xsd:double"&gt;152.5&lt;/D&gt;&lt;D xsi:type="xsd:double"&gt;157&lt;/D&gt;&lt;D xsi:type="xsd:double"&gt;147&lt;/D&gt;&lt;D xsi:type="xsd:double"&gt;146&lt;/D&gt;&lt;D xsi:type="xsd:double"&gt;157&lt;/D&gt;&lt;D xsi:type="xsd:double"&gt;163&lt;/D&gt;&lt;D xsi:type="xsd:double"&gt;165&lt;/D&gt;&lt;D xsi:type="xsd:double"&gt;162&lt;/D&gt;&lt;D xsi:type="xsd:double"&gt;160.5&lt;/D&gt;&lt;D xsi:type="xsd:double"&gt;158.5&lt;/D&gt;&lt;D xsi:type="xsd:double"&gt;163.5&lt;/D&gt;&lt;D xsi:type="xsd:double"&gt;170&lt;/D&gt;&lt;D xsi:type="xsd:double"&gt;166&lt;/D&gt;&lt;D xsi:type="xsd:double"&gt;161.5&lt;/D&gt;&lt;D xsi:type="xsd:double"&gt;151.5&lt;/D&gt;&lt;D xsi:type="xsd:double"&gt;152.5&lt;/D&gt;&lt;D xsi:type="xsd:double"&gt;150.5&lt;/D&gt;&lt;D xsi:type="xsd:double"&gt;152.5&lt;/D&gt;&lt;D xsi:type="xsd:double"&gt;152.5&lt;/D&gt;&lt;D xsi:type="xsd:double"&gt;155&lt;/D&gt;&lt;D xsi:type="xsd:double"&gt;166&lt;/D&gt;&lt;D xsi:type="xsd:double"&gt;158&lt;/D&gt;&lt;D xsi:type="xsd:double"&gt;93.5&lt;/D&gt;&lt;D xsi:type="xsd:double"&gt;108&lt;/D&gt;&lt;D xsi:type="xsd:double"&gt;96.5&lt;/D&gt;&lt;D xsi:type="xsd:double"&gt;101&lt;/D&gt;&lt;D xsi:type="xsd:double"&gt;107.5&lt;/D&gt;&lt;D xsi:type="xsd:double"&gt;109&lt;/D&gt;&lt;D xsi:type="xsd:double"&gt;108&lt;/D&gt;&lt;D xsi:type="xsd:double"&gt;107&lt;/D&gt;&lt;D xsi:type="xsd:double"&gt;105.5&lt;/D&gt;&lt;D xsi:type="xsd:double"&gt;105.5&lt;/D&gt;&lt;D xsi:type="xsd:double"&gt;107&lt;/D&gt;&lt;D xsi:type="xsd:double"&gt;118.5&lt;/D&gt;&lt;D xsi:type="xsd:double"&gt;114.5&lt;/D&gt;&lt;D xsi:type="xsd:double"&gt;116&lt;/D&gt;&lt;D xsi:type="xsd:double"&gt;111&lt;/D&gt;&lt;D xsi:type="xsd:double"&gt;105&lt;/D&gt;&lt;D xsi:type="xsd:double"&gt;103.5&lt;/D&gt;&lt;D xsi:type="xsd:double"&gt;108&lt;/D&gt;&lt;D xsi:type="xsd:double"&gt;113&lt;/D&gt;&lt;D xsi:type="xsd:double"&gt;109&lt;/D&gt;&lt;D xsi:type="xsd:double"&gt;115&lt;/D&gt;&lt;D xsi:type="xsd:double"&gt;113&lt;/D&gt;&lt;D xsi:type="xsd:double"&gt;114.5&lt;/D&gt;&lt;D xsi:type="xsd:double"&gt;118.5&lt;/D&gt;&lt;D xsi:type="xsd:double"&gt;134&lt;/D&gt;&lt;D xsi:type="xsd:double"&gt;153&lt;/D&gt;&lt;D xsi:type="xsd:double"&gt;143.5&lt;/D&gt;&lt;D xsi:type="xsd:double"&gt;162.5&lt;/D&gt;&lt;D xsi:type="xsd:double"&gt;156.5&lt;/D&gt;&lt;D xsi:type="xsd:double"&gt;155&lt;/D&gt;&lt;D xsi:type="xsd:double"&gt;151&lt;/D&gt;&lt;D xsi:type="xsd:double"&gt;150&lt;/D&gt;&lt;D xsi:type="xsd:double"&gt;152&lt;/D&gt;&lt;D xsi:type="xsd:double"&gt;148&lt;/D&gt;&lt;D xsi:ty</t>
        </r>
      </text>
    </comment>
    <comment ref="A9" authorId="0" shapeId="0" xr:uid="{00000000-0006-0000-0000-000009000000}">
      <text>
        <r>
          <rPr>
            <sz val="11"/>
            <color theme="1"/>
            <rFont val="맑은 고딕"/>
            <family val="2"/>
            <charset val="129"/>
            <scheme val="minor"/>
          </rPr>
          <t>pe="xsd:double"&gt;159.5&lt;/D&gt;&lt;D xsi:type="xsd:double"&gt;165&lt;/D&gt;&lt;D xsi:type="xsd:double"&gt;179.5&lt;/D&gt;&lt;D xsi:type="xsd:double"&gt;166.5&lt;/D&gt;&lt;D xsi:type="xsd:double"&gt;170&lt;/D&gt;&lt;D xsi:type="xsd:double"&gt;172&lt;/D&gt;&lt;D xsi:type="xsd:double"&gt;165&lt;/D&gt;&lt;D xsi:type="xsd:double"&gt;176.5&lt;/D&gt;&lt;D xsi:type="xsd:double"&gt;172.5&lt;/D&gt;&lt;D xsi:type="xsd:double"&gt;187&lt;/D&gt;&lt;D xsi:type="xsd:double"&gt;180&lt;/D&gt;&lt;D xsi:type="xsd:double"&gt;193.5&lt;/D&gt;&lt;D xsi:type="xsd:double"&gt;210.5&lt;/D&gt;&lt;D xsi:type="xsd:double"&gt;219.5&lt;/D&gt;&lt;D xsi:type="xsd:double"&gt;210.5&lt;/D&gt;&lt;D xsi:type="xsd:double"&gt;218&lt;/D&gt;&lt;D xsi:type="xsd:double"&gt;199&lt;/D&gt;&lt;D xsi:type="xsd:double"&gt;204&lt;/D&gt;&lt;D xsi:type="xsd:double"&gt;193&lt;/D&gt;&lt;D xsi:type="xsd:double"&gt;184&lt;/D&gt;&lt;D xsi:type="xsd:double"&gt;173.5&lt;/D&gt;&lt;D xsi:type="xsd:double"&gt;167&lt;/D&gt;&lt;D xsi:type="xsd:double"&gt;165.5&lt;/D&gt;&lt;D xsi:type="xsd:double"&gt;171&lt;/D&gt;&lt;D xsi:type="xsd:double"&gt;173&lt;/D&gt;&lt;D xsi:type="xsd:double"&gt;186&lt;/D&gt;&lt;D xsi:type="xsd:double"&gt;189.5&lt;/D&gt;&lt;D xsi:type="xsd:double"&gt;188&lt;/D&gt;&lt;D xsi:type="xsd:double"&gt;180&lt;/D&gt;&lt;D xsi:type="xsd:double"&gt;186.5&lt;/D&gt;&lt;D xsi:type="xsd:double"&gt;189&lt;/D&gt;&lt;D xsi:type="xsd:double"&gt;212&lt;/D&gt;&lt;D xsi:type="xsd:double"&gt;186&lt;/D&gt;&lt;D xsi:type="xsd:double"&gt;186&lt;/D&gt;&lt;D xsi:type="xsd:double"&gt;196.5&lt;/D&gt;&lt;D xsi:type="xsd:double"&gt;207.5&lt;/D&gt;&lt;D xsi:type="xsd:double"&gt;213&lt;/D&gt;&lt;D xsi:type="xsd:double"&gt;218&lt;/D&gt;&lt;D xsi:type="xsd:double"&gt;227.5&lt;/D&gt;&lt;D xsi:type="xsd:double"&gt;236&lt;/D&gt;&lt;D xsi:type="xsd:double"&gt;217&lt;/D&gt;&lt;D xsi:type="xsd:double"&gt;228&lt;/D&gt;&lt;D xsi:type="xsd:double"&gt;230&lt;/D&gt;&lt;D xsi:type="xsd:double"&gt;230.5&lt;/D&gt;&lt;D xsi:type="xsd:double"&gt;226&lt;/D&gt;&lt;D xsi:type="xsd:double"&gt;231.5&lt;/D&gt;&lt;D xsi:type="xsd:double"&gt;214&lt;/D&gt;&lt;D xsi:type="xsd:double"&gt;202.5&lt;/D&gt;&lt;D xsi:type="xsd:double"&gt;204.5&lt;/D&gt;&lt;D xsi:type="xsd:double"&gt;206&lt;/D&gt;&lt;D xsi:type="xsd:double"&gt;211.5&lt;/D&gt;&lt;D xsi:type="xsd:double"&gt;213&lt;/D&gt;&lt;D xsi:type="xsd:double"&gt;216&lt;/D&gt;&lt;D xsi:type="xsd:double"&gt;227&lt;/D&gt;&lt;D xsi:type="xsd:double"&gt;220&lt;/D&gt;&lt;D xsi:type="xsd:double"&gt;227.5&lt;/D&gt;&lt;D xsi:type="xsd:double"&gt;223.5&lt;/D&gt;&lt;D xsi:type="xsd:double"&gt;227&lt;/D&gt;&lt;D xsi:type="xsd:double"&gt;206.5&lt;/D&gt;&lt;D xsi:type="xsd:double"&gt;207.5&lt;/D&gt;&lt;D xsi:type="xsd:double"&gt;204.5&lt;/D&gt;&lt;D xsi:type="xsd:double"&gt;210&lt;/D&gt;&lt;D xsi:type="xsd:double"&gt;211&lt;/D&gt;&lt;D xsi:type="xsd:double"&gt;260.5&lt;/D&gt;&lt;D xsi:type="xsd:double"&gt;256&lt;/D&gt;&lt;D xsi:type="xsd:double"&gt;244.5&lt;/D&gt;&lt;D xsi:type="xsd:double"&gt;236&lt;/D&gt;&lt;D xsi:type="xsd:double"&gt;239&lt;/D&gt;&lt;D xsi:type="xsd:double"&gt;207.5&lt;/D&gt;&lt;D xsi:type="xsd:double"&gt;205.5&lt;/D&gt;&lt;D xsi:type="xsd:double"&gt;200.5&lt;/D&gt;&lt;D xsi:type="xsd:double"&gt;196.5&lt;/D&gt;&lt;D xsi:type="xsd:double"&gt;200&lt;/D&gt;&lt;D xsi:type="xsd:double"&gt;202&lt;/D&gt;&lt;D xsi:type="xsd:double"&gt;199.5&lt;/D&gt;&lt;D xsi:type="xsd:double"&gt;197.5&lt;/D&gt;&lt;D xsi:type="xsd:double"&gt;198&lt;/D&gt;&lt;D xsi:type="xsd:double"&gt;190.5&lt;/D&gt;&lt;D xsi:type="xsd:double"&gt;185.5&lt;/D&gt;&lt;D xsi:type="xsd:double"&gt;186.5&lt;/D&gt;&lt;D xsi:type="xsd:double"&gt;185.5&lt;/D&gt;&lt;D xsi:type="xsd:double"&gt;188.5&lt;/D&gt;&lt;D xsi:type="xsd:double"&gt;178&lt;/D&gt;&lt;D xsi:type="xsd:double"&gt;180.5&lt;/D&gt;&lt;D xsi:type="xsd:double"&gt;178.5&lt;/D&gt;&lt;D xsi:type="xsd:double"&gt;186.5&lt;/D&gt;&lt;D xsi:type="xsd:double"&gt;185&lt;/D&gt;&lt;D xsi:type="xsd:double"&gt;193.5&lt;/D&gt;&lt;D xsi:type="xsd:double"&gt;187&lt;/D&gt;&lt;D xsi:type="xsd:double"&gt;185.5&lt;/D&gt;&lt;D xsi:type="xsd:double"&gt;180&lt;/D&gt;&lt;D xsi:type="xsd:double"&gt;179.5&lt;/D&gt;&lt;D xsi:type="xsd:double"&gt;183&lt;/D&gt;&lt;D xsi:type="xsd:double"&gt;183&lt;/D&gt;&lt;D xsi:type="xsd:double"&gt;185.5&lt;/D&gt;&lt;D xsi:type="xsd:double"&gt;191&lt;/D&gt;&lt;D xsi:type="xsd:double"&gt;193&lt;/D&gt;&lt;D xsi:type="xsd:double"&gt;193.5&lt;/D&gt;&lt;D xsi:type="xsd:double"&gt;190&lt;/D&gt;&lt;D xsi:type="xsd:double"&gt;189.5&lt;/D&gt;&lt;D xsi:type="xsd:double"&gt;186&lt;/D&gt;&lt;D xsi:type="xsd:double"&gt;187.5&lt;/D&gt;&lt;D xsi:type="xsd:double"&gt;186&lt;/D&gt;&lt;/FQL&gt;&lt;FQL&gt;&lt;Q&gt;ZIM-US^P_PRICE(1/4/2019,NOW,W)&lt;/Q&gt;&lt;R&gt;373&lt;/R&gt;&lt;C&gt;1&lt;/C&gt;&lt;D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xsi:type="xsd:double"&gt;12.05&lt;/D&gt;&lt;D xsi:type="xsd:double"&gt;14.79&lt;/D&gt;&lt;D xsi:type="xsd:double"&gt;20.12&lt;/D&gt;&lt;D xsi:type="xsd:double"&gt;21.77&lt;/D&gt;&lt;D xsi:type="xsd:double"&gt;19.94&lt;/D&gt;&lt;D xsi:type="xsd:double"&gt;19.3&lt;/D&gt;&lt;D xsi:type="xsd:double"&gt;25.25&lt;/D&gt;&lt;D xsi:type="xsd:double"&gt;28.25&lt;/D&gt;&lt;D xsi:type="xsd:double"&gt;26.04&lt;/D&gt;&lt;D xsi:type="xsd:double"&gt;26.48&lt;/D&gt;&lt;D xsi:type="xsd:double"&gt;31.05&lt;/D&gt;&lt;D xsi:type="xsd:double"&gt;31.87&lt;/D&gt;&lt;D xsi:type="xsd:double"&gt;32.44&lt;/D&gt;&lt;D xsi:type="xsd:double"&gt;37.45&lt;/D&gt;&lt;D xsi:type="xsd:double"&gt;39.58&lt;/D&gt;&lt;D xsi:type="xsd:double"&gt;38.65&lt;/D&gt;&lt;D xsi:type="xsd:double"&gt;43.55&lt;/D&gt;&lt;D xsi:type="xsd:double"&gt;46.4&lt;/D&gt;&lt;D xsi:type="xsd:double"&gt;39.99&lt;/D&gt;&lt;D xsi:type="xsd:double"&gt;46.54&lt;/D&gt;&lt;D xsi:type="xsd:double"&gt;42.34&lt;/D&gt;&lt;D xsi:type="xsd:double"&gt;48.94&lt;/D&gt;&lt;D xsi:type="xsd:double"&gt;41.61&lt;/D&gt;&lt;D xsi:type="xsd:double"&gt;41.48&lt;/D&gt;&lt;D xsi:type="xsd:double"&gt;37.85&lt;/D&gt;&lt;D xsi:type="xsd:double"&gt;37.81&lt;/D&gt;&lt;D xsi:type="xsd:double"&gt;39.14&lt;/D&gt;&lt;D xsi:type="xsd:double"&gt;42.65&lt;/D&gt;&lt;D xsi:type="xsd:double"&gt;44.44&lt;/D&gt;&lt;D xsi:type="xsd:double"&gt;46.07&lt;/D&gt;&lt;D xsi:type="xsd:double"&gt;48.99&lt;/D&gt;&lt;D xsi:type="xsd:double"&gt;54.14&lt;/D&gt;&lt;D xsi:type="xsd:double"&gt;58.61&lt;/D&gt;&lt;D xsi:type="xsd:double"&gt;59.41&lt;/D&gt;&lt;D xsi:type="xsd:double"&gt;56.7&lt;/D&gt;&lt;D xsi:type="xsd:double"&gt;49.55&lt;/D&gt;&lt;D xsi:type="xsd:double"&gt;43.97&lt;/D&gt;&lt;D xsi:type="xsd:double"&gt;43.91&lt;/D&gt;&lt;D xsi:type="xsd:double"&gt;49.5&lt;/D&gt;&lt;D xsi:type="xsd:double"&gt;51.22&lt;/D&gt;&lt;D xsi:type="xsd:double"&gt;50.07&lt;/D&gt;&lt;D xsi:type="xsd:double"&gt;50.21&lt;/D&gt;&lt;D xsi:type="xsd:double"&gt;57.17&lt;/D&gt;&lt;D xsi:type="xsd:double"&gt;53.18&lt;/D&gt;&lt;D xsi:type="xsd:double"&gt;54.35&lt;/D&gt;&lt;D xsi:type="xsd:double"&gt;51.7&lt;/D&gt;&lt;D xsi:type="xsd:double"&gt;50.96&lt;/D&gt;&lt;D xsi:type="xsd:double"&gt;53.66&lt;/D&gt;&lt;D xsi:type="xsd:double"&gt;58.86&lt;/D&gt;&lt;D xsi:type="xsd:double"&gt;56.58&lt;/D&gt;&lt;D xsi:type="xsd:double"&gt;63.7&lt;/D&gt;&lt;D xsi:type="xsd:double"&gt;58.12&lt;/D&gt;&lt;D xsi:type="xsd:double"&gt;65.41&lt;/D&gt;&lt;D xsi:type="xsd:double"&gt;68.91&lt;/D&gt;&lt;D xsi:type="xsd:double"&gt;70.23&lt;/D&gt;&lt;D xsi:type="xsd:double"&gt;69.86&lt;/D&gt;&lt;D xsi:type="xsd:double"&gt;70.1&lt;/D&gt;&lt;D xsi:type="xsd:double"&gt;71.88&lt;/D&gt;&lt;D xsi:type="xsd:double"&gt;78.81&lt;/D&gt;&lt;D xsi:type="xsd:double"&gt;84.5&lt;/D&gt;&lt;D xsi:type="xsd:double"&gt;68.4&lt;/D&gt;&lt;D xsi:type="xsd:double"&gt;71.38&lt;/D&gt;&lt;D xsi:type="xsd:double"&gt;57.78&lt;/D&gt;&lt;D xsi:type="xsd:double"&gt;55.17&lt;/D&gt;&lt;D xsi:type="xsd:double"&gt;54.52&lt;/D&gt;&lt;D xsi:type="xsd:double"&gt;55.63&lt;/D&gt;&lt;D xsi:type="xsd:double"&gt;66.16&lt;/D&gt;&lt;D xsi:type="xsd:double"&gt;63.65&lt;/D&gt;&lt;D xsi:type="xsd:double"&gt;64.7&lt;/D&gt;&lt;D xsi:type="xsd:double"&gt;68.03&lt;/D&gt;&lt;D xsi:type="xsd:double"&gt;67.7&lt;/D&gt;&lt;D xsi:type="xsd:double"&gt;52.13&lt;/D&gt;&lt;D xsi:type="xsd:double"&gt;50.41&lt;/D&gt;&lt;D xsi:type="xsd:double"&gt;46.35&lt;/D&gt;&lt;D xsi:type="xsd:double"&gt;43.28&lt;/D&gt;&lt;D xsi:type="xsd:double"&gt;44.55&lt;/D&gt;&lt;D xsi:type="xsd:double"&gt;46.44&lt;/D&gt;&lt;D xsi:type="xsd:double"&gt;45.39&lt;/D&gt;&lt;D xsi:type="xsd:double"&gt;49.82&lt;/D&gt;&lt;D xsi:type="xsd:double"&gt;49.94&lt;/D&gt;&lt;D xsi:type="xsd:double"&gt;51.86&lt;/D&gt;&lt;D xsi:type="xsd:double"&gt;49.12&lt;/D&gt;&lt;D xsi:type="xsd:double"&gt;41.05&lt;/D&gt;&lt;D xsi:type="xsd:double"&gt;34.33&lt;/D&gt;&lt;D xsi:type="xsd:double"&gt;32.06&lt;/D&gt;&lt;D xsi:type="xsd:double"&gt;29.53&lt;/D&gt;&lt;D xsi:type="xsd:double"&gt;24.87&lt;/D&gt;&lt;D xsi:type="xsd:double"&gt;23.5&lt;/D&gt;&lt;D xsi:type="xsd:double"&gt;24&lt;/D&gt;&lt;D xsi:type="xsd:double"&gt;25.68&lt;/D&gt;&lt;D xsi:type="xsd:double"&gt;23.59&lt;/D&gt;&lt;D xsi:type="xsd:double"&gt;23.08&lt;/D&gt;&lt;D xsi:type="xsd:double"&gt;23.17&lt;/D&gt;&lt;D xsi:type="xsd:double"&gt;27.08&lt;/D&gt;&lt;D xsi:type="xsd:double"&gt;24.78&lt;/D&gt;&lt;D xsi:type="xsd:double"&gt;25.67&lt;/D&gt;&lt;D xsi:type="xsd:double"&gt;19.4&lt;/D&gt;&lt;D xsi:type="xsd:double"&gt;18.57&lt;/D&gt;&lt;D xsi:type="xsd:double"&gt;17.55&lt;/D&gt;&lt;D xsi:type="xsd:double"&gt;17.51&lt;/D&gt;&lt;D xsi:type="xsd:double"&gt;17.19&lt;/D&gt;&lt;D xsi:type="xsd:double"&gt;17.13&lt;/D&gt;&lt;D xsi:type="xsd:double"&gt;17.01&lt;/D&gt;&lt;D xsi:type="xsd:double"&gt;18.4&lt;/D&gt;&lt;D xsi:type="xsd:double"&gt;18.61&lt;/D&gt;&lt;D xsi:type="xsd:double"&gt;22.85&lt;/D&gt;&lt;D xsi:type="xsd:double"&gt;22.46&lt;/D&gt;&lt;D xsi:type="xsd:double"&gt;22.16&lt;/D&gt;&lt;D xsi:type="xsd:double"&gt;23.98&lt;/D&gt;&lt;D xsi:type="xsd:double"&gt;22.41&lt;/D&gt;&lt;D xsi:type="xsd:double"&gt;19.57&lt;/D&gt;&lt;D xsi:type="xsd:double"&gt;23.98&lt;/D&gt;&lt;D xsi:type="xsd:double"&gt;23.16&lt;/D&gt;&lt;D xsi:type="xsd:double"&gt;23.58&lt;/D&gt;&lt;D xsi:type="xsd:double"&gt;17.39&lt;/D&gt;&lt;D xsi:type="xsd:double"&gt;21.65&lt;/D&gt;&lt;D xsi:type="xsd:double"&gt;19.25&lt;/D&gt;&lt;D xsi:type="xsd:double"&gt;17.07&lt;/D&gt;&lt;D xsi:type="xsd:double"&gt;17.47&lt;/D&gt;&lt;D xsi:type="xsd:double"&gt;17.1&lt;/D&gt;&lt;D xsi:type="xsd:double"&gt;17.51&lt;/D&gt;&lt;D xsi:type="xsd:double"&gt;13.78&lt;/D&gt;&lt;D xsi:type="xsd:double"&gt;14.19&lt;/D&gt;&lt;D xsi:type="xsd:double"&gt;12.92&lt;/D&gt;&lt;D xsi:type="xsd:double"&gt;13&lt;/D&gt;&lt;D xsi:type="xsd:double"&gt;12.18&lt;/D&gt;&lt;D xsi:type="xsd:double"&gt;12.39&lt;/D&gt;&lt;D xsi:type="xsd:double"&gt;12.71&lt;/D&gt;&lt;D xsi:type="xsd:double"&gt;12.74&lt;/D&gt;&lt;D xsi:type="xsd:double"&gt;13.77&lt;/D&gt;&lt;D xsi:type="xsd:double"&gt;15.22&lt;/D&gt;&lt;D xsi:type="xsd:double"&gt;15.04&lt;/D&gt;&lt;D xsi:type="xsd:double"&gt;14.26&lt;/D&gt;&lt;D xsi:type="xsd:double"&gt;12.4&lt;/D&gt;&lt;D xsi:type="xsd:double"&gt;11.86&lt;/D&gt;&lt;D xsi:type="xsd:double"&gt;12.24&lt;/D&gt;&lt;D xsi:type="xsd:double"&gt;11.44&lt;/D&gt;&lt;D xsi:type="xsd:double"&gt;11&lt;/D&gt;&lt;D xsi:type="xsd:double"&gt;11.42&lt;/D&gt;&lt;D xsi:type="xsd:double"&gt;10.45&lt;/D&gt;&lt;D xsi:type="xsd:double"&gt;9.77&lt;/D&gt;&lt;D xsi:type="xsd:double"&gt;9.76&lt;/D&gt;&lt;D xsi:type="xsd:double"&gt;8.47&lt;/D&gt;&lt;D xsi:type="xsd:double"&gt;8.14&lt;/D&gt;&lt;D xsi:type="xsd:double"&gt;7.89&lt;/D&gt;&lt;D xsi:type="xsd:double"&gt;7.39&lt;/D&gt;&lt;D xsi:type="xsd:double"&gt;7.62&lt;/D&gt;&lt;D xsi:type="xsd:double"&gt;6.9&lt;/D&gt;&lt;D xsi:type="xsd:double"&gt;7.62&lt;/D&gt;&lt;D xsi:type="xsd:double"&gt;7.36&lt;/D&gt;&lt;D xsi:type="xsd:double"&gt;9.64&lt;/D&gt;&lt;D xsi:type="xsd:double"&gt;11.58&lt;/D&gt;&lt;D xsi:type="xsd:double"&gt;9.87&lt;/D&gt;&lt;D xsi:type="xsd:double"&gt;14.59&lt;/D&gt;&lt;D xsi:type="xsd:double"&gt;13.46&lt;/D&gt;&lt;D xsi:type="xsd:double"&gt;12.87&lt;/D&gt;&lt;D xsi:type="xsd:double"&gt;13.44&lt;/D&gt;&lt;D xsi:type="xsd:double"&gt;13.19&lt;/D&gt;&lt;D xsi:type="xsd:double"&gt;11.89&lt;/D&gt;&lt;D xsi:type="xsd:double"&gt;12.61&lt;/D&gt;&lt;D xsi:type="xsd:double"&gt;12.32&lt;/D&gt;&lt;D xsi:type="xsd:double"&gt;12.01&lt;/D&gt;&lt;D xsi:type="xsd:double"&gt;10.99&lt;/D&gt;&lt;D xsi:type="xsd:double"&gt;9.45&lt;/D&gt;&lt;D xsi:type="xsd:double"&gt;9.58&lt;/D&gt;&lt;D xsi:type="xsd:double"&gt;10.12&lt;/D&gt;&lt;D xsi:type="xsd:double"&gt;11.16&lt;/D&gt;&lt;D xsi:type="xsd:double"&gt;10.1&lt;/D&gt;&lt;D xsi:type="xsd:double"&gt;10.17&lt;/D&gt;&lt;D xsi:type="xsd:double"&gt;13.22&lt;/D&gt;&lt;D xsi:type="xsd:double"&gt;12.88&lt;/D&gt;&lt;D xsi:type="xsd:double"&gt;17.59&lt;/D&gt;&lt;D xsi:type="xsd:double"&gt;18.73&lt;/D&gt;&lt;D xsi:type="xsd:double"&gt;21.04&lt;/D&gt;&lt;D xsi:type="xsd:double"&gt;22.54&lt;/D&gt;&lt;D xsi:type="xsd:double"&gt;19.54&lt;/D&gt;&lt;D xsi:type="xsd:double"&gt;18.53&lt;/D&gt;&lt;D xsi:type="xsd:double"&gt;19.65&lt;/D&gt;&lt;D xsi:type="xsd:double"&gt;22.17&lt;/D&gt;&lt;D xsi:type="xsd:double"&gt;22.11&lt;/D&gt;&lt;D xsi:type="xsd:double"&gt;17.05&lt;/D&gt;&lt;D xsi:type="xsd:double"&gt;16.93&lt;/D&gt;&lt;D xsi:type="xsd:double"&gt;17.03&lt;/D&gt;&lt;D xsi:type="xsd:double"&gt;18.99&lt;/D&gt;&lt;D xsi:type="xsd:double"&gt;18.32&lt;/D&gt;&lt;D xsi:type="xsd:double"&gt;19.06&lt;/D&gt;&lt;D xsi:type="xsd:double"&gt;20.17&lt;/D&gt;&lt;D xsi:type="xsd:double"&gt;18.27&lt;/D&gt;&lt;D xsi:type="xsd:double"&gt;16.18&lt;/D&gt;&lt;D xsi:type="xsd:double"&gt;18.3&lt;/D&gt;&lt;D xsi:type="xsd:double"&gt;20.06&lt;/D&gt;&lt;D xsi:type="xsd:double"&gt;24.24&lt;/D&gt;&lt;D xsi:type="xsd:double"&gt;18.95&lt;/D&gt;&lt;D xsi:type="xsd:double"&gt;19.8&lt;/D&gt;&lt;D xsi:type="xsd:double"&gt;22.87&lt;/D&gt;&lt;D xsi:type="xsd:double"&gt;22.8&lt;/D&gt;&lt;D xsi:type="xsd:double"&gt;24.3&lt;/D&gt;&lt;D xsi:type="xsd:double"&gt;24.77&lt;/D&gt;&lt;D xsi:type="xsd:double"&gt;26.1&lt;/D&gt;&lt;D xsi:type="xsd:double"&gt;23.78&lt;/D&gt;&lt;D xsi:type="xsd:double"&gt;22.04&lt;/D&gt;&lt;D xsi:type="xsd:double"&gt;20.96&lt;/D&gt;&lt;D xsi:type="xsd:double"&gt;19.88&lt;/D&gt;&lt;D xsi:type="xsd:double"&gt;18.29&lt;/D&gt;&lt;D xsi:type="xsd:double"&gt;21.9&lt;/D&gt;&lt;D xsi:type="xsd:double"&gt;22.49&lt;/D&gt;&lt;D xsi:type="xsd:double"&gt;19.09&lt;/D&gt;&lt;D xsi:type="xsd:double"&gt;16.6&lt;/D&gt;&lt;D xsi:type="xsd:double"&gt;16.87&lt;/D&gt;&lt;D xsi:type="xsd:double"&gt;17.8&lt;/D&gt;&lt;D xsi:type="xsd:double"&gt;18.09&lt;/D&gt;&lt;D xsi:type="xsd:double"&gt;20.13&lt;/D&gt;&lt;D xsi:type="xsd:double"&gt;20.91&lt;/D&gt;&lt;D xsi:type="xsd:double"&gt;20.22&lt;/D&gt;&lt;D xsi:type="xsd:double"&gt;20.75&lt;/D&gt;&lt;D xsi:type="xsd:double"&gt;18.24&lt;/D&gt;&lt;D xsi:type="xsd:double"&gt;17.82&lt;/D&gt;&lt;D xsi:type="xsd:double"&gt;15.48&lt;/D&gt;&lt;D xsi:type="xsd:double"&gt;12.52&lt;/D&gt;&lt;D xsi:type="xsd:double"&gt;13.79&lt;/D&gt;&lt;D xsi:type="xsd:double"&gt;13.79&lt;/D&gt;&lt;D xsi:type="xsd:double"&gt;14.34&lt;/D&gt;&lt;D xsi:type="xsd:double"&gt;15.41&lt;/D&gt;&lt;D xsi:type="xsd:double"&gt;14.27&lt;/D&gt;&lt;D xsi:type="xsd:double"&gt;18.33&lt;/D&gt;&lt;D xsi:type="xsd:double"&gt;18.05&lt;/D&gt;&lt;D xsi:type="xsd:double"&gt;17.45&lt;/D&gt;&lt;D xsi:type="xsd:double"&gt;17.56&lt;/D&gt;&lt;D xsi:type="xsd:double"&gt;17.51&lt;/D&gt;&lt;D xsi:type="xsd:double"&gt;16.53&lt;/D&gt;&lt;D xsi:type="xsd:double"&gt;16.53&lt;/D&gt;&lt;D xsi:type="xsd:double"&gt;15.76&lt;/D&gt;&lt;D xsi:type="xsd:double"&gt;15.94&lt;/D&gt;&lt;D xsi:type="xsd:double"&gt;15.48&lt;/D&gt;&lt;D xsi:type="xsd:double"&gt;16.73&lt;/D&gt;&lt;D xsi:type="xsd:double"&gt;15.42&lt;/D&gt;&lt;D xsi:type="xsd:double"&gt;15.5&lt;/D&gt;&lt;D xsi:type="xsd:double"&gt;16.31&lt;/D&gt;&lt;D xsi:type="xsd:double"&gt;14.37&lt;/D&gt;&lt;D xsi:type="xsd:double"&gt;13.61&lt;/D&gt;&lt;D xsi:type="xsd:double"&gt;13.49&lt;/D&gt;&lt;D xsi:type="xsd:double"&gt;13.63&lt;/D&gt;&lt;D xsi:type="xsd:double"&gt;14.37&lt;/D&gt;&lt;D xsi:type="xsd:double"&gt;13.94&lt;/D&gt;&lt;D xsi:type="xsd:double"&gt;13.91&lt;/D&gt;&lt;D xsi:type="xsd:double"&gt;12.44&lt;/D&gt;&lt;D xsi:type="xsd:double"&gt;13.45&lt;/D&gt;&lt;D xsi:type="xsd:double"&gt;13.72&lt;/D&gt;&lt;D xsi:type="xsd:double"&gt;15.38&lt;/D&gt;&lt;D xsi:type="xsd:double"&gt;14.73&lt;/D&gt;&lt;D xsi:type="xsd:double"&gt;16.02&lt;/D&gt;&lt;D xsi:type="xsd:double"&gt;16.9&lt;/D&gt;&lt;D xsi:type="xsd:double"&gt;20.41&lt;/D&gt;&lt;D xsi:type="xsd:double"&gt;20.03&lt;/D&gt;&lt;D xsi:type="xsd:double"&gt;18.76&lt;/D&gt;&lt;D xsi:type="xsd:double"&gt;19.24&lt;/D&gt;&lt;D xsi:type="xsd:double"&gt;21.35&lt;/D&gt;&lt;D xsi:type="xsd:double"&gt;21.91&lt;/D&gt;&lt;D xsi:type="xsd:double"&gt;22.4&lt;/D&gt;&lt;D xsi:type="xsd:double"&gt;21.36&lt;/D&gt;&lt;D xsi:type="xsd:double"&gt;22.1&lt;/D&gt;&lt;D xsi:type="xsd:double"&gt;22.03&lt;/D&gt;&lt;D xsi:type="xsd:double"&gt;20.68&lt;/D&gt;&lt;D xsi:type="xsd:double"&gt;22.2&lt;/D&gt;&lt;D xsi:type="xsd:double"&gt;29.27&lt;/D&gt;&lt;/FQL&gt;&lt;FQL&gt;&lt;Q&gt;1919-HK^P_PRICE(1/4/2019,NOW,W)&lt;/Q&gt;&lt;R&gt;373&lt;/R&gt;&lt;C&gt;1&lt;/C&gt;&lt;D xsi:type="xsd:double"&gt;2.2923086&lt;/D&gt;&lt;D xsi:type="xsd:double"&gt;2.4692316&lt;/D&gt;&lt;D xsi:type="xsd:double"&gt;2.4384625&lt;/D&gt;&lt;D xsi:type="xsd:double"&gt;2.4615393&lt;/D&gt;&lt;D xsi:type="xsd:double"&gt;2.476924&lt;/D&gt;&lt;D xsi:type="xsd:double"&gt;2.4692316&lt;/D&gt;&lt;D xsi:type="xsd:double"&gt;2.453847&lt;/D&gt;&lt;D xsi:type="xsd:double"&gt;2.5384624&lt;/D&gt;&lt;D xsi:type="xsd:double"&gt;2.6230779&lt;/D&gt;&lt;D xsi:type="xsd:double"&gt;2.4000008&lt;/D&gt;&lt;D xsi:type="xsd:double"&gt;2.3846161&lt;/D&gt;&lt;D xsi:type="xsd:double"&gt;2.4384625&lt;/D&gt;&lt;D xsi:type="xsd:double"&gt;2.507693&lt;/D&gt;&lt;D xsi:type="xsd:double"&gt;2.976924&lt;/D&gt;&lt;D xsi:type="xsd:double"&gt;2.900001&lt;/D&gt;&lt;D xsi:type="xsd:double"&gt;2.9076931&lt;/D&gt;&lt;D xsi:type="xsd:double"&gt;2.7769241&lt;/D&gt;&lt;D xsi:type="xsd:double"&gt;2.8153856&lt;/D&gt;&lt;D xsi:type="xsd:double"&gt;2.4923086&lt;/D&gt;&lt;D xsi:type="xsd:double"&gt;2.307693&lt;/D&gt;&lt;D xsi:type="xsd:double"&gt;2.1923084&lt;/D&gt;&lt;D xsi:type="xsd:double"&gt;2.2230775&lt;/D&gt;&lt;D xsi:type="xsd:double"&gt;2.184616&lt;/D&gt;&lt;D xsi:type="xsd:double"&gt;2.2153854&lt;/D&gt;&lt;D xsi:type="xsd:double"&gt;2.4153855&lt;/D&gt;&lt;D xsi:type="xsd:double"&gt;2.3461547&lt;/D&gt;&lt;D xsi:type="xsd:double"&gt;2.4076931&lt;/D&gt;&lt;D xsi:type="xsd:double"&gt;2.307693&lt;/D&gt;&lt;D xsi:type="xsd:double"&gt;2.4153855&lt;/D&gt;&lt;D xsi:type="xsd:double"&gt;2.2923086&lt;/D&gt;&lt;D xsi:type="xsd:double"&gt;2.1153853&lt;/D&gt;&lt;D xsi:type="xsd:double"&gt;2.107693&lt;/D&gt;&lt;D xsi:type="xsd:double"&gt;2.0692315&lt;/D&gt;&lt;D xsi:type="xsd:double"&gt;2.161539&lt;/D&gt;&lt;D xsi:type="xsd:double"&gt;2.1538467&lt;/D&gt;&lt;D xsi:type="xsd:double"&gt;2.2461545&lt;/D&gt;&lt;D xsi:type="xsd:double"&gt;2.3846161&lt;/D&gt;&lt;D xsi:type="xsd:double"&gt;2.253847&lt;/D&gt;&lt;D xsi:type="xsd:double"&gt;2.161539&lt;/D&gt;&lt;D xsi:type="xsd:double"&gt;2.1153853&lt;/D&gt;&lt;D xsi:type="xsd:double"&gt;2.2615392&lt;/D&gt;&lt;D xsi:type="xsd:double"&gt;2.2384624&lt;/D&gt;&lt;D xsi:type="xsd:double"&gt;2.2692316&lt;/D&gt;&lt;D xsi:type="xsd:double"&gt;2.2923086&lt;/D&gt;&lt;D xsi:type="xsd:double"&gt;2.4307702&lt;/D&gt;&lt;D xsi:type="xsd:double"&gt;2.23077&lt;/D&gt;&lt;D xsi:type="xsd:double"&gt;2.2000008&lt;/D&gt;&lt;D xsi:type="xsd:double"&gt;2.2230775&lt;/D&gt;&lt;D xsi:type="xsd:double"&gt;2.2000008&lt;/D&gt;&lt;D xsi:type="xsd:double"&gt;2.3846161&lt;/D&gt;&lt;D xsi:type="xsd:double"&gt;2.4307702&lt;/D&gt;&lt;D xsi:type="xsd:double"&gt;2.4230778&lt;/D&gt;&lt;D xsi:type="xsd:double"&gt;2.5153854&lt;/D&gt;&lt;D xsi:type="xsd:double"&gt;2.507693&lt;/D&gt;&lt;D xsi:type="xsd:double"&gt;2.4461546&lt;/D&gt;&lt;D xsi:type="xsd:double"&gt;2.3615391&lt;/D&gt;&lt;D xsi:type="xsd:double"&gt;2.1538467&lt;/D&gt;&lt;D xsi:type="xsd:double"&gt;2.1538467&lt;/D&gt;&lt;D xsi:type="xsd:double"&gt;2.1384623&lt;/D&gt;&lt;D xsi:type="xsd:double"&gt;2.1769238&lt;/D&gt;&lt;D xsi:type="xsd:double"&gt;2.0000005&lt;/D&gt;&lt;D xsi:type="xsd:double"&gt;2.0000005&lt;/D&gt;&lt;D xsi:type="xsd:double"&gt;1.8307699&lt;/D&gt;&lt;D xsi:type="xsd:double"&gt;1.6461545&lt;/D&gt;&lt;D xsi:type="xsd:double"&gt;1.6000005&lt;/D&gt;&lt;D xsi:type="xsd:double"&gt;1.6230774&lt;/D&gt;&lt;D xsi:type="xsd:double"&gt;1.7076929&lt;/D&gt;&lt;D xsi:type="xsd:double"&gt;1.6307697&lt;/D&gt;&lt;D xsi:type="xsd:double"&gt;1.5846158&lt;/D&gt;&lt;D xsi:type="xsd:double"&gt;1.7230775&lt;/D&gt;&lt;D xsi:type="xsd:double"&gt;1.6384622&lt;/D&gt;&lt;D xsi:type="xsd:double"&gt;1.5846158&lt;/D&gt;&lt;D xsi:type="xsd:double"&gt;1.5076928&lt;/D&gt;&lt;D xsi:type="xsd:double"&gt;1.5076928&lt;/D&gt;&lt;D xsi:type="xsd:double"&gt;1.7000006&lt;/D&gt;&lt;D xsi:type="xsd:double"&gt;1.615385&lt;/D&gt;&lt;D xsi:type="xsd:double"&gt;1.8076929&lt;/D&gt;&lt;D xsi:type="xsd:double"&gt;1.7230775&lt;/D&gt;&lt;D xsi:type="xsd:double"&gt;1.9538468&lt;/D&gt;&lt;D xsi:type="xsd:double"&gt;2.0461545&lt;/D&gt;&lt;D xsi:type="xsd:double"&gt;2.0461545&lt;/D&gt;&lt;D xsi:type="xsd:double"&gt;2.0769238&lt;/D&gt;&lt;D xsi:type="xsd:double"&gt;2.2461545&lt;/D&gt;&lt;D xsi:type="xsd:double"&gt;2.5230777&lt;/D&gt;&lt;D xsi:type="xsd:double"&gt;2.9692318&lt;/D&gt;&lt;D xsi:type="xsd:double"&gt;2.9846165&lt;/D&gt;&lt;D xsi:type="xsd:double"&gt;2.9923086&lt;/D&gt;&lt;D xsi:type="xsd:double"&gt;3.023078&lt;/D&gt;&lt;D xsi:type="xsd:double"&gt;3.0692317&lt;/D&gt;&lt;D xsi:type="xsd:double"&gt;2.9153855&lt;/D&gt;&lt;D xsi:type="xsd:double"&gt;2.7384624&lt;/D&gt;&lt;D xsi:type="xsd:double"&gt;2.9153855&lt;/D&gt;&lt;D xsi:type="xsd:double"&gt;3.2153854&lt;/D&gt;&lt;D xsi:type="xsd:double"&gt;3.4230778&lt;/D&gt;&lt;D xsi:type="xsd:double"&gt;3.5692317&lt;/D&gt;&lt;D xsi:type="xsd:double"&gt;3.8076935&lt;/D&gt;&lt;D xsi:type="xsd:double"&gt;4.5000014&lt;/D&gt;&lt;D xsi:type="xsd:double"&gt;4.784617&lt;/D&gt;&lt;D xsi:type="xsd:double"&gt;5.7692327&lt;/D&gt;&lt;D xsi:type="xsd:double"&gt;5.7153864&lt;/D&gt;&lt;D xsi:type="xsd:double"&gt;5.7461557&lt;/D&gt;&lt;D xsi:type="xsd:double"&gt;5.2923093&lt;/D&gt;&lt;D xsi:type="xsd:double"&gt;6.223079&lt;/D&gt;&lt;D xsi:type="xsd:double"&gt;6.346156&lt;/D&gt;&lt;D xsi:type="xsd:double"&gt;7.1538486&lt;/D&gt;&lt;D xsi:type="xsd:double"&gt;8.353848&lt;/D&gt;&lt;D xsi:type="xsd:double"&gt;7.800003&lt;/D&gt;&lt;D xsi:type="xsd:double"&gt;8.000002&lt;/D&gt;&lt;D xsi:type="xsd:double"&gt;6.0384636&lt;/D&gt;&lt;D xsi:type="xsd:double"&gt;5.7692327&lt;/D&gt;&lt;D xsi:type="xsd:double"&gt;5.900002&lt;/D&gt;&lt;D xsi:type="xsd:double"&gt;6.938464&lt;/D&gt;&lt;D xsi:type="xsd:double"&gt;6.630771&lt;/D&gt;&lt;D xsi:type="xsd:double"&gt;6.3538485&lt;/D&gt;&lt;D xsi:type="xsd:double"&gt;6.223079&lt;/D&gt;&lt;D xsi:type="xsd:double"&gt;7.707695&lt;/D&gt;&lt;D xsi:type="xsd:double"&gt;7.269233&lt;/D&gt;&lt;D xsi:type="xsd:double"&gt;8.138464&lt;/D&gt;&lt;D xsi:type="xsd:double"&gt;9.661542&lt;/D&gt;&lt;D xsi:type="xsd:double"&gt;9.292311&lt;/D&gt;&lt;D xsi:type="xsd:double"&gt;10.307695&lt;/D&gt;&lt;D xsi:type="xsd:double"&gt;10.692311&lt;/D&gt;&lt;D xsi:type="xsd:double"&gt;12.707697&lt;/D&gt;&lt;D xsi:type="xsd:double"&gt;12.415388&lt;/D&gt;&lt;D xsi:type="xsd:double"&gt;13.230774&lt;/D&gt;&lt;D xsi:type="xsd:double"&gt;12.476927&lt;/D&gt;&lt;D xsi:type="xsd:double"&gt;12.276927&lt;/D&gt;&lt;D xsi:type="xsd:double"&gt;14.738466&lt;/D&gt;&lt;D xsi:type="xsd:double"&gt;15.576928&lt;/D&gt;&lt;D xsi:type="xsd:double"&gt;15.000005&lt;/D&gt;&lt;D xsi:type="xsd:double"&gt;15.423081&lt;/D&gt;&lt;D xsi:type="xsd:double"&gt;14.5&lt;/D&gt;&lt;D xsi:type="xsd:double"&gt;13.9&lt;/D&gt;&lt;D xsi:type="xsd:double"&gt;12.58&lt;/D&gt;&lt;D xsi:type="xsd:double"&gt;11.7&lt;/D&gt;&lt;D xsi:type="xsd:double"&gt;13.48&lt;/D&gt;&lt;D xsi:type="xsd:double"&gt;14.94&lt;/D&gt;&lt;D xsi:type="xsd:double"&gt;13.2&lt;/D&gt;&lt;D xsi:type="xsd:double"&gt;14.5&lt;/D&gt;&lt;D xsi:type="xsd:double"&gt;14.1&lt;/D&gt;&lt;D xsi:type="xsd:double"&gt;15.58&lt;/D&gt;&lt;D xsi:type="xsd:double"&gt;14.16&lt;/D&gt;&lt;D xsi:type="xsd:double"&gt;14.1&lt;/D&gt;&lt;D xsi:type="xsd:double"&gt;11.94&lt;/D&gt;&lt;D xsi:type="xsd:double"&gt;11.44&lt;/D&gt;&lt;D xsi:type="xsd:double"&gt;9.89&lt;/D&gt;&lt;D xsi:type="xsd:double"&gt;11.32&lt;/D&gt;&lt;D xsi:type="xsd:double"&gt;12.08&lt;/D&gt;&lt;D xsi:type="xsd:double"&gt;11.36&lt;/D&gt;&lt;D xsi:type="xsd:double"&gt;11.44&lt;/D&gt;&lt;D xsi:type="xsd:double"&gt;11.46&lt;/D&gt;&lt;D xsi:type="xsd:double"&gt;11.68&lt;/D&gt;&lt;D xsi:type="xsd:double"&gt;13.58&lt;/D&gt;&lt;D xsi:type="xsd:double"&gt;15.2&lt;/D&gt;&lt;D xsi:type="xsd:double"&gt;14.68&lt;/D&gt;&lt;D xsi:type="xsd:double"&gt;14.82&lt;/D&gt;&lt;D xsi:type="xsd:double"&gt;15.12&lt;/D&gt;&lt;D xsi:type="xsd:double"&gt;14.92&lt;/D&gt;&lt;D xsi:type="xsd:double"&gt;15.92&lt;/D&gt;&lt;D xsi:type="xsd:double"&gt;14.18&lt;/D&gt;&lt;D xsi:type="xsd:double"&gt;13.76&lt;/D&gt;&lt;D xsi:type="xsd:double"&gt;14.16&lt;/D&gt;&lt;D xsi:type="xsd:double"&gt;15.58&lt;/D&gt;&lt;D xsi:type="xsd:double"&gt;15.54&lt;/D&gt;&lt;D xsi:type="xsd:double"&gt;14.72&lt;/D&gt;&lt;D xsi:type="xsd:double"&gt;17.12&lt;/D&gt;&lt;D xsi:type="xsd:double"&gt;15.1&lt;/D&gt;&lt;D xsi:type="xsd:double"&gt;15.02&lt;/D&gt;&lt;D xsi:type="xsd:double"&gt;14.04&lt;/D&gt;&lt;D xsi:type="xsd:double"&gt;15&lt;/D&gt;&lt;D xsi:type="xsd:double"&gt;12.94&lt;/D&gt;&lt;D xsi:type="xsd:double"&gt;12.96&lt;/D&gt;&lt;D xsi:type="xsd:double"&gt;12.64&lt;/D&gt;&lt;D xsi:type="xsd:double"&gt;12.46&lt;/D&gt;&lt;D xsi:type="xsd:double"&gt;12.38&lt;/D&gt;&lt;D xsi:type="xsd:double"&gt;12.18&lt;/D&gt;&lt;D xsi:type="xsd:double"&gt;13.1&lt;/D&gt;&lt;D xsi:type="xsd:double"&gt;13.7&lt;/D&gt;&lt;D xsi:type="xsd:double"&gt;13.98&lt;/D&gt;&lt;D xsi:type="xsd:double"&gt;13.04&lt;/D&gt;&lt;D xsi:type="xsd:double"&gt;12.46&lt;/D&gt;&lt;D xsi:type="xsd:double"&gt;10.88&lt;/D&gt;&lt;D xsi:type="xsd:double"&gt;10.96&lt;/D&gt;&lt;D xsi:type="xsd:double"&gt;11.58&lt;/D&gt;&lt;D xsi:type="xsd:double"&gt;11.28&lt;/D&gt;&lt;D xsi:type="xsd:double"&gt;12.1&lt;/D&gt;&lt;D xsi:type="xsd:double"&gt;11.74&lt;/D&gt;&lt;D xsi:type="xsd:double"&gt;11.32&lt;/D&gt;&lt;D xsi:type="xsd:double"&gt;11.76&lt;/D&gt;&lt;D xsi:type="xsd:double"&gt;11.6&lt;/D&gt;&lt;D xsi:type="xsd:double"&gt;11.48&lt;/D&gt;&lt;D xsi:type="xsd:double"&gt;10.64&lt;/D&gt;&lt;D xsi:type="xsd:double"&gt;10.2&lt;/D&gt;&lt;D xsi:type="xsd:double"&gt;9.9&lt;/D&gt;&lt;D xsi:type="xsd:double"&gt;9.17&lt;/D&gt;&lt;D xsi:type="xsd:double"&gt;9.21&lt;/D&gt;&lt;D xsi:type="xsd:double"&gt;9.26&lt;/D&gt;&lt;D xsi:type="xsd:double"&gt;9.13&lt;/D&gt;&lt;D xsi:type="xsd:double"&gt;9.16&lt;/D&gt;&lt;D xsi:type="xsd:double"&gt;8.79&lt;/D&gt;&lt;D xsi:type="xsd:double"&gt;8.78&lt;/D&gt;&lt;D xsi:type="xsd:double"&gt;9.71&lt;/D&gt;&lt;D xsi:type="xsd:double"&gt;9.3&lt;/D&gt;&lt;D xsi:type="xsd:double"&gt;7.89&lt;/D&gt;&lt;D xsi:type="xsd:double"&gt;8.11&lt;/D&gt;&lt;D xsi:type="xsd:double"&gt;8.31&lt;/D&gt;&lt;D xsi:type="xsd:double"&gt;8.35&lt;/D&gt;&lt;D xsi:type="xsd:double"&gt;8.15&lt;/D&gt;&lt;D xsi:type="xsd:double"&gt;7.96&lt;/D&gt;&lt;D xsi:type="xsd:double"&gt;7.81&lt;/D&gt;&lt;D xsi:type="xsd:double"&gt;7.95&lt;/D&gt;&lt;D xsi:type="xsd:double"&gt;8.1&lt;/D&gt;&lt;D xsi:type="xsd:double"&gt;7.93&lt;/D&gt;&lt;D xsi:type="xsd:double"&gt;8.48&lt;/D&gt;&lt;D xsi:type="xsd:double"&gt;8.58&lt;/D&gt;&lt;D xsi:type="xsd:double"&gt;8.31&lt;/D&gt;&lt;D xsi:type="xsd:double"&gt;8.31&lt;/D&gt;&lt;D xsi:type="xsd:double"&gt;8.92&lt;/D&gt;&lt;D xsi:type="xsd:double"&gt;8.54&lt;/D&gt;&lt;D xsi:type="xsd:double"&gt;8.92&lt;/D&gt;&lt;D xsi:type="xsd:double"&gt;9.2&lt;/D&gt;&lt;D xsi:type="xsd:double"&gt;8.83&lt;/D&gt;&lt;D xsi:type="xsd:double"&gt;8.61&lt;/D&gt;&lt;D xsi:type="xsd:double"&gt;9.38&lt;/D&gt;&lt;D xsi:type="xsd:double"&gt;9.55&lt;/D&gt;&lt;D xsi:type="xsd:double"&gt;9.08&lt;/D&gt;&lt;D xsi:type="xsd:double"&gt;9.02&lt;/D&gt;&lt;D xsi:type="xsd:double"&gt;9.69&lt;/D&gt;&lt;D xsi:type="xsd:double"&gt;9.41&lt;/D&gt;&lt;D xsi:type="xsd:double"&gt;9.01&lt;/D&gt;&lt;D xsi:type="xsd:double"&gt;7.09&lt;/D&gt;&lt;D xsi:type="xsd:double"&gt;7.29&lt;/D&gt;&lt;D xsi:type="xsd:double"&gt;7.18&lt;/D&gt;&lt;D xsi:type="xsd:double"&gt;6.87&lt;/D&gt;&lt;D xsi:type="xsd:double"&gt;7.06&lt;/D&gt;&lt;D xsi:type="xsd:double"&gt;7.81&lt;/D&gt;&lt;D xsi:type="xsd:double"&gt;7.87&lt;/D&gt;&lt;D xsi:type="xsd:double"&gt;8.11&lt;/D&gt;&lt;D xsi:type="xsd:double"&gt;8.21&lt;/D&gt;&lt;D xsi:type="xsd:double"&gt;7.96&lt;/D&gt;&lt;D xsi:type="xsd:double"&gt;7.89&lt;/D&gt;&lt;D xsi:type="xsd:double"&gt;7.51&lt;/D&gt;&lt;D xsi:type="xsd:double"&gt;7.48&lt;/D&gt;&lt;D xsi:type="xsd:double"&gt;8.05&lt;/D&gt;&lt;D xsi:type="xsd:double"&gt;8.04&lt;/D&gt;&lt;D xsi:type="xsd:double"&gt;8.27&lt;/D&gt;&lt;D xsi:type="xsd:double"&gt;8.19&lt;/D&gt;&lt;D xsi:type="xsd:double"&gt;8.03&lt;/D&gt;&lt;D xsi:type="xsd:double"&gt;7.85&lt;/D&gt;&lt;D xsi:type="xsd:double"&gt;7.66&lt;/D&gt;&lt;D xsi:type="xsd:double"&gt;7.7&lt;/D&gt;&lt;D xsi:type="xsd:double"&gt;7.94&lt;/D&gt;&lt;D xsi:type="xsd:double"&gt;8.04&lt;/D&gt;&lt;D xsi:type="xsd:double"&gt;7.7799997&lt;/D&gt;&lt;D xsi:type="xsd:double"&gt;7.7799997&lt;/D&gt;&lt;D xsi:type="xsd:double"&gt;7.25&lt;/D&gt;&lt;D xsi:type="xsd:double"&gt;7.23&lt;/D&gt;&lt;D xsi:type="xsd:double"&gt;6.98&lt;/D&gt;&lt;D xsi:type="xsd:double"&gt;7.18&lt;/D&gt;&lt;D xsi:type="xsd:double"&gt;8.06&lt;/D&gt;&lt;D xsi:type="xsd:double"&gt;7.85&lt;/D&gt;&lt;D xsi:type="xsd:double"&gt;8.27&lt;/D&gt;&lt;D xsi:type="xsd:double"&gt;7.87&lt;/D&gt;&lt;D xsi:type="xsd:double"&gt;7.85&lt;/D&gt;&lt;D xsi:type="xsd:double"&gt;8.4&lt;/D&gt;&lt;D xsi:type="xsd:double"&gt;8.15&lt;/D&gt;&lt;D xsi:type="xsd:double"&gt;7.71&lt;/D&gt;&lt;D xsi:type="xsd:double"&gt;8.33&lt;/D&gt;&lt;D xsi:type="xsd:double"&gt;8.79&lt;/D&gt;&lt;D xsi:type="xsd:double"&gt;8.45&lt;/D&gt;&lt;D xsi:type="xsd:double"&gt;8.68&lt;/D&gt;&lt;D xsi:type="xsd:double"&gt;8.53&lt;/D&gt;&lt;D xsi:type="xsd:double"&gt;8.02&lt;/D&gt;&lt;D xsi:type="xsd:double"&gt;8.23&lt;/D&gt;&lt;D xsi:type="xsd:double"&gt;8.5&lt;/D&gt;&lt;D xsi:type="xsd:double"&gt;8.7&lt;/D&gt;&lt;D xsi:type="xsd:double"&gt;8.9&lt;/D&gt;&lt;D xsi:type="xsd:double"&gt;9.5&lt;/D&gt;&lt;D xsi:type="xsd:double"&gt;10.46&lt;/D&gt;&lt;D xsi:type="xsd:double"&gt;11.7&lt;/D&gt;&lt;D xsi:type="xsd:double"&gt;12.68&lt;/D&gt;&lt;D xsi:type="xsd:double"&gt;12.56&lt;/D&gt;&lt;D xsi:type="xsd:double"&gt;13.06&lt;/D&gt;&lt;D xsi:type="xsd:double"&gt;15.04&lt;/D&gt;&lt;D xsi:type="xsd:double"&gt;13.52&lt;/D&gt;&lt;D xsi:type="xsd:double"&gt;14.1&lt;/D&gt;&lt;D xsi:type="xsd:double"&gt;13.66&lt;/D&gt;&lt;D xsi:type="xsd:double"&gt;13.46&lt;/D&gt;&lt;D xsi:type="xsd:double"&gt;11.5&lt;/D&gt;&lt;D xsi:type="xsd:double"&gt;10.62&lt;/D&gt;&lt;D xsi:type="xsd:double"&gt;10.74&lt;/D&gt;&lt;D xsi:type="xsd:double"&gt;11.14&lt;/D&gt;&lt;D xsi:type="xsd:double"&gt;10.4&lt;/D&gt;&lt;D xsi:type="xsd:double"&gt;11.02&lt;/D&gt;&lt;D xsi:type="xsd:double"&gt;10.48&lt;/D&gt;&lt;D xsi:type="xsd:double"&gt;10.7&lt;/D&gt;&lt;D xsi:type="xsd:double"&gt;10.12&lt;/D&gt;&lt;D xsi:type="xsd:double"&gt;10.26&lt;/D&gt;&lt;D xsi:type="xsd:double"&gt;11.24&lt;/D&gt;&lt;D xsi:type="xsd:double"&gt;12.84&lt;/D&gt;&lt;D xsi:type="xsd:double"&gt;12.18&lt;/D&gt;&lt;D xsi:type="xsd:double"&gt;11.84&lt;/D&gt;&lt;D xsi:type="xsd:double"&gt;11.7&lt;/D&gt;&lt;D xsi:type="xsd:double"&gt;11.92&lt;/D&gt;&lt;D xsi:type="xsd:double"&gt;12.46&lt;/D&gt;&lt;D xsi:type="xsd:double"&gt;12.22&lt;/D&gt;&lt;D xsi:type="xsd:double"&gt;11.82&lt;/D&gt;&lt;D xsi:type="xsd:double"&gt;11.6&lt;/D&gt;&lt;D xsi:type="xsd:double"&gt;10.88&lt;/D&gt;&lt;D xsi:type="xsd:double"&gt;11.34&lt;/D&gt;&lt;D xsi:type="xsd:double"&gt;12.2&lt;/D&gt;&lt;D xsi:type="xsd:double"&gt;11.94&lt;/D&gt;&lt;D xsi:type="xsd:double"&gt;12.74&lt;/D&gt;&lt;D xsi:type="xsd:double"&gt;12.78&lt;/D&gt;&lt;D xsi:type="xsd:double"&gt;11.6&lt;/D&gt;&lt;D xsi:type="xsd:double"&gt;11.72&lt;/D&gt;&lt;D xsi:type="xsd:double"&gt;11.74&lt;/D&gt;&lt;D xsi:type="xsd:double"&gt;11.7&lt;/D&gt;&lt;D xsi:type="xsd:double"&gt;12.2&lt;/D&gt;&lt;D xsi:type="xsd:double"&gt;12.56&lt;/D&gt;&lt;D xsi:type="xsd:double"&gt;12.24&lt;/D&gt;&lt;D xsi:type="xsd:double"&gt;11.42&lt;/D&gt;&lt;D xsi:type="xsd:double"&gt;11.66&lt;/D&gt;&lt;D xsi:type="xsd:double"&gt;11.88&lt;/D&gt;&lt;D xsi:type="xsd:double"&gt;11.98&lt;/D&gt;&lt;D xsi:type="xsd:double"&gt;12.24&lt;/D&gt;&lt;D xsi:type="xsd:double"&gt;11.7&lt;/D&gt;&lt;D xsi:type="xsd:double"&gt;11.22&lt;/D&gt;&lt;D xsi:type="xsd:double"&gt;11.26&lt;/D&gt;&lt;D xsi:type="xsd:double"&gt;11.48&lt;/D&gt;&lt;D xsi:type="xsd:double"&gt;12.18&lt;/D&gt;&lt;D xsi:type="xsd:double"&gt;12.44&lt;/D&gt;&lt;D xsi:type="xsd:double"&gt;14.1&lt;/D&gt;&lt;D xsi:type="xsd:double"&gt;14.94&lt;/D&gt;&lt;D xsi:type="xsd:double"&gt;13.54&lt;/D&gt;&lt;D xsi:type="xsd:double"&gt;13.16&lt;/D&gt;&lt;D xsi:type="xsd:double"&gt;14.1&lt;/D&gt;&lt;D xsi:type="xsd:double"&gt;13.82&lt;/D&gt;&lt;D xsi:type="xsd:double"&gt;13.46&lt;/D&gt;&lt;D xsi:type="xsd:double"&gt;13.78&lt;/D&gt;&lt;D xsi:type="xsd:double"&gt;13.86&lt;/D&gt;&lt;D xsi:type="xsd:double"&gt;13.82&lt;/D&gt;&lt;D xsi:type="xsd:double"&gt;15.42&lt;/D&gt;&lt;D xsi:type="xsd:double"&gt;14.3&lt;/D&gt;&lt;D xsi:type="xsd:double"&gt;14.7&lt;/D&gt;&lt;D xsi:type="xsd:double"&gt;14.46&lt;/D&gt;&lt;D xsi:type="xsd:double"&gt;14.51&lt;/D&gt;&lt;D xsi:type="xsd:double"&gt;13.55&lt;/D&gt;&lt;D xsi:type="xsd:double"&gt;13.68&lt;/D&gt;&lt;D xsi:type="xsd:double"&gt;13.84&lt;/D&gt;&lt;D xsi:type="xsd:double"&gt;13.82&lt;/D&gt;&lt;D xsi:type="xsd:double"&gt;12.13&lt;/D&gt;&lt;D xsi:type="xsd:double"&gt;12.06&lt;/D&gt;&lt;D xsi:type="xsd:double"&gt;11.96&lt;/D&gt;&lt;D xsi:type="xsd:double"&gt;12.77&lt;/D&gt;&lt;D xsi:type="xsd:double"&gt;12.98&lt;/D&gt;&lt;D xsi:type="xsd:double"&gt;13.49&lt;/D&gt;&lt;D xsi:type="xsd:double"&gt;14.2&lt;/D&gt;&lt;D xsi:type="xsd:double"&gt;14.16&lt;/D&gt;&lt;D xsi:type="xsd:double"&gt;13.47&lt;/D&gt;&lt;D xsi:type="xsd:double"&gt;13.25&lt;/D&gt;&lt;D xsi:type="xsd:double"&gt;13.88&lt;/D&gt;&lt;D xsi:type="xsd:double"&gt;13.68&lt;/D&gt;&lt;D xsi:type="xsd:double"&gt;13.53&lt;/D&gt;&lt;D xsi:type="xsd:double"&gt;13.88&lt;/D&gt;&lt;D xsi:type="xsd:double"&gt;13.9&lt;/D&gt;&lt;D xsi:type="xsd:double"&gt;13.77&lt;/D&gt;&lt;D xsi:type="xsd:double"&gt;13.26&lt;/D&gt;&lt;D xsi:type="xsd:double"&gt;13.3&lt;/D&gt;&lt;D xsi:type="xsd:double"&gt;13.7&lt;/D&gt;&lt;D xsi:type="xsd:double"&gt;13.94&lt;/D&gt;&lt;D xsi:type="xsd:double"&gt;13.78&lt;/D&gt;&lt;D xsi:type="xsd:double"&gt;14.34&lt;/D&gt;&lt;/FQL&gt;&lt;FQL&gt;&lt;Q&gt;HLAG-DE^P_PRICE(1/4/2019,NOW,W)&lt;/Q&gt;&lt;R&gt;373&lt;/R&gt;&lt;C&gt;1&lt;/C&gt;&lt;D xsi:type="xsd:double"&gt;22.38&lt;/D&gt;&lt;D xsi:type="xsd:double"&gt;23.92&lt;/D&gt;&lt;D xsi:type="xsd:double"&gt;23.7&lt;/D&gt;&lt;D xsi:type="xsd:double"&gt;24.04&lt;/D&gt;&lt;D xsi:type="xsd:double"&gt;21.84&lt;/D&gt;&lt;D xsi:type="xsd:double"&gt;22.74&lt;/D&gt;&lt;D xsi:type="xsd:double"&gt;24.8&lt;/D&gt;&lt;D xsi:type="xsd:double"&gt;26.4&lt;/D&gt;&lt;D xsi:type="xsd:double"&gt;25.64&lt;/D&gt;&lt;D xsi:type="xsd:double"&gt;24.44&lt;/D&gt;&lt;D xsi:type="xsd:double"&gt;24.9&lt;/D&gt;&lt;D xsi:type="xsd:double"&gt;25.28&lt;/D&gt;&lt;D xsi:type="xsd:double"&gt;28.2&lt;/D&gt;&lt;D xsi:type="xsd:double"&gt;28.6&lt;/D&gt;&lt;D xsi:type="xsd:double"&gt;28.3&lt;/D&gt;&lt;D xsi:type="xsd:double"&gt;27.8&lt;/D&gt;&lt;D xsi:type="xsd:double"&gt;26&lt;/D&gt;&lt;D xsi:type="xsd:double"&gt;28.5&lt;/D&gt;&lt;D xsi:type="xsd:double"&gt;27&lt;/D&gt;&lt;D xsi:type="xsd:double"&gt;24.85&lt;/D&gt;&lt;D xsi:type="xsd:double"&gt;24.55&lt;/D&gt;&lt;D xsi:type="xsd:double"&gt;28.7&lt;/D&gt;&lt;D xsi:type="xsd:double"&gt;32.3&lt;/D&gt;&lt;D xsi:type="xsd:double"&gt;34.9&lt;/D&gt;&lt;D xsi:type="xsd:double"&gt;37.55&lt;/D&gt;&lt;D xsi:type="xsd:double"&gt;38.5&lt;/D&gt;&lt;D xsi:type="xsd:double"&gt;41.55&lt;/D&gt;&lt;D xsi:type="xsd:double"&gt;38&lt;/D&gt;&lt;D xsi:type="xsd:double"&gt;35.9&lt;/D&gt;&lt;D xsi:type="xsd:double"&gt;38.1&lt;/D&gt;&lt;D xsi:type="xsd:double"&gt;38.05&lt;/D&gt;&lt;D xsi:type="xsd:double"&gt;49.2&lt;/D&gt;&lt;D xsi:type="xsd:double"&gt;51.6&lt;/D&gt;&lt;D xsi:type="xsd:double"&gt;55.6&lt;/D&gt;&lt;D xsi:type="xsd:double"&gt;63.4&lt;/D&gt;&lt;D xsi:type="xsd:double"&gt;70&lt;/D&gt;&lt;D xsi:type="xsd:double"&gt;64.7&lt;/D&gt;&lt;D xsi:type="xsd:double"&gt;65.9&lt;/D&gt;&lt;D xsi:type="xsd:double"&gt;63.6&lt;/D&gt;&lt;D xsi:type="xsd:double"&gt;60.6&lt;/D&gt;&lt;D xsi:type="xsd:double"&gt;60.1&lt;/D&gt;&lt;D xsi:type="xsd:double"&gt;60&lt;/D&gt;&lt;D xsi:type="xsd:double"&gt;66&lt;/D&gt;&lt;D xsi:type="xsd:double"&gt;66.6&lt;/D&gt;&lt;D xsi:type="xsd:double"&gt;67.6&lt;/D&gt;&lt;D xsi:type="xsd:double"&gt;77.8&lt;/D&gt;&lt;D xsi:type="xsd:double"&gt;74.3&lt;/D&gt;&lt;D xsi:type="xsd:double"&gt;73.2&lt;/D&gt;&lt;D xsi:type="xsd:double"&gt;73.1&lt;/D&gt;&lt;D xsi:type="xsd:double"&gt;71.9&lt;/D&gt;&lt;D xsi:type="xsd:double"&gt;73.7&lt;/D&gt;&lt;D xsi:type="xsd:double"&gt;77&lt;/D&gt;&lt;D xsi:type="xsd:double"&gt;74.7&lt;/D&gt;&lt;D xsi:type="xsd:double"&gt;76.2&lt;/D&gt;&lt;D xsi:type="xsd:double"&gt;76.7&lt;/D&gt;&lt;D xsi:type="xsd:double"&gt;76.3&lt;/D&gt;&lt;D xsi:type="xsd:double"&gt;74.2&lt;/D&gt;&lt;D xsi:type="xsd:double"&gt;78.1&lt;/D&gt;&lt;D xsi:type="xsd:double"&gt;76.2&lt;/D&gt;&lt;D xsi:type="xsd:double"&gt;75.8&lt;/D&gt;&lt;D xsi:type="xsd:double"&gt;71.3&lt;/D&gt;&lt;D xsi:type="xsd:double"&gt;68&lt;/D&gt;&lt;D xsi:type="xsd:double"&gt;66&lt;/D&gt;&lt;D xsi:type="xsd:double"&gt;67.3&lt;/D&gt;&lt;D xsi:type="xsd:double"&gt;64.9&lt;/D&gt;&lt;D xsi:type="xsd:double"&gt;61.8&lt;/D&gt;&lt;D xsi:type="xsd:double"&gt;72.6&lt;/D&gt;&lt;D xsi:type="xsd:double"&gt;79.7&lt;/D&gt;&lt;D xsi:type="xsd:double"&gt;119&lt;/D&gt;&lt;D xsi:type="xsd:double"&gt;131.2&lt;/D&gt;&lt;D xsi:type="xsd:double"&gt;157&lt;/D&gt;&lt;D xsi:type="xsd:double"&gt;186.6&lt;/D&gt;&lt;D xsi:type="xsd:double"&gt;148.2&lt;/D&gt;&lt;D xsi:type="xsd:double"&gt;86.5&lt;/D&gt;&lt;D xsi:type="xsd:double"&gt;80.1&lt;/D&gt;&lt;D xsi:type="xsd:double"&gt;65.2&lt;/D&gt;&lt;D xsi:type="xsd:double"&gt;53.8&lt;/D&gt;&lt;D xsi:type="xsd:double"&gt;51.4&lt;/D&gt;&lt;D xsi:type="xsd:double"&gt;52.6&lt;/D&gt;&lt;D xsi:type="xsd:double"&gt;53.1&lt;/D&gt;&lt;D xsi:type="xsd:double"&gt;51.9&lt;/D&gt;&lt;D xsi:type="xsd:double"&gt;48.85&lt;/D&gt;&lt;D xsi:type="xsd:double"&gt;46.4&lt;/D&gt;&lt;D xsi:type="xsd:double"&gt;47.35&lt;/D&gt;&lt;D xsi:type="xsd:double"&gt;56.6&lt;/D&gt;&lt;D xsi:type="xsd:double"&gt;53&lt;/D&gt;&lt;D xsi:type="xsd:double"&gt;49.4&lt;/D&gt;&lt;D xsi:type="xsd:double"&gt;47.3&lt;/D&gt;&lt;D xsi:type="xsd:double"&gt;49.3&lt;/D&gt;&lt;D xsi:type="xsd:double"&gt;46.75&lt;/D&gt;&lt;D xsi:type="xsd:double"&gt;42.7&lt;/D&gt;&lt;D xsi:type="xsd:double"&gt;44.55&lt;/D&gt;&lt;D xsi:type="xsd:double"&gt;51.1&lt;/D&gt;&lt;D xsi:type="xsd:double"&gt;55.9&lt;/D&gt;&lt;D xsi:type="xsd:double"&gt;54.3&lt;/D&gt;&lt;D xsi:type="xsd:double"&gt;53.6&lt;/D&gt;&lt;D xsi:type="xsd:double"&gt;57.7&lt;/D&gt;&lt;D xsi:type="xsd:double"&gt;58&lt;/D&gt;&lt;D xsi:type="xsd:double"&gt;60.2&lt;/D&gt;&lt;D xsi:type="xsd:double"&gt;63.6&lt;/D&gt;&lt;D xsi:type="xsd:double"&gt;71.2&lt;/D&gt;&lt;D xsi:type="xsd:double"&gt;75&lt;/D&gt;&lt;D xsi:type="xsd:double"&gt;86.5&lt;/D&gt;&lt;D xsi:type="xsd:double"&gt;84.7&lt;/D&gt;&lt;D xsi:type="xsd:double"&gt;91.9&lt;/D&gt;&lt;D xsi:type="xsd:double"&gt;106.6&lt;/D&gt;&lt;D xsi:type="xsd:double"&gt;103&lt;/D&gt;&lt;D xsi:type="xsd:double"&gt;106.6&lt;/D&gt;&lt;D xsi:type="xsd:double"&gt;93.1&lt;/D&gt;&lt;D xsi:type="xsd:double"&gt;103&lt;/D&gt;&lt;D xsi:type="xsd:double"&gt;102.8&lt;/D&gt;&lt;D xsi:type="xsd:double"&gt;124.2&lt;/D&gt;&lt;D xsi:type="xsd:double"&gt;1</t>
        </r>
      </text>
    </comment>
    <comment ref="A10" authorId="0" shapeId="0" xr:uid="{00000000-0006-0000-0000-00000A000000}">
      <text>
        <r>
          <rPr>
            <sz val="11"/>
            <color theme="1"/>
            <rFont val="맑은 고딕"/>
            <family val="2"/>
            <charset val="129"/>
            <scheme val="minor"/>
          </rPr>
          <t>21.8&lt;/D&gt;&lt;D xsi:type="xsd:double"&gt;118.2&lt;/D&gt;&lt;D xsi:type="xsd:double"&gt;126.4&lt;/D&gt;&lt;D xsi:type="xsd:double"&gt;144.8&lt;/D&gt;&lt;D xsi:type="xsd:double"&gt;129&lt;/D&gt;&lt;D xsi:type="xsd:double"&gt;134.8&lt;/D&gt;&lt;D xsi:type="xsd:double"&gt;142.5&lt;/D&gt;&lt;D xsi:type="xsd:double"&gt;145.3&lt;/D&gt;&lt;D xsi:type="xsd:double"&gt;145.1&lt;/D&gt;&lt;D xsi:type="xsd:double"&gt;151.3&lt;/D&gt;&lt;D xsi:type="xsd:double"&gt;158.6&lt;/D&gt;&lt;D xsi:type="xsd:double"&gt;135.6&lt;/D&gt;&lt;D xsi:type="xsd:double"&gt;154.3&lt;/D&gt;&lt;D xsi:type="xsd:double"&gt;158.4&lt;/D&gt;&lt;D xsi:type="xsd:double"&gt;166.3&lt;/D&gt;&lt;D xsi:type="xsd:double"&gt;180.1&lt;/D&gt;&lt;D xsi:type="xsd:double"&gt;187.6&lt;/D&gt;&lt;D xsi:type="xsd:double"&gt;190.8&lt;/D&gt;&lt;D xsi:type="xsd:double"&gt;193.7&lt;/D&gt;&lt;D xsi:type="xsd:double"&gt;184.3&lt;/D&gt;&lt;D xsi:type="xsd:double"&gt;177.5&lt;/D&gt;&lt;D xsi:type="xsd:double"&gt;188.9&lt;/D&gt;&lt;D xsi:type="xsd:double"&gt;182.2&lt;/D&gt;&lt;D xsi:type="xsd:double"&gt;202.6&lt;/D&gt;&lt;D xsi:type="xsd:double"&gt;216.2&lt;/D&gt;&lt;D xsi:type="xsd:double"&gt;192.7&lt;/D&gt;&lt;D xsi:type="xsd:double"&gt;198.5&lt;/D&gt;&lt;D xsi:type="xsd:double"&gt;195.6&lt;/D&gt;&lt;D xsi:type="xsd:double"&gt;209.6&lt;/D&gt;&lt;D xsi:type="xsd:double"&gt;232.6&lt;/D&gt;&lt;D xsi:type="xsd:double"&gt;217.4&lt;/D&gt;&lt;D xsi:type="xsd:double"&gt;193.6&lt;/D&gt;&lt;D xsi:type="xsd:double"&gt;178.9&lt;/D&gt;&lt;D xsi:type="xsd:double"&gt;175.1&lt;/D&gt;&lt;D xsi:type="xsd:double"&gt;176.9&lt;/D&gt;&lt;D xsi:type="xsd:double"&gt;185.9&lt;/D&gt;&lt;D xsi:type="xsd:double"&gt;209.4&lt;/D&gt;&lt;D xsi:type="xsd:double"&gt;216.8&lt;/D&gt;&lt;D xsi:type="xsd:double"&gt;219.6&lt;/D&gt;&lt;D xsi:type="xsd:double"&gt;205&lt;/D&gt;&lt;D xsi:type="xsd:double"&gt;227&lt;/D&gt;&lt;D xsi:type="xsd:double"&gt;226.2&lt;/D&gt;&lt;D xsi:type="xsd:double"&gt;225.6&lt;/D&gt;&lt;D xsi:type="xsd:double"&gt;258.4&lt;/D&gt;&lt;D xsi:type="xsd:double"&gt;277&lt;/D&gt;&lt;D xsi:type="xsd:double"&gt;280.4&lt;/D&gt;&lt;D xsi:type="xsd:double"&gt;266&lt;/D&gt;&lt;D xsi:type="xsd:double"&gt;258&lt;/D&gt;&lt;D xsi:type="xsd:double"&gt;258.6&lt;/D&gt;&lt;D xsi:type="xsd:double"&gt;230.4&lt;/D&gt;&lt;D xsi:type="xsd:double"&gt;257&lt;/D&gt;&lt;D xsi:type="xsd:double"&gt;262&lt;/D&gt;&lt;D xsi:type="xsd:double"&gt;262.2&lt;/D&gt;&lt;D xsi:type="xsd:double"&gt;253.4&lt;/D&gt;&lt;D xsi:type="xsd:double"&gt;278.4&lt;/D&gt;&lt;D xsi:type="xsd:double"&gt;349.8&lt;/D&gt;&lt;D xsi:type="xsd:double"&gt;342.4&lt;/D&gt;&lt;D xsi:type="xsd:double"&gt;323.8&lt;/D&gt;&lt;D xsi:type="xsd:double"&gt;306&lt;/D&gt;&lt;D xsi:type="xsd:double"&gt;314.6&lt;/D&gt;&lt;D xsi:type="xsd:double"&gt;337.2&lt;/D&gt;&lt;D xsi:type="xsd:double"&gt;383&lt;/D&gt;&lt;D xsi:type="xsd:double"&gt;419.4&lt;/D&gt;&lt;D xsi:type="xsd:double"&gt;426&lt;/D&gt;&lt;D xsi:type="xsd:double"&gt;439&lt;/D&gt;&lt;D xsi:type="xsd:double"&gt;369.4&lt;/D&gt;&lt;D xsi:type="xsd:double"&gt;357.6&lt;/D&gt;&lt;D xsi:type="xsd:double"&gt;293.6&lt;/D&gt;&lt;D xsi:type="xsd:double"&gt;256.8&lt;/D&gt;&lt;D xsi:type="xsd:double"&gt;263.6&lt;/D&gt;&lt;D xsi:type="xsd:double"&gt;244.6&lt;/D&gt;&lt;D xsi:type="xsd:double"&gt;281.4&lt;/D&gt;&lt;D xsi:type="xsd:double"&gt;265.6&lt;/D&gt;&lt;D xsi:type="xsd:double"&gt;283.4&lt;/D&gt;&lt;D xsi:type="xsd:double"&gt;335&lt;/D&gt;&lt;D xsi:type="xsd:double"&gt;343&lt;/D&gt;&lt;D xsi:type="xsd:double"&gt;311.8&lt;/D&gt;&lt;D xsi:type="xsd:double"&gt;296.6&lt;/D&gt;&lt;D xsi:type="xsd:double"&gt;272&lt;/D&gt;&lt;D xsi:type="xsd:double"&gt;227.8&lt;/D&gt;&lt;D xsi:type="xsd:double"&gt;218.8&lt;/D&gt;&lt;D xsi:type="xsd:double"&gt;190.6&lt;/D&gt;&lt;D xsi:type="xsd:double"&gt;165.5&lt;/D&gt;&lt;D xsi:type="xsd:double"&gt;174.7&lt;/D&gt;&lt;D xsi:type="xsd:double"&gt;175&lt;/D&gt;&lt;D xsi:type="xsd:double"&gt;181.2&lt;/D&gt;&lt;D xsi:type="xsd:double"&gt;190.1&lt;/D&gt;&lt;D xsi:type="xsd:double"&gt;179.1&lt;/D&gt;&lt;D xsi:type="xsd:double"&gt;165.9&lt;/D&gt;&lt;D xsi:type="xsd:double"&gt;185.8&lt;/D&gt;&lt;D xsi:type="xsd:double"&gt;187&lt;/D&gt;&lt;D xsi:type="xsd:double"&gt;194.7&lt;/D&gt;&lt;D xsi:type="xsd:double"&gt;194.3&lt;/D&gt;&lt;D xsi:type="xsd:double"&gt;190.3&lt;/D&gt;&lt;D xsi:type="xsd:double"&gt;185.1&lt;/D&gt;&lt;D xsi:type="xsd:double"&gt;192.8&lt;/D&gt;&lt;D xsi:type="xsd:double"&gt;177.6&lt;/D&gt;&lt;D xsi:type="xsd:double"&gt;176.3&lt;/D&gt;&lt;D xsi:type="xsd:double"&gt;192.1&lt;/D&gt;&lt;D xsi:type="xsd:double"&gt;210.2&lt;/D&gt;&lt;D xsi:type="xsd:double"&gt;199.7&lt;/D&gt;&lt;D xsi:type="xsd:double"&gt;217.8&lt;/D&gt;&lt;D xsi:type="xsd:double"&gt;265.4&lt;/D&gt;&lt;D xsi:type="xsd:double"&gt;269&lt;/D&gt;&lt;D xsi:type="xsd:double"&gt;266.2&lt;/D&gt;&lt;D xsi:type="xsd:double"&gt;290&lt;/D&gt;&lt;D xsi:type="xsd:double"&gt;303&lt;/D&gt;&lt;D xsi:type="xsd:double"&gt;302&lt;/D&gt;&lt;D xsi:type="xsd:double"&gt;292&lt;/D&gt;&lt;D xsi:type="xsd:double"&gt;302&lt;/D&gt;&lt;D xsi:type="xsd:double"&gt;289.6&lt;/D&gt;&lt;D xsi:type="xsd:double"&gt;326&lt;/D&gt;&lt;D xsi:type="xsd:double"&gt;310&lt;/D&gt;&lt;D xsi:type="xsd:double"&gt;281.2&lt;/D&gt;&lt;D xsi:type="xsd:double"&gt;197.8&lt;/D&gt;&lt;D xsi:type="xsd:double"&gt;193.6&lt;/D&gt;&lt;D xsi:type="xsd:double"&gt;184.3&lt;/D&gt;&lt;D xsi:type="xsd:double"&gt;186.8&lt;/D&gt;&lt;D xsi:type="xsd:double"&gt;185.5&lt;/D&gt;&lt;D xsi:type="xsd:double"&gt;185.2&lt;/D&gt;&lt;D xsi:type="xsd:double"&gt;187.9&lt;/D&gt;&lt;D xsi:type="xsd:double"&gt;184.2&lt;/D&gt;&lt;D xsi:type="xsd:double"&gt;185.9&lt;/D&gt;&lt;D xsi:type="xsd:double"&gt;197.8&lt;/D&gt;&lt;D xsi:type="xsd:double"&gt;230.6&lt;/D&gt;&lt;D xsi:type="xsd:double"&gt;204&lt;/D&gt;&lt;D xsi:type="xsd:double"&gt;204.2&lt;/D&gt;&lt;D xsi:type="xsd:double"&gt;199.5&lt;/D&gt;&lt;D xsi:type="xsd:double"&gt;180&lt;/D&gt;&lt;D xsi:type="xsd:double"&gt;184&lt;/D&gt;&lt;D xsi:type="xsd:double"&gt;179.1&lt;/D&gt;&lt;D xsi:type="xsd:double"&gt;186.4&lt;/D&gt;&lt;D xsi:type="xsd:double"&gt;184.3&lt;/D&gt;&lt;D xsi:type="xsd:double"&gt;182.2&lt;/D&gt;&lt;D xsi:type="xsd:double"&gt;171.8&lt;/D&gt;&lt;D xsi:type="xsd:double"&gt;172.2&lt;/D&gt;&lt;D xsi:type="xsd:double"&gt;174.1&lt;/D&gt;&lt;D xsi:type="xsd:double"&gt;166.4&lt;/D&gt;&lt;D xsi:type="xsd:double"&gt;156.2&lt;/D&gt;&lt;D xsi:type="xsd:double"&gt;147.1&lt;/D&gt;&lt;D xsi:type="xsd:double"&gt;122.6&lt;/D&gt;&lt;D xsi:type="xsd:double"&gt;122&lt;/D&gt;&lt;D xsi:type="xsd:double"&gt;120.3&lt;/D&gt;&lt;D xsi:type="xsd:double"&gt;118.3&lt;/D&gt;&lt;D xsi:type="xsd:double"&gt;114.4&lt;/D&gt;&lt;D xsi:type="xsd:double"&gt;110.5&lt;/D&gt;&lt;D xsi:type="xsd:double"&gt;125.8&lt;/D&gt;&lt;D xsi:type="xsd:double"&gt;147.5&lt;/D&gt;&lt;D xsi:type="xsd:double"&gt;135&lt;/D&gt;&lt;D xsi:type="xsd:double"&gt;170&lt;/D&gt;&lt;D xsi:type="xsd:double"&gt;156.4&lt;/D&gt;&lt;D xsi:type="xsd:double"&gt;151.9&lt;/D&gt;&lt;D xsi:type="xsd:double"&gt;151.4&lt;/D&gt;&lt;D xsi:type="xsd:double"&gt;135&lt;/D&gt;&lt;D xsi:type="xsd:double"&gt;128.3&lt;/D&gt;&lt;D xsi:type="xsd:double"&gt;129.7&lt;/D&gt;&lt;D xsi:type="xsd:double"&gt;135.6&lt;/D&gt;&lt;D xsi:type="xsd:double"&gt;135&lt;/D&gt;&lt;D xsi:type="xsd:double"&gt;133.9&lt;/D&gt;&lt;D xsi:type="xsd:double"&gt;124.2&lt;/D&gt;&lt;D xsi:type="xsd:double"&gt;125.5&lt;/D&gt;&lt;D xsi:type="xsd:double"&gt;139.7&lt;/D&gt;&lt;D xsi:type="xsd:double"&gt;139.7&lt;/D&gt;&lt;D xsi:type="xsd:double"&gt;148.1&lt;/D&gt;&lt;D xsi:type="xsd:double"&gt;152.3&lt;/D&gt;&lt;D xsi:type="xsd:double"&gt;167.8&lt;/D&gt;&lt;D xsi:type="xsd:double"&gt;147.9&lt;/D&gt;&lt;D xsi:type="xsd:double"&gt;166.6&lt;/D&gt;&lt;D xsi:type="xsd:double"&gt;160.1&lt;/D&gt;&lt;D xsi:type="xsd:double"&gt;164.2&lt;/D&gt;&lt;D xsi:type="xsd:double"&gt;174.1&lt;/D&gt;&lt;D xsi:type="xsd:double"&gt;180.8&lt;/D&gt;&lt;D xsi:type="xsd:double"&gt;164.6&lt;/D&gt;&lt;D xsi:type="xsd:double"&gt;174.2&lt;/D&gt;&lt;D xsi:type="xsd:double"&gt;173.3&lt;/D&gt;&lt;D xsi:type="xsd:double"&gt;162.2&lt;/D&gt;&lt;D xsi:type="xsd:double"&gt;149&lt;/D&gt;&lt;D xsi:type="xsd:double"&gt;149.3&lt;/D&gt;&lt;D xsi:type="xsd:double"&gt;149.5&lt;/D&gt;&lt;D xsi:type="xsd:double"&gt;157.5&lt;/D&gt;&lt;D xsi:type="xsd:double"&gt;153.9&lt;/D&gt;&lt;D xsi:type="xsd:double"&gt;146.9&lt;/D&gt;&lt;D xsi:type="xsd:double"&gt;152&lt;/D&gt;&lt;D xsi:type="xsd:double"&gt;146.4&lt;/D&gt;&lt;D xsi:type="xsd:double"&gt;137&lt;/D&gt;&lt;D xsi:type="xsd:double"&gt;141.1&lt;/D&gt;&lt;D xsi:type="xsd:double"&gt;151.5&lt;/D&gt;&lt;D xsi:type="xsd:double"&gt;163.2&lt;/D&gt;&lt;D xsi:type="xsd:double"&gt;138.7&lt;/D&gt;&lt;D xsi:type="xsd:double"&gt;142&lt;/D&gt;&lt;D xsi:type="xsd:double"&gt;158.6&lt;/D&gt;&lt;D xsi:type="xsd:double"&gt;171.5&lt;/D&gt;&lt;D xsi:type="xsd:double"&gt;166.3&lt;/D&gt;&lt;D xsi:type="xsd:double"&gt;159.1&lt;/D&gt;&lt;D xsi:type="xsd:double"&gt;166.6&lt;/D&gt;&lt;D xsi:type="xsd:double"&gt;160.5&lt;/D&gt;&lt;D xsi:type="xsd:double"&gt;152.8&lt;/D&gt;&lt;D xsi:type="xsd:double"&gt;159.3&lt;/D&gt;&lt;D xsi:type="xsd:double"&gt;155.9&lt;/D&gt;&lt;D xsi:type="xsd:double"&gt;153.5&lt;/D&gt;&lt;D xsi:type="xsd:double"&gt;153.1&lt;/D&gt;&lt;D xsi:type="xsd:double"&gt;160.1&lt;/D&gt;&lt;D xsi:type="xsd:double"&gt;143.5&lt;/D&gt;&lt;D xsi:type="xsd:double"&gt;131&lt;/D&gt;&lt;D xsi:type="xsd:double"&gt;130.7&lt;/D&gt;&lt;D xsi:type="xsd:double"&gt;139.2&lt;/D&gt;&lt;D xsi:type="xsd:double"&gt;144.5&lt;/D&gt;&lt;D xsi:type="xsd:double"&gt;150.1&lt;/D&gt;&lt;D xsi:type="xsd:double"&gt;149.8&lt;/D&gt;&lt;D xsi:type="xsd:double"&gt;147.6&lt;/D&gt;&lt;D xsi:type="xsd:double"&gt;146&lt;/D&gt;&lt;D xsi:type="xsd:double"&gt;140.6&lt;/D&gt;&lt;D xsi:type="xsd:double"&gt;135.3&lt;/D&gt;&lt;D xsi:type="xsd:double"&gt;145.9&lt;/D&gt;&lt;D xsi:type="xsd:double"&gt;120.9&lt;/D&gt;&lt;D xsi:type="xsd:double"&gt;130&lt;/D&gt;&lt;D xsi:type="xsd:double"&gt;135.3&lt;/D&gt;&lt;D xsi:type="xsd:double"&gt;137.5&lt;/D&gt;&lt;D xsi:type="xsd:double"&gt;132.9&lt;/D&gt;&lt;D xsi:type="xsd:double"&gt;129.7&lt;/D&gt;&lt;D xsi:type="xsd:double"&gt;167&lt;/D&gt;&lt;D xsi:type="xsd:double"&gt;159.1&lt;/D&gt;&lt;D xsi:type="xsd:double"&gt;144.4&lt;/D&gt;&lt;D xsi:type="xsd:double"&gt;147.4&lt;/D&gt;&lt;D xsi:type="xsd:double"&gt;142.9&lt;/D&gt;&lt;D xsi:type="xsd:double"&gt;135.7&lt;/D&gt;&lt;D xsi:type="xsd:double"&gt;128.5&lt;/D&gt;&lt;D xsi:type="xsd:double"&gt;125.1&lt;/D&gt;&lt;D xsi:type="xsd:double"&gt;127.3&lt;/D&gt;&lt;D xsi:type="xsd:double"&gt;126.1&lt;/D&gt;&lt;D xsi:type="xsd:double"&gt;133.6&lt;/D&gt;&lt;D xsi:type="xsd:double"&gt;124.2&lt;/D&gt;&lt;D xsi:type="xsd:double"&gt;130.4&lt;/D&gt;&lt;D xsi:type="xsd:double"&gt;119.6&lt;/D&gt;&lt;D xsi:type="xsd:double"&gt;120.8&lt;/D&gt;&lt;D xsi:type="xsd:double"&gt;118.6&lt;/D&gt;&lt;D xsi:type="xsd:double"&gt;118.2&lt;/D&gt;&lt;D xsi:type="xsd:double"&gt;119.5&lt;/D&gt;&lt;D xsi:type="xsd:double"&gt;117.6&lt;/D&gt;&lt;D xsi:type="xsd:double"&gt;114.9&lt;/D&gt;&lt;D xsi:type="xsd:double"&gt;118.4&lt;/D&gt;&lt;D xsi:type="xsd:double"&gt;113.1&lt;/D&gt;&lt;D xsi:type="xsd:double"&gt;121.1&lt;/D&gt;&lt;D xsi:type="xsd:double"&gt;119&lt;/D&gt;&lt;D xsi:type="xsd:double"&gt;124.6&lt;/D&gt;&lt;D xsi:type="xsd:double"&gt;117.6&lt;/D&gt;&lt;D xsi:type="xsd:double"&gt;115.4&lt;/D&gt;&lt;D xsi:type="xsd:double"&gt;111&lt;/D&gt;&lt;D xsi:type="xsd:double"&gt;115.1&lt;/D&gt;&lt;D xsi:type="xsd:double"&gt;118.6&lt;/D&gt;&lt;D xsi:type="xsd:double"&gt;124&lt;/D&gt;&lt;D xsi:type="xsd:double"&gt;113.4&lt;/D&gt;&lt;D xsi:type="xsd:double"&gt;114.8&lt;/D&gt;&lt;D xsi:type="xsd:double"&gt;117.4&lt;/D&gt;&lt;D xsi:type="xsd:double"&gt;125.3&lt;/D&gt;&lt;D xsi:type="xsd:double"&gt;120.2&lt;/D&gt;&lt;D xsi:type="xsd:double"&gt;115&lt;/D&gt;&lt;D xsi:type="xsd:double"&gt;121.2&lt;/D&gt;&lt;D xsi:type="xsd:double"&gt;119.8&lt;/D&gt;&lt;D xsi:type="xsd:double"&gt;120.4&lt;/D&gt;&lt;D xsi:type="xsd:double"&gt;123.9&lt;/D&gt;&lt;/FQL&gt;&lt;FQL&gt;&lt;Q&gt;011200-KR^P_PRICE(1/4/2019,NOW,W)&lt;/Q&gt;&lt;R&gt;373&lt;/R&gt;&lt;C&gt;1&lt;/C&gt;&lt;D xsi:type="xsd:double"&gt;3635&lt;/D&gt;&lt;D xsi:type="xsd:double"&gt;3730&lt;/D&gt;&lt;D xsi:type="xsd:double"&gt;3845&lt;/D&gt;&lt;D xsi:type="xsd:double"&gt;3925&lt;/D&gt;&lt;D xsi:type="xsd:double"&gt;4235&lt;/D&gt;&lt;D xsi:type="xsd:double"&gt;4415&lt;/D&gt;&lt;D xsi:type="xsd:double"&gt;4330&lt;/D&gt;&lt;D xsi:type="xsd:double"&gt;4370&lt;/D&gt;&lt;D xsi:type="xsd:double"&gt;4000&lt;/D&gt;&lt;D xsi:type="xsd:double"&gt;3725&lt;/D&gt;&lt;D xsi:type="xsd:double"&gt;3735&lt;/D&gt;&lt;D xsi:type="xsd:double"&gt;3650&lt;/D&gt;&lt;D xsi:type="xsd:double"&gt;3640&lt;/D&gt;&lt;D xsi:type="xsd:double"&gt;3765&lt;/D&gt;&lt;D xsi:type="xsd:double"&gt;3825&lt;/D&gt;&lt;D xsi:type="xsd:double"&gt;3730&lt;/D&gt;&lt;D xsi:type="xsd:double"&gt;3910&lt;/D&gt;&lt;D xsi:type="xsd:double"&gt;3935&lt;/D&gt;&lt;D xsi:type="xsd:double"&gt;3675&lt;/D&gt;&lt;D xsi:type="xsd:double"&gt;3585&lt;/D&gt;&lt;D xsi:type="xsd:double"&gt;3395&lt;/D&gt;&lt;D xsi:type="xsd:double"&gt;3260&lt;/D&gt;&lt;D xsi:type="xsd:double"&gt;3365&lt;/D&gt;&lt;D xsi:type="xsd:double"&gt;3545&lt;/D&gt;&lt;D xsi:type="xsd:double"&gt;3760&lt;/D&gt;&lt;D xsi:type="xsd:double"&gt;3705&lt;/D&gt;&lt;D xsi:type="xsd:double"&gt;3820&lt;/D&gt;&lt;D xsi:type="xsd:double"&gt;3630&lt;/D&gt;&lt;D xsi:type="xsd:double"&gt;3540&lt;/D&gt;&lt;D xsi:type="xsd:double"&gt;3440&lt;/D&gt;&lt;D xsi:type="xsd:double"&gt;3110&lt;/D&gt;&lt;D xsi:type="xsd:double"&gt;3150&lt;/D&gt;&lt;D xsi:type="xsd:double"&gt;3235&lt;/D&gt;&lt;D xsi:type="xsd:double"&gt;3315&lt;/D&gt;&lt;D xsi:type="xsd:double"&gt;3395&lt;/D&gt;&lt;D xsi:type="xsd:double"&gt;3550&lt;/D&gt;&lt;D xsi:type="xsd:double"&gt;3690&lt;/D&gt;&lt;D xsi:type="xsd:double"&gt;3835&lt;/D&gt;&lt;D xsi:type="xsd:double"&gt;3670&lt;/D&gt;&lt;D xsi:type="xsd:double"&gt;3565&lt;/D&gt;&lt;D xsi:type="xsd:double"&gt;3425&lt;/D&gt;&lt;D xsi:type="xsd:double"&gt;3475&lt;/D&gt;&lt;D xsi:type="xsd:double"&gt;3385&lt;/D&gt;&lt;D xsi:type="xsd:double"&gt;3270&lt;/D&gt;&lt;D xsi:type="xsd:double"&gt;3415&lt;/D&gt;&lt;D xsi:type="xsd:double"&gt;3410&lt;/D&gt;&lt;D xsi:type="xsd:double"&gt;3570&lt;/D&gt;&lt;D xsi:type="xsd:double"&gt;3610&lt;/D&gt;&lt;D xsi:type="xsd:double"&gt;3400&lt;/D&gt;&lt;D xsi:type="xsd:double"&gt;3370&lt;/D&gt;&lt;D xsi:type="xsd:double"&gt;3445&lt;/D&gt;&lt;D xsi:type="xsd:double"&gt;3420&lt;/D&gt;&lt;D xsi:type="xsd:double"&gt;3775&lt;/D&gt;&lt;D xsi:type="xsd:double"&gt;3780&lt;/D&gt;&lt;D xsi:type="xsd:double"&gt;3745&lt;/D&gt;&lt;D xsi:type="xsd:double"&gt;3635&lt;/D&gt;&lt;D xsi:type="xsd:double"&gt;3475&lt;/D&gt;&lt;D xsi:type="xsd:double"&gt;3525&lt;/D&gt;&lt;D xsi:type="xsd:double"&gt;3825&lt;/D&gt;&lt;D xsi:type="xsd:double"&gt;3500&lt;/D&gt;&lt;D xsi:type="xsd:double"&gt;3255&lt;/D&gt;&lt;D xsi:type="xsd:double"&gt;3670&lt;/D&gt;&lt;D xsi:type="xsd:double"&gt;3060&lt;/D&gt;&lt;D xsi:type="xsd:double"&gt;2425&lt;/D&gt;&lt;D xsi:type="xsd:double"&gt;2665&lt;/D&gt;&lt;D xsi:type="xsd:double"&gt;3215&lt;/D&gt;&lt;D xsi:type="xsd:double"&gt;3290&lt;/D&gt;&lt;D xsi:type="xsd:double"&gt;3655&lt;/D&gt;&lt;D xsi:type="xsd:double"&gt;3710&lt;/D&gt;&lt;D xsi:type="xsd:double"&gt;3610&lt;/D&gt;&lt;D xsi:type="xsd:double"&gt;3645&lt;/D&gt;&lt;D xsi:type="xsd:double"&gt;3735&lt;/D&gt;&lt;D xsi:type="xsd:double"&gt;3995&lt;/D&gt;&lt;D xsi:type="xsd:double"&gt;4725&lt;/D&gt;&lt;D xsi:type="xsd:double"&gt;5410&lt;/D&gt;&lt;D xsi:type="xsd:double"&gt;5160&lt;/D&gt;&lt;D xsi:type="xsd:double"&gt;4655&lt;/D&gt;&lt;D xsi:type="xsd:double"&gt;4660&lt;/D&gt;&lt;D xsi:type="xsd:double"&gt;4925&lt;/D&gt;&lt;D xsi:type="xsd:double"&gt;4715&lt;/D&gt;&lt;D xsi:type="xsd:double"&gt;5020&lt;/D&gt;&lt;D xsi:type="xsd:double"&gt;5170&lt;/D&gt;&lt;D xsi:type="xsd:double"&gt;5880&lt;/D&gt;&lt;D xsi:type="xsd:double"&gt;6600&lt;/D&gt;&lt;D xsi:type="xsd:double"&gt;6410&lt;/D&gt;&lt;D xsi:type="xsd:double"&gt;5600&lt;/D&gt;&lt;D xsi:type="xsd:double"&gt;5550&lt;/D&gt;&lt;D xsi:type="xsd:double"&gt;6360&lt;/D&gt;&lt;D xsi:type="xsd:double"&gt;7260&lt;/D&gt;&lt;D xsi:type="xsd:double"&gt;7260&lt;/D&gt;&lt;D xsi:type="xsd:double"&gt;6860&lt;/D&gt;&lt;D xsi:type="xsd:double"&gt;7210&lt;/D&gt;&lt;D xsi:type="xsd:double"&gt;7410&lt;/D&gt;&lt;D xsi:type="xsd:double"&gt;7090&lt;/D&gt;&lt;D xsi:type="xsd:double"&gt;8070&lt;/D&gt;&lt;D xsi:type="xsd:double"&gt;8970&lt;/D&gt;&lt;D xsi:type="xsd:double"&gt;10250&lt;/D&gt;&lt;D xsi:type="xsd:double"&gt;14400&lt;/D&gt;&lt;D xsi:type="xsd:double"&gt;12750&lt;/D&gt;&lt;D xsi:type="xsd:double"&gt;13000&lt;/D&gt;&lt;D xsi:type="xsd:double"&gt;12750&lt;/D&gt;&lt;D xsi:type="xsd:double"&gt;13800&lt;/D&gt;&lt;D xsi:type="xsd:double"&gt;13800&lt;/D&gt;&lt;D xsi:type="xsd:double"&gt;12850&lt;/D&gt;&lt;D xsi:type="xsd:double"&gt;13950&lt;/D&gt;&lt;D xsi:type="xsd:double"&gt;15750&lt;/D&gt;&lt;D xsi:type="xsd:double"&gt;14800&lt;/D&gt;&lt;D xsi:type="xsd:double"&gt;14700&lt;/D&gt;&lt;D xsi:type="xsd:double"&gt;13650&lt;/D&gt;&lt;D xsi:type="xsd:double"&gt;14050&lt;/D&gt;&lt;D xsi:type="xsd:double"&gt;14500&lt;/D&gt;&lt;D xsi:type="xsd:double"&gt;16400&lt;/D&gt;&lt;D xsi:type="xsd:double"&gt;19000&lt;/D&gt;&lt;D xsi:type="xsd:double"&gt;21950&lt;/D&gt;&lt;D xsi:type="xsd:double"&gt;21600&lt;/D&gt;&lt;D xsi:type="xsd:double"&gt;24450&lt;/D&gt;&lt;D xsi:type="xsd:double"&gt;34150&lt;/D&gt;&lt;D xsi:type="xsd:double"&gt;28050&lt;/D&gt;&lt;D xsi:type="xsd:double"&gt;29850&lt;/D&gt;&lt;D xsi:type="xsd:double"&gt;31150&lt;/D&gt;&lt;D xsi:type="xsd:double"&gt;32950&lt;/D&gt;&lt;D xsi:type="xsd:double"&gt;39200&lt;/D&gt;&lt;D xsi:type="xsd:double"&gt;42600&lt;/D&gt;&lt;D xsi:type="xsd:double"&gt;43700&lt;/D&gt;&lt;D xsi:type="xsd:double"&gt;46100&lt;/D&gt;&lt;D xsi:type="xsd:double"&gt;49650&lt;/D&gt;&lt;D xsi:type="xsd:double"&gt;45400&lt;/D&gt;&lt;D xsi:type="xsd:double"&gt;44850&lt;/D&gt;&lt;D xsi:type="xsd:double"&gt;44400&lt;/D&gt;&lt;D xsi:type="xsd:double"&gt;43050&lt;/D&gt;&lt;D xsi:type="xsd:double"&gt;44800&lt;/D&gt;&lt;D xsi:type="xsd:double"&gt;44650&lt;/D&gt;&lt;D xsi:type="xsd:double"&gt;43950&lt;/D&gt;&lt;D xsi:type="xsd:double"&gt;41900&lt;/D&gt;&lt;D xsi:type="xsd:double"&gt;40000&lt;/D&gt;&lt;D xsi:type="xsd:double"&gt;39950&lt;/D&gt;&lt;D xsi:type="xsd:double"&gt;39150&lt;/D&gt;&lt;D xsi:type="xsd:double"&gt;38200&lt;/D&gt;&lt;D xsi:type="xsd:double"&gt;40950&lt;/D&gt;&lt;D xsi:type="xsd:double"&gt;39300&lt;/D&gt;&lt;D xsi:type="xsd:double"&gt;38250&lt;/D&gt;&lt;D xsi:type="xsd:double"&gt;38550&lt;/D&gt;&lt;D xsi:type="xsd:double"&gt;38050&lt;/D&gt;&lt;D xsi:type="xsd:double"&gt;31800&lt;/D&gt;&lt;D xsi:type="xsd:double"&gt;29050&lt;/D&gt;&lt;D xsi:type="xsd:double"&gt;30000&lt;/D&gt;&lt;D xsi:type="xsd:double"&gt;28950&lt;/D&gt;&lt;D xsi:type="xsd:double"&gt;26650&lt;/D&gt;&lt;D xsi:type="xsd:double"&gt;26700&lt;/D&gt;&lt;D xsi:type="xsd:double"&gt;27300&lt;/D&gt;&lt;D xsi:type="xsd:double"&gt;25600&lt;/D&gt;&lt;D xsi:type="xsd:double"&gt;24450&lt;/D&gt;&lt;D xsi:type="xsd:double"&gt;26800&lt;/D&gt;&lt;D xsi:type="xsd:double"&gt;27350&lt;/D&gt;&lt;D xsi:type="xsd:double"&gt;28800&lt;/D&gt;&lt;D xsi:type="xsd:double"&gt;27650&lt;/D&gt;&lt;D xsi:type="xsd:double"&gt;26900&lt;/D&gt;&lt;D xsi:type="xsd:double"&gt;26400&lt;/D&gt;&lt;D xsi:type="xsd:double"&gt;25200&lt;/D&gt;&lt;D xsi:type="xsd:double"&gt;24650&lt;/D&gt;&lt;D xsi:type="xsd:double"&gt;21900&lt;/D&gt;&lt;D xsi:type="xsd:double"&gt;23200&lt;/D&gt;&lt;D xsi:type="xsd:double"&gt;24350&lt;/D&gt;&lt;D xsi:type="xsd:double"&gt;29600&lt;/D&gt;&lt;D xsi:type="xsd:double"&gt;29900&lt;/D&gt;&lt;D xsi:type="xsd:double"&gt;35400&lt;/D&gt;&lt;D xsi:type="xsd:double"&gt;33000&lt;/D&gt;&lt;D xsi:type="xsd:double"&gt;33950&lt;/D&gt;&lt;D xsi:type="xsd:double"&gt;30200&lt;/D&gt;&lt;D xsi:type="xsd:double"&gt;28900&lt;/D&gt;&lt;D xsi:type="xsd:double"&gt;25950&lt;/D&gt;&lt;D xsi:type="xsd:double"&gt;26700&lt;/D&gt;&lt;D xsi:type="xsd:double"&gt;27400&lt;/D&gt;&lt;D xsi:type="xsd:double"&gt;28400&lt;/D&gt;&lt;D xsi:type="xsd:double"&gt;29450&lt;/D&gt;&lt;D xsi:type="xsd:double"&gt;31100&lt;/D&gt;&lt;D xsi:type="xsd:double"&gt;30150&lt;/D&gt;&lt;D xsi:type="xsd:double"&gt;33750&lt;/D&gt;&lt;D xsi:type="xsd:double"&gt;31250&lt;/D&gt;&lt;D xsi:type="xsd:double"&gt;29450&lt;/D&gt;&lt;D xsi:type="xsd:double"&gt;26900&lt;/D&gt;&lt;D xsi:type="xsd:double"&gt;24100&lt;/D&gt;&lt;D xsi:type="xsd:double"&gt;24000&lt;/D&gt;&lt;D xsi:type="xsd:double"&gt;25100&lt;/D&gt;&lt;D xsi:type="xsd:double"&gt;22500&lt;/D&gt;&lt;D xsi:type="xsd:double"&gt;24100&lt;/D&gt;&lt;D xsi:type="xsd:double"&gt;24850&lt;/D&gt;&lt;D xsi:type="xsd:double"&gt;26000&lt;/D&gt;&lt;D xsi:type="xsd:double"&gt;24400&lt;/D&gt;&lt;D xsi:type="xsd:double"&gt;23250&lt;/D&gt;&lt;D xsi:type="xsd:double"&gt;23200&lt;/D&gt;&lt;D xsi:type="xsd:double"&gt;21350&lt;/D&gt;&lt;D xsi:type="xsd:double"&gt;20000&lt;/D&gt;&lt;D xsi:type="xsd:double"&gt;20600&lt;/D&gt;&lt;D xsi:type="xsd:double"&gt;18850&lt;/D&gt;&lt;D xsi:type="xsd:double"&gt;18500&lt;/D&gt;&lt;D xsi:type="xsd:double"&gt;18200&lt;/D&gt;&lt;D xsi:type="xsd:double"&gt;18650&lt;/D&gt;&lt;D xsi:type="xsd:double"&gt;19000&lt;/D&gt;&lt;D xsi:type="xsd:double"&gt;18600&lt;/D&gt;&lt;D xsi:type="xsd:double"&gt;18900&lt;/D&gt;&lt;D xsi:type="xsd:double"&gt;20850&lt;/D&gt;&lt;D xsi:type="xsd:double"&gt;20400&lt;/D&gt;&lt;D xsi:type="xsd:double"&gt;21650&lt;/D&gt;&lt;D xsi:type="xsd:double"&gt;21400&lt;/D&gt;&lt;D xsi:type="xsd:double"&gt;22050&lt;/D&gt;&lt;D xsi:type="xsd:double"&gt;21800&lt;/D&gt;&lt;D xsi:type="xsd:double"&gt;21700&lt;/D&gt;&lt;D xsi:type="xsd:double"&gt;19550&lt;/D&gt;&lt;D xsi:type="xsd:double"&gt;19900&lt;/D&gt;&lt;D xsi:type="xsd:double"&gt;21350&lt;/D&gt;&lt;D xsi:type="xsd:double"&gt;21350&lt;/D&gt;&lt;D xsi:type="xsd:double"&gt;23300&lt;/D&gt;&lt;D xsi:type="xsd:double"&gt;22600&lt;/D&gt;&lt;D xsi:type="xsd:double"&gt;21950&lt;/D&gt;&lt;D xsi:type="xsd:double"&gt;22150&lt;/D&gt;&lt;D xsi:type="xsd:double"&gt;23050&lt;/D&gt;&lt;D xsi:type="xsd:double"&gt;22450&lt;/D&gt;&lt;D xsi:type="xsd:double"&gt;20650&lt;/D&gt;&lt;D xsi:type="xsd:double"&gt;20400&lt;/D&gt;&lt;D xsi:type="xsd:double"&gt;20200&lt;/D&gt;&lt;D xsi:type="xsd:double"&gt;20350&lt;/D&gt;&lt;D xsi:type="xsd:double"&gt;19710&lt;/D&gt;&lt;D xsi:type="xsd:double"&gt;20600&lt;/D&gt;&lt;D xsi:type="xsd:double"&gt;21700&lt;/D&gt;&lt;D xsi:type="xsd:double"&gt;20400&lt;/D&gt;&lt;D xsi:type="xsd:double"&gt;20050&lt;/D&gt;&lt;D xsi:type="xsd:double"&gt;19680&lt;/D&gt;&lt;D xsi:type="xsd:double"&gt;18360&lt;/D&gt;&lt;D xsi:type="xsd:double"&gt;17620&lt;/D&gt;&lt;D xsi:type="xsd:double"&gt;17560&lt;/D&gt;&lt;D xsi:type="xsd:double"&gt;19730&lt;/D&gt;&lt;D xsi:type="xsd:double"&gt;19250&lt;/D&gt;&lt;D xsi:type="xsd:double"&gt;18570&lt;/D&gt;&lt;D xsi:type="xsd:double"&gt;18850&lt;/D&gt;&lt;D xsi:type="xsd:double"&gt;18500&lt;/D&gt;&lt;D xsi:type="xsd:double"&gt;19400&lt;/D&gt;&lt;D xsi:type="xsd:double"&gt;19100&lt;/D&gt;&lt;D xsi:type="xsd:double"&gt;17610&lt;/D&gt;&lt;D xsi:type="xsd:double"&gt;17940&lt;/D&gt;&lt;D xsi:type="xsd:double"&gt;17600&lt;/D&gt;&lt;D xsi:type="xsd:double"&gt;17560&lt;/D&gt;&lt;D xsi:type="xsd:double"&gt;17000&lt;/D&gt;&lt;D xsi:type="xsd:double"&gt;16600&lt;/D&gt;&lt;D xsi:type="xsd:double"&gt;16810&lt;/D&gt;&lt;D xsi:type="xsd:double"&gt;16830&lt;/D&gt;&lt;D xsi:type="xsd:double"&gt;16580&lt;/D&gt;&lt;D xsi:type="xsd:double"&gt;16260&lt;/D&gt;&lt;D xsi:type="xsd:double"&gt;15430&lt;/D&gt;&lt;D xsi:type="xsd:double"&gt;14390&lt;/D&gt;&lt;D xsi:type="xsd:double"&gt;14060&lt;/D&gt;&lt;D xsi:type="xsd:double"&gt;14810&lt;/D&gt;&lt;D xsi:type="xsd:double"&gt;15030&lt;/D&gt;&lt;D xsi:type="xsd:double"&gt;16550&lt;/D&gt;&lt;D xsi:type="xsd:double"&gt;15500&lt;/D&gt;&lt;D xsi:type="xsd:double"&gt;15670&lt;/D&gt;&lt;D xsi:type="xsd:double"&gt;15870&lt;/D&gt;&lt;D xsi:type="xsd:double"&gt;15750&lt;/D&gt;&lt;D xsi:type="xsd:double"&gt;15370&lt;/D&gt;&lt;D xsi:type="xsd:double"&gt;20200&lt;/D&gt;&lt;D xsi:type="xsd:double"&gt;19580&lt;/D&gt;&lt;D xsi:type="xsd:double"&gt;20550&lt;/D&gt;&lt;D xsi:type="xsd:double"&gt;20650&lt;/D&gt;&lt;D xsi:type="xsd:double"&gt;19220&lt;/D&gt;&lt;D xsi:type="xsd:double"&gt;19680&lt;/D&gt;&lt;D xsi:type="xsd:double"&gt;19660&lt;/D&gt;&lt;D xsi:type="xsd:double"&gt;18380&lt;/D&gt;&lt;D xsi:type="xsd:double"&gt;17830&lt;/D&gt;&lt;D xsi:type="xsd:double"&gt;19060&lt;/D&gt;&lt;D xsi:type="xsd:double"&gt;18270&lt;/D&gt;&lt;D xsi:type="xsd:double"&gt;16950&lt;/D&gt;&lt;D xsi:type="xsd:double"&gt;15960&lt;/D&gt;&lt;D xsi:type="xsd:double"&gt;15560&lt;/D&gt;&lt;D xsi:type="xsd:double"&gt;15720&lt;/D&gt;&lt;D xsi:type="xsd:double"&gt;15380&lt;/D&gt;&lt;D xsi:type="xsd:double"&gt;15380&lt;/D&gt;&lt;D xsi:type="xsd:double"&gt;15500&lt;/D&gt;&lt;D xsi:type="xsd:double"&gt;15080&lt;/D&gt;&lt;D xsi:type="xsd:double"&gt;15310&lt;/D&gt;&lt;D xsi:type="xsd:double"&gt;18340&lt;/D&gt;&lt;D xsi:type="xsd:double"&gt;16180&lt;/D&gt;&lt;D xsi:type="xsd:double"&gt;16780&lt;/D&gt;&lt;D xsi:type="xsd:double"&gt;18000&lt;/D&gt;&lt;D xsi:type="xsd:double"&gt;19500&lt;/D&gt;&lt;D xsi:type="xsd:double"&gt;18050&lt;/D&gt;&lt;D xsi:type="xsd:double"&gt;19140&lt;/D&gt;&lt;D xsi:type="xsd:double"&gt;19630&lt;/D&gt;&lt;D xsi:type="xsd:double"&gt;19370&lt;/D&gt;&lt;D xsi:type="xsd:double"&gt;17560&lt;/D&gt;&lt;D xsi:type="xsd:double"&gt;17250&lt;/D&gt;&lt;D xsi:type="xsd:double"&gt;17090&lt;/D&gt;&lt;D xsi:type="xsd:double"&gt;18210&lt;/D&gt;&lt;D xsi:type="xsd:double"&gt;17370&lt;/D&gt;&lt;D xsi:type="xsd:double"&gt;17940&lt;/D&gt;&lt;D xsi:type="xsd:double"&gt;17630&lt;/D&gt;&lt;D xsi:type="xsd:double"&gt;16970&lt;/D&gt;&lt;D xsi:type="xsd:double"&gt;16270&lt;/D&gt;&lt;D xsi:type="xsd:double"&gt;16860&lt;/D&gt;&lt;D xsi:type="xsd:double"&gt;17630&lt;/D&gt;&lt;D xsi:type="xsd:double"&gt;18860&lt;/D&gt;&lt;D xsi:type="xsd:double"&gt;17100&lt;/D&gt;&lt;D xsi:type="xsd:double"&gt;16870&lt;/D&gt;&lt;D xsi:type="xsd:double"&gt;17180&lt;/D&gt;&lt;D xsi:type="xsd:double"&gt;16830&lt;/D&gt;&lt;D xsi:type="xsd:double"&gt;17070&lt;/D&gt;&lt;D xsi:type="xsd:double"&gt;17050&lt;/D&gt;&lt;D xsi:type="xsd:double"&gt;18240&lt;/D&gt;&lt;D xsi:type="xsd:double"&gt;18590&lt;/D&gt;&lt;D xsi:type="xsd:double"&gt;17960&lt;/D&gt;&lt;D xsi:type="xsd:double"&gt;18000&lt;/D&gt;&lt;D xsi:type="xsd:double"&gt;18800&lt;/D&gt;&lt;D xsi:type="xsd:double"&gt;18400&lt;/D&gt;&lt;D xsi:type="xsd:double"&gt;17530&lt;/D&gt;&lt;D xsi:type="xsd:double"&gt;18370&lt;/D&gt;&lt;D xsi:type="xsd:double"&gt;18900&lt;/D&gt;&lt;D xsi:type="xsd:double"&gt;19430&lt;/D&gt;&lt;D xsi:type="xsd:double"&gt;18640&lt;/D&gt;&lt;D xsi:type="xsd:double"&gt;19040&lt;/D&gt;&lt;D xsi:type="xsd:double"&gt;18580&lt;/D&gt;&lt;D xsi:type="xsd:double"&gt;18320&lt;/D&gt;&lt;D xsi:type="xsd:double"&gt;18670&lt;/D&gt;&lt;D xsi:type="xsd:double"&gt;19590&lt;/D&gt;&lt;D xsi:type="xsd:double"&gt;21650&lt;/D&gt;&lt;D xsi:type="xsd:double"&gt;20700&lt;/D&gt;&lt;D xsi:type="xsd:double"&gt;19840&lt;/D&gt;&lt;D xsi:type="xsd:double"&gt;19670&lt;/D&gt;&lt;D xsi:type="xsd:double"&gt;19600&lt;/D&gt;&lt;D xsi:type="xsd:double"&gt;19320&lt;/D&gt;&lt;D xsi:type="xsd:double"&gt;19350&lt;/D&gt;&lt;D xsi:type="xsd:double"&gt;18820&lt;/D&gt;&lt;D xsi:type="xsd:double"&gt;18250&lt;/D&gt;&lt;D xsi:type="xsd:double"&gt;18160&lt;/D&gt;&lt;D xsi:type="xsd:double"&gt;22950&lt;/D&gt;&lt;D xsi:type="xsd:double"&gt;22200&lt;/D&gt;&lt;D xsi:type="xsd:double"&gt;21300&lt;/D&gt;&lt;D xsi:type="xsd:double"&gt;21600&lt;/D&gt;&lt;D xsi:type="xsd:double"&gt;24200&lt;/D&gt;&lt;D xsi:type="xsd:double"&gt;23000&lt;/D&gt;&lt;D xsi:type="xsd:double"&gt;22400&lt;/D&gt;&lt;D xsi:type="xsd:double"&gt;24300&lt;/D&gt;&lt;D xsi:type="xsd:double"&gt;25450&lt;/D&gt;&lt;D xsi:type="xsd:double"&gt;25000&lt;/D&gt;&lt;D xsi:type="xsd:double"&gt;24600&lt;/D&gt;&lt;D xsi:type="xsd:double"&gt;23000&lt;/D&gt;&lt;D xsi:type="xsd:double"&gt;23000&lt;/D&gt;&lt;D xsi:type="xsd:double"&gt;22100&lt;/D&gt;&lt;D xsi:type="xsd:double"&gt;22600&lt;/D&gt;&lt;D xsi:type="xsd:double"&gt;22100&lt;/D&gt;&lt;D xsi:type="xsd:double"&gt;22950&lt;/D&gt;&lt;D xsi:type="xsd:double"&gt;24300&lt;/D&gt;&lt;D xsi:type="xsd:double"&gt;22450&lt;/D&gt;&lt;D xsi:type="xsd:double"&gt;20550&lt;/D&gt;&lt;D xsi:type="xsd:double"&gt;20400&lt;/D&gt;&lt;D xsi:type="xsd:double"&gt;19870&lt;/D&gt;&lt;D xsi:type="xsd:double"&gt;20800&lt;/D&gt;&lt;D xsi:type="xsd:double"&gt;20550&lt;/D&gt;&lt;D xsi:type="xsd:double"&gt;20550&lt;/D&gt;&lt;D xsi:type="xsd:double"&gt;19820&lt;/D&gt;&lt;D xsi:type="xsd:double"&gt;19420&lt;/D&gt;&lt;D xsi:type="xsd:double"&gt;19150&lt;/D&gt;&lt;D xsi:type="xsd:double"&gt;19140&lt;/D&gt;&lt;D xsi:type="xsd:double"&gt;20550&lt;/D&gt;&lt;D xsi:type="xsd:double"&gt;20750&lt;/D&gt;&lt;D xsi:type="xsd:double"&gt;20550&lt;/D&gt;&lt;D xsi:type="xsd:double"&gt;20300&lt;/D&gt;&lt;D xsi:type="xsd:double"&gt;20200&lt;/D&gt;&lt;D xsi:type="xsd:double"&gt;20000&lt;/D&gt;&lt;D xsi:type="xsd:double"&gt;20000&lt;/D&gt;&lt;D xsi:type="xsd:double"&gt;20350&lt;/D&gt;&lt;D xsi:type="xsd:double"&gt;20000&lt;/D&gt;&lt;D xsi:type="xsd:double"&gt;20100&lt;/D&gt;&lt;D xsi:type="xsd:double"&gt;21450&lt;/D&gt;&lt;D xsi:type="xsd:double"&gt;23150&lt;/D&gt;&lt;/FQL&gt;&lt;FQL&gt;&lt;Q&gt;9107-TKS^P_PRICE(1/4/2019,NOW,W)&lt;/Q&gt;&lt;R&gt;372&lt;/R&gt;&lt;C&gt;1&lt;/C&gt;&lt;D xsi:type="xsd:double"&gt;145.66637&lt;/D&gt;&lt;D xsi:type="xsd:double"&gt;159.4441&lt;/D&gt;&lt;D xsi:type="xsd:double"&gt;163.55522&lt;/D&gt;&lt;D xsi:type="xsd:double"&gt;165.11076&lt;/D&gt;&lt;D xsi:type="xsd:double"&gt;153.44412&lt;/D&gt;&lt;D xsi:type="xsd:double"&gt;166.66632&lt;/D&gt;&lt;D xsi:type="xsd:double"&gt;174.7774&lt;/D&gt;&lt;D xsi:type="xsd:double"&gt;175.55519&lt;/D&gt;&lt;D xsi:type="xsd:double"&gt;169.66632&lt;/D&gt;&lt;D xsi:type="xsd:double"&gt;152.22191&lt;/D&gt;&lt;D xsi:type="xsd:double"&gt;140.22192&lt;/D&gt;&lt;D xsi:type="xsd:double"&gt;138.44415&lt;/D&gt;&lt;D xsi:type="xsd:double"&gt;132.22195&lt;/D&gt;&lt;D xsi:type="xsd:double"&gt;152.88858&lt;/D&gt;&lt;D xsi:type="xsd:double"&gt;153.22191&lt;/D&gt;&lt;D xsi:type="xsd:double"&gt;169.5552&lt;/D&gt;&lt;D xsi:type="xsd:double"&gt;178.8885&lt;/D&gt;&lt;D xsi:type="xsd:double"&gt;162.2219&lt;/D&gt;&lt;D xsi:type="xsd:double"&gt;154.99968&lt;/D&gt;&lt;D xsi:type="xsd:double"&gt;141.33304&lt;/D&gt;&lt;D xsi:type="xsd:double"&gt;136.33305&lt;/D&gt;&lt;D xsi:type="xsd:double"&gt;134.55528&lt;/D&gt;&lt;D xsi:type="xsd:double"&gt;127.221954&lt;/D&gt;&lt;D xsi:type="xsd:double"&gt;139.22192&lt;/D&gt;&lt;D xsi:type="xsd:double"&gt;146.11081&lt;/D&gt;&lt;D xsi:type="xsd:double"&gt;166.333&lt;/D&gt;&lt;D xsi:type="xsd:double"&gt;157.2219&lt;/D&gt;&lt;D xsi:type="xsd:double"&gt;149.44412&lt;/D&gt;&lt;D xsi:type="xsd:double"&gt;155.66634&lt;/D&gt;&lt;D xsi:type="xsd:double"&gt;142.66637&lt;/D&gt;&lt;D xsi:type="xsd:double"&gt;126.44418&lt;/D&gt;&lt;D xsi:type="xsd:double"&gt;118.555305&lt;/D&gt;&lt;D xsi:type="xsd:double"&gt;121.333084&lt;/D&gt;&lt;D xsi:type="xsd:double"&gt;118.77753&lt;/D&gt;&lt;D xsi:type="xsd:double"&gt;136.33305&lt;/D&gt;&lt;D xsi:type="xsd:double"&gt;148.44414&lt;/D&gt;&lt;D xsi:type="xsd:double"&gt;147.66637&lt;/D&gt;&lt;D xsi:type="xsd:double"&gt;139.33304&lt;/D&gt;&lt;D xsi:type="xsd:double"&gt;142.8886&lt;/D&gt;&lt;D xsi:type="xsd:double"&gt;159.77744&lt;/D&gt;&lt;D xsi:type="xsd:double"&gt;167.99965&lt;/D&gt;&lt;D xsi:type="xsd:double"&gt;179.44406&lt;/D&gt;&lt;D xsi:type="xsd:double"&gt;181.8885&lt;/D&gt;&lt;D xsi:type="xsd:double"&gt;198.88846&lt;/D&gt;&lt;D xsi:type="xsd:double"&gt;205.77736&lt;/D&gt;&lt;D xsi:type="xsd:double"&gt;194.77736&lt;/D&gt;&lt;D xsi:type="xsd:double"&gt;201.88846&lt;/D&gt;&lt;D xsi:type="xsd:double"&gt;211.88846&lt;/D&gt;&lt;D xsi:type="xsd:double"&gt;214.33289&lt;/D&gt;&lt;D xsi:type="xsd:double"&gt;209.22179&lt;/D&gt;&lt;D xsi:type="xsd:double"&gt;207.33289&lt;/D&gt;&lt;D xsi:type="xsd:double"&gt;206.99956&lt;/D&gt;&lt;D xsi:type="xsd:double"&gt;190.55516&lt;/D&gt;&lt;D xsi:type="xsd:double"&gt;184.77739&lt;/D&gt;&lt;D xsi:type="xsd:double"&gt;175.6663&lt;/D&gt;&lt;D xsi:type="xsd:double"&gt;164.88853&lt;/D&gt;&lt;D xsi:type="xsd:double"&gt;166.88853&lt;/D&gt;&lt;D xsi:type="xsd:double"&gt;159.2219&lt;/D&gt;&lt;D xsi:type="xsd:double"&gt;162.66632&lt;/D&gt;&lt;D xsi:type="xsd:double"&gt;135.11082&lt;/D&gt;&lt;D xsi:type="xsd:double"&gt;128.33307&lt;/D&gt;&lt;D xsi:type="xsd:double"&gt;90.8887&lt;/D&gt;&lt;D xsi:type="xsd:double"&gt;82.44427&lt;/D&gt;&lt;D xsi:type="xsd:double"&gt;98.666466&lt;/D&gt;&lt;D xsi:type="xsd:double"&gt;85.7776&lt;/D&gt;&lt;D xsi:type="xsd:double"&gt;105.99978&lt;/D&gt;&lt;D xsi:type="xsd:double"&gt;107.33311&lt;/D&gt;&lt;D xsi:type="xsd:double"&gt;108.88866&lt;/D&gt;&lt;D xsi:type="xsd:double"&gt;112.99976&lt;/D&gt;&lt;D xsi:type="xsd:double"&gt;113.66643&lt;/D&gt;&lt;D xsi:type="xsd:double"&gt;112.88866&lt;/D&gt;&lt;D xsi:type="xsd:double"&gt;121.99974&lt;/D&gt;&lt;D xsi:type="xsd:double"&gt;123.44418&lt;/D&gt;&lt;D xsi:type="xsd:double"&gt;129.11084&lt;/D&gt;&lt;D xsi:type="xsd:double"&gt;114.999756&lt;/D&gt;&lt;D xsi:type="xsd:double"&gt;124.88863&lt;/D&gt;&lt;D xsi:type="xsd:double"&gt;117.66642&lt;/D&gt;&lt;D xsi:type="xsd:double"&gt;116.22198&lt;/D&gt;&lt;D xsi:type="xsd:double"&gt;114.44421&lt;/D&gt;&lt;D xsi:type="xsd:double"&gt;116.555305&lt;/D&gt;&lt;D xsi:type="xsd:double"&gt;114.44421&lt;/D&gt;&lt;D xsi:type="xsd:double"&gt;106.55533&lt;/D&gt;&lt;D xsi:type="xsd:double"&gt;115.221985&lt;/D&gt;&lt;D xsi:type="xsd:double"&gt;121.66642&lt;/D&gt;&lt;D xsi:type="xsd:double"&gt;124.77752&lt;/D&gt;&lt;D xsi:type="xsd:double"&gt;128.55528&lt;/D&gt;&lt;D xsi:type="xsd:double"&gt;130.88861&lt;/D&gt;&lt;D xsi:type="xsd:double"&gt;150.55524&lt;/D&gt;&lt;D xsi:type="xsd:double"&gt;139.22192&lt;/D&gt;&lt;D xsi:type="xsd:double"&gt;139.99971&lt;/D&gt;&lt;D xsi:type="xsd:double"&gt;131.22195&lt;/D&gt;&lt;D xsi:type="xsd:double"&gt;148.77747&lt;/D&gt;&lt;D xsi:type="xsd:double"&gt;141.44415&lt;/D&gt;&lt;D xsi:type="xsd:double"&gt;151.99968&lt;/D&gt;&lt;D xsi:type="xsd:double"&gt;140.66638&lt;/D&gt;&lt;D xsi:type="xsd:double"&gt;154.44412&lt;/D&gt;&lt;D xsi:type="xsd:double"&gt;163.88855&lt;/D&gt;&lt;D xsi:type="xsd:double"&gt;174.11073&lt;/D&gt;&lt;D xsi:type="xsd:double"&gt;189.33293&lt;/D&gt;&lt;D xsi:type="xsd:double"&gt;223.88841&lt;/D&gt;&lt;D xsi:type="xsd:double"&gt;212.88844&lt;/D&gt;&lt;D xsi:type="xsd:double"&gt;225.33286&lt;/D&gt;&lt;D xsi:type="xsd:double"&gt;226.55508&lt;/D&gt;&lt;D xsi:type="xsd:double"&gt;234.66618&lt;/D&gt;&lt;D xsi:type="xsd:double"&gt;252.33281&lt;/D&gt;&lt;D xsi:type="xsd:double"&gt;232.55507&lt;/D&gt;&lt;D xsi:type="xsd:double"&gt;225.22176&lt;/D&gt;&lt;D xsi:type="xsd:double"&gt;203.44402&lt;/D&gt;&lt;D xsi:type="xsd:double"&gt;209.55511&lt;/D&gt;&lt;D xsi:type="xsd:double"&gt;205.11069&lt;/D&gt;&lt;D xsi:type="xsd:double"&gt;222.33287&lt;/D&gt;&lt;D xsi:type="xsd:double"&gt;222.77731&lt;/D&gt;&lt;D xsi:type="xsd:double"&gt;230.33286&lt;/D&gt;&lt;D xsi:type="xsd:double"&gt;248.66614&lt;/D&gt;&lt;D xsi:type="xsd:double"&gt;291.33273&lt;/D&gt;&lt;D xsi:type="xsd:double"&gt;284.22162&lt;/D&gt;&lt;D xsi:type="xsd:double"&gt;276.44388&lt;/D&gt;&lt;D xsi:type="xsd:double"&gt;312.99936&lt;/D&gt;&lt;D xsi:type="xsd:double"&gt;292.33273&lt;/D&gt;&lt;D xsi:type="xsd:double"&gt;314.99936&lt;/D&gt;&lt;D xsi:type="xsd:double"&gt;338.33264&lt;/D&gt;&lt;D xsi:type="xsd:double"&gt;375.55478&lt;/D&gt;&lt;D xsi:type="xsd:double"&gt;307.66602&lt;/D&gt;&lt;D xsi:type="xsd:double"&gt;311.2216&lt;/D&gt;&lt;D xsi:type="xsd:double"&gt;328.666&lt;/D&gt;&lt;D xsi:type="xsd:double"&gt;342.77707&lt;/D&gt;&lt;D xsi:type="xsd:double"&gt;380.55478&lt;/D&gt;&lt;D xsi:type="xsd:double"&gt;384.9992&lt;/D&gt;&lt;D xsi:type="xsd:double"&gt;432.2213&lt;/D&gt;&lt;D xsi:type="xsd:double"&gt;421.11023&lt;/D&gt;&lt;D xsi:type="xsd:double"&gt;405.55472&lt;/D&gt;&lt;D xsi:type="xsd:double"&gt;396.1103&lt;/D&gt;&lt;D xsi:type="xsd:double"&gt;389.99918&lt;/D&gt;&lt;D xsi:type="xsd:double"&gt;413.33246&lt;/D&gt;&lt;D xsi:type="xsd:double"&gt;456.11017&lt;/D&gt;&lt;D xsi:type="xsd:double"&gt;552.7766&lt;/D&gt;&lt;D xsi:type="xsd:double"&gt;501.11008&lt;/D&gt;&lt;D xsi:type="xsd:double"&gt;584.44324&lt;/D&gt;&lt;D xsi:type="xsd:double"&gt;589.9988&lt;/D&gt;&lt;D xsi:type="xsd:double"&gt;687.77637&lt;/D&gt;&lt;D xsi:type="xsd:double"&gt;846.6649&lt;/D&gt;&lt;D xsi:type="xsd:double"&gt;931.10913&lt;/D&gt;&lt;D xsi:type="xsd:double"&gt;646.6653&lt;/D&gt;&lt;D xsi:type="xsd:double"&gt;574.44324&lt;/D&gt;&lt;D xsi:type="xsd:double"&gt;554.4433&lt;/D&gt;&lt;D xsi:type="xsd:double"&gt;562.22107&lt;/D&gt;&lt;D xsi:type="xsd:double"&gt;608.88763&lt;/D&gt;&lt;D xsi:type="xsd:double"&gt;539.4433&lt;/D&gt;&lt;D xsi:type="xsd:double"&gt;592.221&lt;/D&gt;&lt;D xsi:type="xsd:double"&gt;518.8878&lt;/D&gt;&lt;D xsi:type="xsd:double"&gt;534.44336&lt;/D&gt;&lt;D xsi:type="xsd:double"&gt;682.2208&lt;/D&gt;&lt;D xsi:type="xsd:double"&gt;759.9984&lt;/D&gt;&lt;D xsi:type="xsd:double"&gt;775.55396&lt;/D&gt;&lt;D xsi:type="xsd:double"&gt;758.8873&lt;/D&gt;&lt;D xsi:type="xsd:double"&gt;768.8873&lt;/D&gt;&lt;D xsi:type="xsd:double"&gt;873.33154&lt;/D&gt;&lt;D xsi:type="xsd:double"&gt;884.4426&lt;/D&gt;&lt;D xsi:type="xsd:double"&gt;729.99854&lt;/D&gt;&lt;D xsi:type="xsd:double"&gt;723.33185&lt;/D&gt;&lt;D xsi:type="xsd:double"&gt;757.77625&lt;/D&gt;&lt;D xsi:type="xsd:double"&gt;815.55383&lt;/D&gt;&lt;D xsi:type="xsd:double"&gt;866.66486&lt;/D&gt;&lt;D xsi:type="xsd:double"&gt;857.77594&lt;/D&gt;&lt;D xsi:type="xsd:double"&gt;951.10913&lt;/D&gt;&lt;D xsi:type="xsd:double"&gt;986.66455&lt;/D&gt;&lt;D xsi:type="xsd:double"&gt;978.88684&lt;/D&gt;&lt;D xsi:type="xsd:double"&gt;865.5538&lt;/D&gt;&lt;D xsi:type="xsd:double"&gt;846.6649&lt;/D&gt;&lt;D xsi:type="xsd:double"&gt;789.99835&lt;/D&gt;&lt;D xsi:type="xsd:double"&gt;791.10944&lt;/D&gt;&lt;D xsi:type="xsd:double"&gt;811.10944&lt;/D&gt;&lt;D xsi:type="xsd:double"&gt;761.10956&lt;/D&gt;&lt;D xsi:type="xsd:double"&gt;795.55383&lt;/D&gt;&lt;D xsi:type="xsd:double"&gt;971.1091&lt;/D&gt;&lt;D xsi:type="xsd:double"&gt;1047.7756&lt;/D&gt;&lt;D xsi:type="xsd:double"&gt;1194.4419&lt;/D&gt;&lt;D xsi:type="xsd:double"&gt;1219.9974&lt;/D&gt;&lt;D xsi:type="xsd:double"&gt;1021.10895&lt;/D&gt;&lt;D xsi:type="xsd:double"&gt;947.77576&lt;/D&gt;&lt;D xsi:type="xsd:double"&gt;875.5537&lt;/D&gt;&lt;D xsi:type="xsd:double"&gt;884.4426&lt;/D&gt;&lt;D xsi:type="xsd:double"&gt;881.10925&lt;/D&gt;&lt;D xsi:type="xsd:double"&gt;892.22034&lt;/D&gt;&lt;D xsi:type="xsd:double"&gt;1093.331&lt;/D&gt;&lt;D xsi:type="xsd:double"&gt;1085.5533&lt;/D&gt;&lt;D xsi:type="xsd:double"&gt;1148.8865&lt;/D&gt;&lt;D xsi:type="xsd:double"&gt;1098.8866&lt;/D&gt;&lt;D xsi:type="xsd:double"&gt;1041.1089&lt;/D&gt;&lt;D xsi:type="xsd:double"&gt;1024.4423&lt;/D&gt;&lt;D xsi:type="xsd:double"&gt;938.88696&lt;/D&gt;&lt;D xsi:type="xsd:double"&gt;903.3314&lt;/D&gt;&lt;D xsi:type="xsd:double"&gt;847.776&lt;/D&gt;&lt;D xsi:type="xsd:double"&gt;813.33167&lt;/D&gt;&lt;D xsi:type="xsd:double"&gt;677.33264&lt;/D&gt;&lt;D xsi:type="xsd:double"&gt;707.99927&lt;/D&gt;&lt;D xsi:type="xsd:double"&gt;731.6659&lt;/D&gt;&lt;D xsi:type="xsd:double"&gt;762.3325&lt;/D&gt;&lt;D xsi:type="xsd:double"&gt;720.6659&lt;/D&gt;&lt;D xsi:type="xsd:double"&gt;728.99927&lt;/D&gt;&lt;D xsi:type="xsd:double"&gt;863.33246&lt;/D&gt;&lt;D xsi:type="xsd:double"&gt;831.99915&lt;/D&gt;&lt;D xsi:type="xsd:double"&gt;872.6658&lt;/D&gt;&lt;D xsi:type="xsd:double"&gt;849.33246&lt;/D&gt;&lt;D xsi:type="xsd:double"&gt;840.33246&lt;/D&gt;&lt;D xsi:type="xsd:double"&gt;899.9991&lt;/D&gt;&lt;D xsi:type="xsd:double"&gt;958.66565&lt;/D&gt;&lt;D xsi:type="xsd:double"&gt;928.999&lt;/D&gt;&lt;D xsi:type="xsd:double"&gt;893.9991&lt;/D&gt;&lt;D xsi:type="xsd:double"&gt;911.3324&lt;/D&gt;&lt;D xsi:type="xsd:double"&gt;928.999&lt;/D&gt;&lt;D xsi:type="xsd:double"&gt;889.9991&lt;/D&gt;&lt;D xsi:type="xsd:double"&gt;969.66565&lt;/D&gt;&lt;D xsi:type="xsd:double"&gt;1051.6655&lt;/D&gt;&lt;D xsi:type="xsd:double"&gt;1111.6655&lt;/D&gt;&lt;D xsi:type="xsd:double"&gt;1136.6655&lt;/D&gt;&lt;D xsi:type="xsd:double"&gt;1093.3322&lt;/D&gt;&lt;D xsi:type="xsd:double"&gt;1116.6655&lt;/D&gt;&lt;D xsi:type="xsd:double"&gt;1084.9989&lt;/D&gt;&lt;D xsi:type="xsd:double"&gt;1086.6655&lt;/D&gt;&lt;D xsi:type="xsd:double"&gt;1008.3323&lt;/D&gt;&lt;D xsi:type="xsd:double"&gt;1033.3323&lt;/D&gt;&lt;D xsi:type="xsd:double"&gt;1098.3322&lt;/D&gt;&lt;D xsi:type="xsd:double"&gt;1146.6655&lt;/D&gt;&lt;D xsi:type="xsd:double"&gt;1074.9989&lt;/D&gt;&lt;D xsi:type="xsd:double"&gt;1041.6655&lt;/D&gt;&lt;D xsi:type="xsd:double"&gt;1111.6655&lt;/D&gt;&lt;D xsi:type="xsd:double"&gt;1086.6655&lt;/D&gt;&lt;D xsi:type="xsd:double"&gt;1061.6655&lt;/D&gt;&lt;D xsi:type="xsd:double"&gt;1058.3323&lt;/D&gt;&lt;D xsi:type="xsd:double"&gt;1104.9989&lt;/D&gt;&lt;D xsi:type="xsd:double"&gt;1069.6655&lt;/D&gt;&lt;D xsi:type="xsd:double"&gt;1074.3322&lt;/D&gt;&lt;D xsi:type="xsd:double"&gt;1172.9988&lt;/D&gt;&lt;D xsi:type="xsd:double"&gt;1292.332&lt;/D&gt;&lt;D xsi:type="xsd:double"&gt;1319.9987&lt;/D&gt;&lt;D xsi:type="xsd:double"&gt;1395.9985&lt;/D&gt;&lt;D xsi:type="xsd:double"&gt;1429.9985&lt;/D&gt;&lt;D xsi:type="xsd:double"&gt;1543.3317&lt;/D&gt;&lt;D xsi:type="xsd:double"&gt;1666.6649&lt;/D&gt;&lt;D xsi:type="xsd:double"&gt;1602.9983&lt;/D&gt;&lt;D xsi:type="xsd:double"&gt;1598.665&lt;/D&gt;&lt;D xsi:type="xsd:double"&gt;1694.9983&lt;/D&gt;&lt;D xsi:type="xsd:double"&gt;1770.9982&lt;/D&gt;&lt;D xsi:type="xsd:double"&gt;1801.9982&lt;/D&gt;&lt;D xsi:type="xsd:double"&gt;1804.6648&lt;/D&gt;&lt;D xsi:type="xsd:double"&gt;1701.3315&lt;/D&gt;&lt;D xsi:type="xsd:double"&gt;1814.998&lt;/D&gt;&lt;D xsi:type="xsd:double"&gt;1814.6648&lt;/D&gt;&lt;D xsi:type="xsd:double"&gt;1741.6648&lt;/D&gt;&lt;D xsi:type="xsd:double"&gt;1755.3315&lt;/D&gt;&lt;D xsi:type="xsd:double"&gt;1790.3314&lt;/D&gt;&lt;D xsi:type="xsd:double"&gt;1582.9983&lt;/D&gt;&lt;D xsi:type="xsd:double"&gt;1596.665&lt;/D&gt;&lt;D xsi:type="xsd:double"&gt;1731.6649&lt;/D&gt;&lt;D xsi:type="xsd:double"&gt;1763.3315&lt;/D&gt;&lt;D xsi:type="xsd:double"&gt;1670.6649&lt;/D&gt;&lt;D xsi:type="xsd:double"&gt;1712.6649&lt;/D&gt;&lt;D xsi:type="xsd:double"&gt;2205.331&lt;/D&gt;&lt;D xsi:type="xsd:double"&gt;2016.6646&lt;/D&gt;&lt;D xsi:type="xsd:double"&gt;2202.331&lt;/D&gt;&lt;D xsi:type="xsd:double"&gt;2165.6643&lt;/D&gt;&lt;D xsi:type="xsd:double"&gt;2414.3308&lt;/D&gt;&lt;D xsi:type="xsd:double"&gt;2335.3308&lt;/D&gt;&lt;D xsi:type="xsd:double"&gt;2328.6643&lt;/D&gt;&lt;D xsi:type="xsd:double"&gt;2177.9978&lt;/D&gt;&lt;D xsi:type="xsd:double"&gt;2353.9976&lt;/D&gt;&lt;D xsi:type="xsd:double"&gt;2419.664&lt;/D&gt;&lt;D xsi:type="xsd:double"&gt;2582.664&lt;/D&gt;&lt;D xsi:type="xsd:double"&gt;2289.9976&lt;/D&gt;&lt;D xsi:type="xsd:double"&gt;2144.331&lt;/D&gt;&lt;D xsi:type="xsd:double"&gt;2112.6646&lt;/D&gt;&lt;D xsi:type="xsd:double"&gt;2023&lt;/D&gt;&lt;D xsi:type="xsd:double"&gt;1996&lt;/D&gt;&lt;D xsi:type="xsd:double"&gt;2047.5&lt;/D&gt;&lt;D xsi:type="xsd:double"&gt;2042.5&lt;/D&gt;&lt;D xsi:type="xsd:double"&gt;2091.5&lt;/D&gt;&lt;D xsi:type="xsd:double"&gt;2142.5&lt;/D&gt;&lt;D xsi:type="xsd:double"&gt;2292&lt;/D&gt;&lt;D xsi:type="xsd:double"&gt;2309&lt;/D&gt;&lt;D xsi:type="xsd:double"&gt;2325&lt;/D&gt;&lt;D xsi:type="xsd:double"&gt;2331.5&lt;/D&gt;&lt;D xsi:type="xsd:double"&gt;2467&lt;/D&gt;&lt;D xsi:type="xsd:double"&gt;2321.5&lt;/D&gt;&lt;D xsi:type="xsd:double"&gt;2269&lt;/D&gt;&lt;D xsi:type="xsd:double"&gt;2340&lt;/D&gt;&lt;D xsi:type="xsd:double"&gt;2700.5&lt;/D&gt;&lt;D xsi:type="xsd:double"&gt;2410.5&lt;/D&gt;&lt;D xsi:type="xsd:double"&gt;2316.5&lt;/D&gt;&lt;D xsi:type="xsd:double"&gt;2242&lt;/D&gt;&lt;D xsi:type="xsd:double"&gt;2155&lt;/D&gt;&lt;D xsi:type="xsd:double"&gt;1910&lt;/D&gt;&lt;D xsi:type="xsd:double"&gt;2150&lt;/D&gt;&lt;D xsi:type="xsd:double"&gt;2121&lt;/D&gt;&lt;D xsi:type="xsd:double"&gt;2138.5&lt;/D&gt;&lt;D xsi:type="xsd:double"&gt;2010.5&lt;/D&gt;&lt;D xsi:type="xsd:double"&gt;1968&lt;/D&gt;&lt;D xsi:type="xsd:double"&gt;2135&lt;/D&gt;&lt;D xsi:type="xsd:double"&gt;2258&lt;/D&gt;&lt;D xsi:type="xsd:double"&gt;2067&lt;/D&gt;&lt;D xsi:type="xsd:double"&gt;2027&lt;/D&gt;&lt;D xsi:type="xsd:double"&gt;2082&lt;</t>
        </r>
      </text>
    </comment>
    <comment ref="A11" authorId="0" shapeId="0" xr:uid="{00000000-0006-0000-0000-00000B000000}">
      <text>
        <r>
          <rPr>
            <sz val="11"/>
            <color theme="1"/>
            <rFont val="맑은 고딕"/>
            <family val="2"/>
            <charset val="129"/>
            <scheme val="minor"/>
          </rPr>
          <t>/D&gt;&lt;D xsi:type="xsd:double"&gt;2030&lt;/D&gt;&lt;D xsi:type="xsd:double"&gt;2119&lt;/D&gt;&lt;D xsi:type="xsd:double"&gt;2201&lt;/D&gt;&lt;D xsi:type="xsd:double"&gt;2108&lt;/D&gt;&lt;D xsi:type="xsd:double"&gt;2155&lt;/D&gt;&lt;D xsi:type="xsd:double"&gt;1992.5&lt;/D&gt;&lt;D xsi:type="xsd:double"&gt;2054.5&lt;/D&gt;&lt;D xsi:type="xsd:double"&gt;2110&lt;/D&gt;&lt;D xsi:type="xsd:double"&gt;2107&lt;/D&gt;&lt;D xsi:type="xsd:double"&gt;2204&lt;/D&gt;&lt;D xsi:type="xsd:double"&gt;2254.5&lt;/D&gt;&lt;D xsi:type="xsd:double"&gt;2074.5&lt;/D&gt;&lt;D xsi:type="xsd:double"&gt;1967&lt;/D&gt;&lt;D xsi:type="xsd:double"&gt;1951.5&lt;/D&gt;&lt;D xsi:type="xsd:double"&gt;1973&lt;/D&gt;&lt;D xsi:type="xsd:double"&gt;2049&lt;/D&gt;&lt;D xsi:type="xsd:double"&gt;2159.5&lt;/D&gt;&lt;D xsi:type="xsd:double"&gt;2104&lt;/D&gt;&lt;D xsi:type="xsd:double"&gt;2181&lt;/D&gt;&lt;D xsi:type="xsd:double"&gt;2206.5&lt;/D&gt;&lt;D xsi:type="xsd:double"&gt;2170&lt;/D&gt;&lt;D xsi:type="xsd:double"&gt;2172&lt;/D&gt;&lt;D xsi:type="xsd:double"&gt;2082.5&lt;/D&gt;&lt;D xsi:type="xsd:double"&gt;1779&lt;/D&gt;&lt;D xsi:type="xsd:double"&gt;1823.5&lt;/D&gt;&lt;D xsi:type="xsd:double"&gt;1826&lt;/D&gt;&lt;D xsi:type="xsd:double"&gt;1954&lt;/D&gt;&lt;D xsi:type="xsd:double"&gt;1949&lt;/D&gt;&lt;D xsi:type="xsd:double"&gt;1996&lt;/D&gt;&lt;D xsi:type="xsd:double"&gt;2182&lt;/D&gt;&lt;D xsi:type="xsd:double"&gt;2174&lt;/D&gt;&lt;D xsi:type="xsd:double"&gt;2177&lt;/D&gt;&lt;D xsi:type="xsd:double"&gt;2062.5&lt;/D&gt;&lt;D xsi:type="xsd:double"&gt;2067&lt;/D&gt;&lt;D xsi:type="xsd:double"&gt;2023&lt;/D&gt;&lt;D xsi:type="xsd:double"&gt;2062.5&lt;/D&gt;&lt;D xsi:type="xsd:double"&gt;2007&lt;/D&gt;&lt;D xsi:type="xsd:double"&gt;2053&lt;/D&gt;&lt;D xsi:type="xsd:double"&gt;2048&lt;/D&gt;&lt;D xsi:type="xsd:double"&gt;2176&lt;/D&gt;&lt;D xsi:type="xsd:double"&gt;2128&lt;/D&gt;&lt;D xsi:type="xsd:double"&gt;2212.5&lt;/D&gt;&lt;D xsi:type="xsd:double"&gt;2260&lt;/D&gt;&lt;D xsi:type="xsd:double"&gt;2280&lt;/D&gt;&lt;D xsi:type="xsd:double"&gt;2268.5&lt;/D&gt;&lt;D xsi:type="xsd:double"&gt;2318&lt;/D&gt;&lt;D xsi:type="xsd:double"&gt;2331&lt;/D&gt;&lt;D xsi:type="xsd:double"&gt;2282&lt;/D&gt;&lt;D xsi:type="xsd:double"&gt;2240.5&lt;/D&gt;&lt;D xsi:type="xsd:double"&gt;2069&lt;/D&gt;&lt;D xsi:type="xsd:double"&gt;2019.5&lt;/D&gt;&lt;D xsi:type="xsd:double"&gt;2101.5&lt;/D&gt;&lt;D xsi:type="xsd:double"&gt;2164&lt;/D&gt;&lt;D xsi:type="xsd:double"&gt;2213&lt;/D&gt;&lt;D xsi:type="xsd:double"&gt;2118&lt;/D&gt;&lt;D xsi:type="xsd:double"&gt;2109&lt;/D&gt;&lt;D xsi:type="xsd:double"&gt;2090&lt;/D&gt;&lt;D xsi:type="xsd:double"&gt;2078.5&lt;/D&gt;&lt;D xsi:type="xsd:double"&gt;2081&lt;/D&gt;&lt;D xsi:type="xsd:double"&gt;2146.5&lt;/D&gt;&lt;D xsi:type="xsd:double"&gt;2101&lt;/D&gt;&lt;D xsi:type="xsd:double"&gt;2157.5&lt;/D&gt;&lt;D xsi:type="xsd:double"&gt;2181&lt;/D&gt;&lt;D xsi:type="xsd:double"&gt;2284&lt;/D&gt;&lt;D xsi:type="xsd:double"&gt;2202&lt;/D&gt;&lt;D xsi:type="xsd:double"&gt;2212.5&lt;/D&gt;&lt;D xsi:type="xsd:double"&gt;2229&lt;/D&gt;&lt;D xsi:type="xsd:double"&gt;2341&lt;/D&gt;&lt;D xsi:type="xsd:double"&gt;2318.5&lt;/D&gt;&lt;D xsi:type="xsd:double"&gt;2405.5&lt;/D&gt;&lt;/FQL&gt;&lt;FQL&gt;&lt;Q&gt;EURN-US^P_PRICE(1/4/2019,NOW,W)&lt;/Q&gt;&lt;R&gt;0&lt;/R&gt;&lt;C&gt;0&lt;/C&gt;&lt;/FQL&gt;&lt;FQL&gt;&lt;Q&gt;TNK-NYS^P_PRICE(1/4/2019,NOW,W)&lt;/Q&gt;&lt;R&gt;373&lt;/R&gt;&lt;C&gt;1&lt;/C&gt;&lt;D xsi:type="xsd:double"&gt;8.4&lt;/D&gt;&lt;D xsi:type="xsd:double"&gt;8.32&lt;/D&gt;&lt;D xsi:type="xsd:double"&gt;8.48&lt;/D&gt;&lt;D xsi:type="xsd:double"&gt;8.48&lt;/D&gt;&lt;D xsi:type="xsd:double"&gt;8.24&lt;/D&gt;&lt;D xsi:type="xsd:double"&gt;7.4496&lt;/D&gt;&lt;D xsi:type="xsd:double"&gt;8.48&lt;/D&gt;&lt;D xsi:type="xsd:double"&gt;8.72&lt;/D&gt;&lt;D xsi:type="xsd:double"&gt;8.64&lt;/D&gt;&lt;D xsi:type="xsd:double"&gt;7.8176&lt;/D&gt;&lt;D xsi:type="xsd:double"&gt;8&lt;/D&gt;&lt;D xsi:type="xsd:double"&gt;7.6952&lt;/D&gt;&lt;D xsi:type="xsd:double"&gt;7.7608&lt;/D&gt;&lt;D xsi:type="xsd:double"&gt;7.824&lt;/D&gt;&lt;D xsi:type="xsd:double"&gt;8.48&lt;/D&gt;&lt;D xsi:type="xsd:double"&gt;8.32&lt;/D&gt;&lt;D xsi:type="xsd:double"&gt;8.56&lt;/D&gt;&lt;D xsi:type="xsd:double"&gt;9.76&lt;/D&gt;&lt;D xsi:type="xsd:double"&gt;10&lt;/D&gt;&lt;D xsi:type="xsd:double"&gt;10.88&lt;/D&gt;&lt;D xsi:type="xsd:double"&gt;10.08&lt;/D&gt;&lt;D xsi:type="xsd:double"&gt;8.96&lt;/D&gt;&lt;D xsi:type="xsd:double"&gt;8.72&lt;/D&gt;&lt;D xsi:type="xsd:double"&gt;8.72&lt;/D&gt;&lt;D xsi:type="xsd:double"&gt;9.28&lt;/D&gt;&lt;D xsi:type="xsd:double"&gt;10.24&lt;/D&gt;&lt;D xsi:type="xsd:double"&gt;10.24&lt;/D&gt;&lt;D xsi:type="xsd:double"&gt;11.04&lt;/D&gt;&lt;D xsi:type="xsd:double"&gt;10.08&lt;/D&gt;&lt;D xsi:type="xsd:double"&gt;10&lt;/D&gt;&lt;D xsi:type="xsd:double"&gt;8.88&lt;/D&gt;&lt;D xsi:type="xsd:double"&gt;8.16&lt;/D&gt;&lt;D xsi:type="xsd:double"&gt;8.32&lt;/D&gt;&lt;D xsi:type="xsd:double"&gt;8.56&lt;/D&gt;&lt;D xsi:type="xsd:double"&gt;8.88&lt;/D&gt;&lt;D xsi:type="xsd:double"&gt;8.96&lt;/D&gt;&lt;D xsi:type="xsd:double"&gt;9.92&lt;/D&gt;&lt;D xsi:type="xsd:double"&gt;10.16&lt;/D&gt;&lt;D xsi:type="xsd:double"&gt;10.32&lt;/D&gt;&lt;D xsi:type="xsd:double"&gt;12.08&lt;/D&gt;&lt;D xsi:type="xsd:double"&gt;15.76&lt;/D&gt;&lt;D xsi:type="xsd:double"&gt;16.96&lt;/D&gt;&lt;D xsi:type="xsd:double"&gt;17.52&lt;/D&gt;&lt;D xsi:type="xsd:double"&gt;17.12&lt;/D&gt;&lt;D xsi:type="xsd:double"&gt;15.12&lt;/D&gt;&lt;D xsi:type="xsd:double"&gt;19.12&lt;/D&gt;&lt;D xsi:type="xsd:double"&gt;19.92&lt;/D&gt;&lt;D xsi:type="xsd:double"&gt;18.9&lt;/D&gt;&lt;D xsi:type="xsd:double"&gt;20.24&lt;/D&gt;&lt;D xsi:type="xsd:double"&gt;21.86&lt;/D&gt;&lt;D xsi:type="xsd:double"&gt;22.97&lt;/D&gt;&lt;D xsi:type="xsd:double"&gt;23.06&lt;/D&gt;&lt;D xsi:type="xsd:double"&gt;24.89&lt;/D&gt;&lt;D xsi:type="xsd:double"&gt;23.66&lt;/D&gt;&lt;D xsi:type="xsd:double"&gt;22.36&lt;/D&gt;&lt;D xsi:type="xsd:double"&gt;19.3&lt;/D&gt;&lt;D xsi:type="xsd:double"&gt;16.29&lt;/D&gt;&lt;D xsi:type="xsd:double"&gt;14.22&lt;/D&gt;&lt;D xsi:type="xsd:double"&gt;14.84&lt;/D&gt;&lt;D xsi:type="xsd:double"&gt;14.25&lt;/D&gt;&lt;D xsi:type="xsd:double"&gt;16.55&lt;/D&gt;&lt;D xsi:type="xsd:double"&gt;14.23&lt;/D&gt;&lt;D xsi:type="xsd:double"&gt;19.63&lt;/D&gt;&lt;D xsi:type="xsd:double"&gt;16.26&lt;/D&gt;&lt;D xsi:type="xsd:double"&gt;21.96&lt;/D&gt;&lt;D xsi:type="xsd:double"&gt;16.69&lt;/D&gt;&lt;D xsi:type="xsd:double"&gt;19.06&lt;/D&gt;&lt;D xsi:type="xsd:double"&gt;19.94&lt;/D&gt;&lt;D xsi:type="xsd:double"&gt;22.77&lt;/D&gt;&lt;D xsi:type="xsd:double"&gt;18.66&lt;/D&gt;&lt;D xsi:type="xsd:double"&gt;18.3&lt;/D&gt;&lt;D xsi:type="xsd:double"&gt;16.28&lt;/D&gt;&lt;D xsi:type="xsd:double"&gt;16.49&lt;/D&gt;&lt;D xsi:type="xsd:double"&gt;17.38&lt;/D&gt;&lt;D xsi:type="xsd:double"&gt;16.95&lt;/D&gt;&lt;D xsi:type="xsd:double"&gt;16.3&lt;/D&gt;&lt;D xsi:type="xsd:double"&gt;14.24&lt;/D&gt;&lt;D xsi:type="xsd:double"&gt;12.68&lt;/D&gt;&lt;D xsi:type="xsd:double"&gt;12.51&lt;/D&gt;&lt;D xsi:type="xsd:double"&gt;13.29&lt;/D&gt;&lt;D xsi:type="xsd:double"&gt;13.18&lt;/D&gt;&lt;D xsi:type="xsd:double"&gt;14.5&lt;/D&gt;&lt;D xsi:type="xsd:double"&gt;14.97&lt;/D&gt;&lt;D xsi:type="xsd:double"&gt;15.55&lt;/D&gt;&lt;D xsi:type="xsd:double"&gt;14.67&lt;/D&gt;&lt;D xsi:type="xsd:double"&gt;12.99&lt;/D&gt;&lt;D xsi:type="xsd:double"&gt;12.33&lt;/D&gt;&lt;D xsi:type="xsd:double"&gt;11.62&lt;/D&gt;&lt;D xsi:type="xsd:double"&gt;12.65&lt;/D&gt;&lt;D xsi:type="xsd:double"&gt;12.14&lt;/D&gt;&lt;D xsi:type="xsd:double"&gt;10.61&lt;/D&gt;&lt;D xsi:type="xsd:double"&gt;11.24&lt;/D&gt;&lt;D xsi:type="xsd:double"&gt;11.33&lt;/D&gt;&lt;D xsi:type="xsd:double"&gt;10.9&lt;/D&gt;&lt;D xsi:type="xsd:double"&gt;9.96&lt;/D&gt;&lt;D xsi:type="xsd:double"&gt;9.43&lt;/D&gt;&lt;D xsi:type="xsd:double"&gt;9.85&lt;/D&gt;&lt;D xsi:type="xsd:double"&gt;10.48&lt;/D&gt;&lt;D xsi:type="xsd:double"&gt;11.18&lt;/D&gt;&lt;D xsi:type="xsd:double"&gt;12.17&lt;/D&gt;&lt;D xsi:type="xsd:double"&gt;12.4&lt;/D&gt;&lt;D xsi:type="xsd:double"&gt;12.27&lt;/D&gt;&lt;D xsi:type="xsd:double"&gt;11.36&lt;/D&gt;&lt;D xsi:type="xsd:double"&gt;11.35&lt;/D&gt;&lt;D xsi:type="xsd:double"&gt;11.01&lt;/D&gt;&lt;D xsi:type="xsd:double"&gt;12.09&lt;/D&gt;&lt;D xsi:type="xsd:double"&gt;11.83&lt;/D&gt;&lt;D xsi:type="xsd:double"&gt;11.06&lt;/D&gt;&lt;D xsi:type="xsd:double"&gt;10.25&lt;/D&gt;&lt;D xsi:type="xsd:double"&gt;11.09&lt;/D&gt;&lt;D xsi:type="xsd:double"&gt;13.16&lt;/D&gt;&lt;D xsi:type="xsd:double"&gt;13.8&lt;/D&gt;&lt;D xsi:type="xsd:double"&gt;12.59&lt;/D&gt;&lt;D xsi:type="xsd:double"&gt;13.4&lt;/D&gt;&lt;D xsi:type="xsd:double"&gt;14.5&lt;/D&gt;&lt;D xsi:type="xsd:double"&gt;15.14&lt;/D&gt;&lt;D xsi:type="xsd:double"&gt;14.93&lt;/D&gt;&lt;D xsi:type="xsd:double"&gt;14.24&lt;/D&gt;&lt;D xsi:type="xsd:double"&gt;13.55&lt;/D&gt;&lt;D xsi:type="xsd:double"&gt;12.69&lt;/D&gt;&lt;D xsi:type="xsd:double"&gt;13.31&lt;/D&gt;&lt;D xsi:type="xsd:double"&gt;13.41&lt;/D&gt;&lt;D xsi:type="xsd:double"&gt;14.38&lt;/D&gt;&lt;D xsi:type="xsd:double"&gt;14.31&lt;/D&gt;&lt;D xsi:type="xsd:double"&gt;15.71&lt;/D&gt;&lt;D xsi:type="xsd:double"&gt;15.03&lt;/D&gt;&lt;D xsi:type="xsd:double"&gt;15.03&lt;/D&gt;&lt;D xsi:type="xsd:double"&gt;15.55&lt;/D&gt;&lt;D xsi:type="xsd:double"&gt;14.19&lt;/D&gt;&lt;D xsi:type="xsd:double"&gt;15.7&lt;/D&gt;&lt;D xsi:type="xsd:double"&gt;13.93&lt;/D&gt;&lt;D xsi:type="xsd:double"&gt;13.79&lt;/D&gt;&lt;D xsi:type="xsd:double"&gt;12.22&lt;/D&gt;&lt;D xsi:type="xsd:double"&gt;12.39&lt;/D&gt;&lt;D xsi:type="xsd:double"&gt;12.65&lt;/D&gt;&lt;D xsi:type="xsd:double"&gt;11.44&lt;/D&gt;&lt;D xsi:type="xsd:double"&gt;11.19&lt;/D&gt;&lt;D xsi:type="xsd:double"&gt;10.65&lt;/D&gt;&lt;D xsi:type="xsd:double"&gt;11.36&lt;/D&gt;&lt;D xsi:type="xsd:double"&gt;12.51&lt;/D&gt;&lt;D xsi:type="xsd:double"&gt;12.16&lt;/D&gt;&lt;D xsi:type="xsd:double"&gt;12.03&lt;/D&gt;&lt;D xsi:type="xsd:double"&gt;12.79&lt;/D&gt;&lt;D xsi:type="xsd:double"&gt;14.85&lt;/D&gt;&lt;D xsi:type="xsd:double"&gt;13.81&lt;/D&gt;&lt;D xsi:type="xsd:double"&gt;13.37&lt;/D&gt;&lt;D xsi:type="xsd:double"&gt;13.63&lt;/D&gt;&lt;D xsi:type="xsd:double"&gt;13.88&lt;/D&gt;&lt;D xsi:type="xsd:double"&gt;14.03&lt;/D&gt;&lt;D xsi:type="xsd:double"&gt;14.01&lt;/D&gt;&lt;D xsi:type="xsd:double"&gt;12.06&lt;/D&gt;&lt;D xsi:type="xsd:double"&gt;11.66&lt;/D&gt;&lt;D xsi:type="xsd:double"&gt;10.22&lt;/D&gt;&lt;D xsi:type="xsd:double"&gt;11.91&lt;/D&gt;&lt;D xsi:type="xsd:double"&gt;11.13&lt;/D&gt;&lt;D xsi:type="xsd:double"&gt;11.4&lt;/D&gt;&lt;D xsi:type="xsd:double"&gt;10.9&lt;/D&gt;&lt;D xsi:type="xsd:double"&gt;11.71&lt;/D&gt;&lt;D xsi:type="xsd:double"&gt;11.82&lt;/D&gt;&lt;D xsi:type="xsd:double"&gt;10.48&lt;/D&gt;&lt;D xsi:type="xsd:double"&gt;10.66&lt;/D&gt;&lt;D xsi:type="xsd:double"&gt;10.68&lt;/D&gt;&lt;D xsi:type="xsd:double"&gt;11.39&lt;/D&gt;&lt;D xsi:type="xsd:double"&gt;11.03&lt;/D&gt;&lt;D xsi:type="xsd:double"&gt;13.73&lt;/D&gt;&lt;D xsi:type="xsd:double"&gt;14.06&lt;/D&gt;&lt;D xsi:type="xsd:double"&gt;12.9&lt;/D&gt;&lt;D xsi:type="xsd:double"&gt;13.27&lt;/D&gt;&lt;D xsi:type="xsd:double"&gt;13.87&lt;/D&gt;&lt;D xsi:type="xsd:double"&gt;14.45&lt;/D&gt;&lt;D xsi:type="xsd:double"&gt;16.74&lt;/D&gt;&lt;D xsi:type="xsd:double"&gt;17.12&lt;/D&gt;&lt;D xsi:type="xsd:double"&gt;15.78&lt;/D&gt;&lt;D xsi:type="xsd:double"&gt;16.01&lt;/D&gt;&lt;D xsi:type="xsd:double"&gt;16.44&lt;/D&gt;&lt;D xsi:type="xsd:double"&gt;15.98&lt;/D&gt;&lt;D xsi:type="xsd:double"&gt;18.77&lt;/D&gt;&lt;D xsi:type="xsd:double"&gt;21.23&lt;/D&gt;&lt;D xsi:type="xsd:double"&gt;20.95&lt;/D&gt;&lt;D xsi:type="xsd:double"&gt;20.66&lt;/D&gt;&lt;D xsi:type="xsd:double"&gt;17.96&lt;/D&gt;&lt;D xsi:type="xsd:double"&gt;17.41&lt;/D&gt;&lt;D xsi:type="xsd:double"&gt;17.48&lt;/D&gt;&lt;D xsi:type="xsd:double"&gt;16.49&lt;/D&gt;&lt;D xsi:type="xsd:double"&gt;17.79&lt;/D&gt;&lt;D xsi:type="xsd:double"&gt;19.89&lt;/D&gt;&lt;D xsi:type="xsd:double"&gt;20.87&lt;/D&gt;&lt;D xsi:type="xsd:double"&gt;22.79&lt;/D&gt;&lt;D xsi:type="xsd:double"&gt;25.09&lt;/D&gt;&lt;D xsi:type="xsd:double"&gt;24.8&lt;/D&gt;&lt;D xsi:type="xsd:double"&gt;24.74&lt;/D&gt;&lt;D xsi:type="xsd:double"&gt;24.16&lt;/D&gt;&lt;D xsi:type="xsd:double"&gt;27.18&lt;/D&gt;&lt;D xsi:type="xsd:double"&gt;27.57&lt;/D&gt;&lt;D xsi:type="xsd:double"&gt;28.25&lt;/D&gt;&lt;D xsi:type="xsd:double"&gt;27.54&lt;/D&gt;&lt;D xsi:type="xsd:double"&gt;27.84&lt;/D&gt;&lt;D xsi:type="xsd:double"&gt;30.33&lt;/D&gt;&lt;D xsi:type="xsd:double"&gt;32.59&lt;/D&gt;&lt;D xsi:type="xsd:double"&gt;30.79&lt;/D&gt;&lt;D xsi:type="xsd:double"&gt;34.42&lt;/D&gt;&lt;D xsi:type="xsd:double"&gt;31.34&lt;/D&gt;&lt;D xsi:type="xsd:double"&gt;34.86&lt;/D&gt;&lt;D xsi:type="xsd:double"&gt;33.29&lt;/D&gt;&lt;D xsi:type="xsd:double"&gt;35.02&lt;/D&gt;&lt;D xsi:type="xsd:double"&gt;30.54&lt;/D&gt;&lt;D xsi:type="xsd:double"&gt;32.95&lt;/D&gt;&lt;D xsi:type="xsd:double"&gt;31.53&lt;/D&gt;&lt;D xsi:type="xsd:double"&gt;30.81&lt;/D&gt;&lt;D xsi:type="xsd:double"&gt;27.23&lt;/D&gt;&lt;D xsi:type="xsd:double"&gt;29.03&lt;/D&gt;&lt;D xsi:type="xsd:double"&gt;29.97&lt;/D&gt;&lt;D xsi:type="xsd:double"&gt;29.71&lt;/D&gt;&lt;D xsi:type="xsd:double"&gt;32.38&lt;/D&gt;&lt;D xsi:type="xsd:double"&gt;35.9&lt;/D&gt;&lt;D xsi:type="xsd:double"&gt;37.6&lt;/D&gt;&lt;D xsi:type="xsd:double"&gt;43.32&lt;/D&gt;&lt;D xsi:type="xsd:double"&gt;47.55&lt;/D&gt;&lt;D xsi:type="xsd:double"&gt;44.64&lt;/D&gt;&lt;D xsi:type="xsd:double"&gt;40.94&lt;/D&gt;&lt;D xsi:type="xsd:double"&gt;43.4&lt;/D&gt;&lt;D xsi:type="xsd:double"&gt;42.93&lt;/D&gt;&lt;D xsi:type="xsd:double"&gt;38.78&lt;/D&gt;&lt;D xsi:type="xsd:double"&gt;40.39&lt;/D&gt;&lt;D xsi:type="xsd:double"&gt;39.45&lt;/D&gt;&lt;D xsi:type="xsd:double"&gt;40.49&lt;/D&gt;&lt;D xsi:type="xsd:double"&gt;37.67&lt;/D&gt;&lt;D xsi:type="xsd:double"&gt;41.73&lt;/D&gt;&lt;D xsi:type="xsd:double"&gt;40.02&lt;/D&gt;&lt;D xsi:type="xsd:double"&gt;39.19&lt;/D&gt;&lt;D xsi:type="xsd:double"&gt;37.79&lt;/D&gt;&lt;D xsi:type="xsd:double"&gt;36.91&lt;/D&gt;&lt;D xsi:type="xsd:double"&gt;37.88&lt;/D&gt;&lt;D xsi:type="xsd:double"&gt;37.79&lt;/D&gt;&lt;D xsi:type="xsd:double"&gt;38.23&lt;/D&gt;&lt;D xsi:type="xsd:double"&gt;39.13&lt;/D&gt;&lt;D xsi:type="xsd:double"&gt;37.63&lt;/D&gt;&lt;D xsi:type="xsd:double"&gt;37.46&lt;/D&gt;&lt;D xsi:type="xsd:double"&gt;42.4&lt;/D&gt;&lt;D xsi:type="xsd:double"&gt;43.88&lt;/D&gt;&lt;D xsi:type="xsd:double"&gt;43.31&lt;/D&gt;&lt;D xsi:type="xsd:double"&gt;43.72&lt;/D&gt;&lt;D xsi:type="xsd:double"&gt;41.13&lt;/D&gt;&lt;D xsi:type="xsd:double"&gt;41.23&lt;/D&gt;&lt;D xsi:type="xsd:double"&gt;40.61&lt;/D&gt;&lt;D xsi:type="xsd:double"&gt;38.48&lt;/D&gt;&lt;D xsi:type="xsd:double"&gt;40.28&lt;/D&gt;&lt;D xsi:type="xsd:double"&gt;41.63&lt;/D&gt;&lt;D xsi:type="xsd:double"&gt;39.72&lt;/D&gt;&lt;D xsi:type="xsd:double"&gt;43.13&lt;/D&gt;&lt;D xsi:type="xsd:double"&gt;42.72&lt;/D&gt;&lt;D xsi:type="xsd:double"&gt;48.89&lt;/D&gt;&lt;D xsi:type="xsd:double"&gt;52.99&lt;/D&gt;&lt;D xsi:type="xsd:double"&gt;53.39&lt;/D&gt;&lt;D xsi:type="xsd:double"&gt;50.89&lt;/D&gt;&lt;D xsi:type="xsd:double"&gt;51.99&lt;/D&gt;&lt;D xsi:type="xsd:double"&gt;50.79&lt;/D&gt;&lt;D xsi:type="xsd:double"&gt;47.8&lt;/D&gt;&lt;D xsi:type="xsd:double"&gt;50.23&lt;/D&gt;&lt;D xsi:type="xsd:double"&gt;54.43&lt;/D&gt;&lt;D xsi:type="xsd:double"&gt;49.97&lt;/D&gt;&lt;D xsi:type="xsd:double"&gt;56.2&lt;/D&gt;&lt;D xsi:type="xsd:double"&gt;56.34&lt;/D&gt;&lt;D xsi:type="xsd:double"&gt;59.05&lt;/D&gt;&lt;D xsi:type="xsd:double"&gt;60.5&lt;/D&gt;&lt;D xsi:type="xsd:double"&gt;59&lt;/D&gt;&lt;D xsi:type="xsd:double"&gt;57.44&lt;/D&gt;&lt;D xsi:type="xsd:double"&gt;58.22&lt;/D&gt;&lt;D xsi:type="xsd:double"&gt;54.03&lt;/D&gt;&lt;D xsi:type="xsd:double"&gt;54.74&lt;/D&gt;&lt;D xsi:type="xsd:double"&gt;53.78&lt;/D&gt;&lt;D xsi:type="xsd:double"&gt;55.75&lt;/D&gt;&lt;D xsi:type="xsd:double"&gt;56.92&lt;/D&gt;&lt;D xsi:type="xsd:double"&gt;58.41&lt;/D&gt;&lt;D xsi:type="xsd:double"&gt;58.86&lt;/D&gt;&lt;D xsi:type="xsd:double"&gt;57.68&lt;/D&gt;&lt;D xsi:type="xsd:double"&gt;56.53&lt;/D&gt;&lt;D xsi:type="xsd:double"&gt;58.66&lt;/D&gt;&lt;D xsi:type="xsd:double"&gt;60.14&lt;/D&gt;&lt;D xsi:type="xsd:double"&gt;68.74&lt;/D&gt;&lt;D xsi:type="xsd:double"&gt;71.83&lt;/D&gt;&lt;D xsi:type="xsd:double"&gt;72.5&lt;/D&gt;&lt;D xsi:type="xsd:double"&gt;72.83&lt;/D&gt;&lt;D xsi:type="xsd:double"&gt;69.73&lt;/D&gt;&lt;D xsi:type="xsd:double"&gt;65.61&lt;/D&gt;&lt;D xsi:type="xsd:double"&gt;69.66&lt;/D&gt;&lt;D xsi:type="xsd:double"&gt;68.81&lt;/D&gt;&lt;D xsi:type="xsd:double"&gt;66.21&lt;/D&gt;&lt;D xsi:type="xsd:double"&gt;62.94&lt;/D&gt;&lt;D xsi:type="xsd:double"&gt;62.77&lt;/D&gt;&lt;D xsi:type="xsd:double"&gt;62.61&lt;/D&gt;&lt;D xsi:type="xsd:double"&gt;58.09&lt;/D&gt;&lt;D xsi:type="xsd:double"&gt;55.32&lt;/D&gt;&lt;D xsi:type="xsd:double"&gt;57.85&lt;/D&gt;&lt;D xsi:type="xsd:double"&gt;55.71&lt;/D&gt;&lt;D xsi:type="xsd:double"&gt;56.88&lt;/D&gt;&lt;D xsi:type="xsd:double"&gt;53.4&lt;/D&gt;&lt;D xsi:type="xsd:double"&gt;55.11&lt;/D&gt;&lt;D xsi:type="xsd:double"&gt;55.77&lt;/D&gt;&lt;D xsi:type="xsd:double"&gt;58.31&lt;/D&gt;&lt;D xsi:type="xsd:double"&gt;61.12&lt;/D&gt;&lt;D xsi:type="xsd:double"&gt;59.23&lt;/D&gt;&lt;D xsi:type="xsd:double"&gt;55.57&lt;/D&gt;&lt;D xsi:type="xsd:double"&gt;50.02&lt;/D&gt;&lt;D xsi:type="xsd:double"&gt;46.68&lt;/D&gt;&lt;D xsi:type="xsd:double"&gt;45.49&lt;/D&gt;&lt;D xsi:type="xsd:double"&gt;43.21&lt;/D&gt;&lt;D xsi:type="xsd:double"&gt;41.73&lt;/D&gt;&lt;D xsi:type="xsd:double"&gt;40.25&lt;/D&gt;&lt;D xsi:type="xsd:double"&gt;38.77&lt;/D&gt;&lt;D xsi:type="xsd:double"&gt;38.06&lt;/D&gt;&lt;D xsi:type="xsd:double"&gt;37.51&lt;/D&gt;&lt;D xsi:type="xsd:double"&gt;38.92&lt;/D&gt;&lt;D xsi:type="xsd:double"&gt;39.92&lt;/D&gt;&lt;D xsi:type="xsd:double"&gt;45.36&lt;/D&gt;&lt;D xsi:type="xsd:double"&gt;43.6&lt;/D&gt;&lt;D xsi:type="xsd:double"&gt;40.04&lt;/D&gt;&lt;D xsi:type="xsd:double"&gt;41.92&lt;/D&gt;&lt;D xsi:type="xsd:double"&gt;41.7&lt;/D&gt;&lt;D xsi:type="xsd:double"&gt;40.43&lt;/D&gt;&lt;D xsi:type="xsd:double"&gt;40.12&lt;/D&gt;&lt;D xsi:type="xsd:double"&gt;37.74&lt;/D&gt;&lt;D xsi:type="xsd:double"&gt;38.32&lt;/D&gt;&lt;D xsi:type="xsd:double"&gt;37.95&lt;/D&gt;&lt;D xsi:type="xsd:double"&gt;38.47&lt;/D&gt;&lt;D xsi:type="xsd:double"&gt;38.68&lt;/D&gt;&lt;D xsi:type="xsd:double"&gt;34.47&lt;/D&gt;&lt;D xsi:type="xsd:double"&gt;39.27&lt;/D&gt;&lt;D xsi:type="xsd:double"&gt;39.84&lt;/D&gt;&lt;D xsi:type="xsd:double"&gt;42.31&lt;/D&gt;&lt;D xsi:type="xsd:double"&gt;44.09&lt;/D&gt;&lt;D xsi:type="xsd:double"&gt;45.3&lt;/D&gt;&lt;D xsi:type="xsd:double"&gt;46.83&lt;/D&gt;&lt;D xsi:type="xsd:double"&gt;44.53&lt;/D&gt;&lt;D xsi:type="xsd:double"&gt;44.19&lt;/D&gt;&lt;D xsi:type="xsd:double"&gt;44.48&lt;/D&gt;&lt;D xsi:type="xsd:double"&gt;47.59&lt;/D&gt;&lt;D xsi:type="xsd:double"&gt;45.42&lt;/D&gt;&lt;D xsi:type="xsd:double"&gt;42.31&lt;/D&gt;&lt;D xsi:type="xsd:double"&gt;44.25&lt;/D&gt;&lt;D xsi:type="xsd:double"&gt;44.08&lt;/D&gt;&lt;D xsi:type="xsd:double"&gt;44.06&lt;/D&gt;&lt;D xsi:type="xsd:double"&gt;44.17&lt;/D&gt;&lt;D xsi:type="xsd:double"&gt;42.6&lt;/D&gt;&lt;D xsi:type="xsd:double"&gt;44.63&lt;/D&gt;&lt;D xsi:type="xsd:double"&gt;44.35&lt;/D&gt;&lt;D xsi:type="xsd:double"&gt;48.11&lt;/D&gt;&lt;D xsi:type="xsd:double"&gt;49.17&lt;/D&gt;&lt;D xsi:type="xsd:double"&gt;52.08&lt;/D&gt;&lt;D xsi:type="xsd:double"&gt;52.1&lt;/D&gt;&lt;D xsi:type="xsd:double"&gt;53.46&lt;/D&gt;&lt;D xsi:type="xsd:double"&gt;52.37&lt;/D&gt;&lt;D xsi:type="xsd:double"&gt;51.45&lt;/D&gt;&lt;D xsi:type="xsd:double"&gt;49.13&lt;/D&gt;&lt;D xsi:type="xsd:double"&gt;53.86&lt;/D&gt;&lt;D xsi:type="xsd:double"&gt;58.78&lt;/D&gt;&lt;D xsi:type="xsd:double"&gt;61&lt;/D&gt;&lt;D xsi:type="xsd:double"&gt;60.94&lt;/D&gt;&lt;D xsi:type="xsd:double"&gt;62.47&lt;/D&gt;&lt;D xsi:type="xsd:double"&gt;62.25&lt;/D&gt;&lt;D xsi:type="xsd:double"&gt;57.67&lt;/D&gt;&lt;D xsi:type="xsd:double"&gt;55.21&lt;/D&gt;&lt;D xsi:type="xsd:double"&gt;53.59&lt;/D&gt;&lt;D xsi:type="xsd:double"&gt;54.18&lt;/D&gt;&lt;D xsi:type="xsd:double"&gt;54.34&lt;/D&gt;&lt;D xsi:type="xsd:double"&gt;51.5&lt;/D&gt;&lt;D xsi:type="xsd:double"&gt;58.93&lt;/D&gt;&lt;D xsi:type="xsd:double"&gt;60.14&lt;/D&gt;&lt;D xsi:type="xsd:double"&gt;61.78&lt;/D&gt;&lt;D xsi:type="xsd:double"&gt;64.52&lt;/D&gt;&lt;D xsi:type="xsd:double"&gt;66.74&lt;/D&gt;&lt;D xsi:type="xsd:double"&gt;70.55&lt;/D&gt;&lt;D xsi:type="xsd:double"&gt;72.88&lt;/D&gt;&lt;/FQL&gt;&lt;FQL&gt;&lt;Q&gt;MAERSK.B-DK^P_PRICE(1/4/2019,NOW,W)&lt;/Q&gt;&lt;R&gt;373&lt;/R&gt;&lt;C&gt;1&lt;/C&gt;&lt;D xsi:type="xsd:double"&gt;8590&lt;/D&gt;&lt;D xsi:type="xsd:double"&gt;8730&lt;/D&gt;&lt;D xsi:type="xsd:double"&gt;8920&lt;/D&gt;&lt;D xsi:type="xsd:double"&gt;8786&lt;/D&gt;&lt;D xsi:type="xsd:double"&gt;8720&lt;/D&gt;&lt;D xsi:type="xsd:double"&gt;8412&lt;/D&gt;&lt;D xsi:type="xsd:double"&gt;9044&lt;/D&gt;&lt;D xsi:type="xsd:double"&gt;8836&lt;/D&gt;&lt;D xsi:type="xsd:double"&gt;8698&lt;/D&gt;&lt;D xsi:type="xsd:double"&gt;8440&lt;/D&gt;&lt;D xsi:type="xsd:double"&gt;8690&lt;/D&gt;&lt;D xsi:type="xsd:double"&gt;8682&lt;/D&gt;&lt;D xsi:type="xsd:double"&gt;8442&lt;/D&gt;&lt;D xsi:type="xsd:double"&gt;8012&lt;/D&gt;&lt;D xsi:type="xsd:double"&gt;8514&lt;/D&gt;&lt;D xsi:type="xsd:double"&gt;8994&lt;/D&gt;&lt;D xsi:type="xsd:double"&gt;8898&lt;/D&gt;&lt;D xsi:type="xsd:double"&gt;8696&lt;/D&gt;&lt;D xsi:type="xsd:double"&gt;8132&lt;/D&gt;&lt;D xsi:type="xsd:double"&gt;7982&lt;/D&gt;&lt;D xsi:type="xsd:double"&gt;7200&lt;/D&gt;&lt;D xsi:type="xsd:double"&gt;7180&lt;/D&gt;&lt;D xsi:type="xsd:double"&gt;7292&lt;/D&gt;&lt;D xsi:type="xsd:double"&gt;7258&lt;/D&gt;&lt;D xsi:type="xsd:double"&gt;8016&lt;/D&gt;&lt;D xsi:type="xsd:double"&gt;8142&lt;/D&gt;&lt;D xsi:type="xsd:double"&gt;7958&lt;/D&gt;&lt;D xsi:type="xsd:double"&gt;7700&lt;/D&gt;&lt;D xsi:type="xsd:double"&gt;7596&lt;/D&gt;&lt;D xsi:type="xsd:double"&gt;7790&lt;/D&gt;&lt;D xsi:type="xsd:double"&gt;7332&lt;/D&gt;&lt;D xsi:type="xsd:double"&gt;7012&lt;/D&gt;&lt;D xsi:type="xsd:double"&gt;7308&lt;/D&gt;&lt;D xsi:type="xsd:double"&gt;7298&lt;/D&gt;&lt;D xsi:type="xsd:double"&gt;7218&lt;/D&gt;&lt;D xsi:type="xsd:double"&gt;7610&lt;/D&gt;&lt;D xsi:type="xsd:double"&gt;8300&lt;/D&gt;&lt;D xsi:type="xsd:double"&gt;7832&lt;/D&gt;&lt;D xsi:type="xsd:double"&gt;7760&lt;/D&gt;&lt;D xsi:type="xsd:double"&gt;7388&lt;/D&gt;&lt;D xsi:type="xsd:double"&gt;7916&lt;/D&gt;&lt;D xsi:type="xsd:double"&gt;7972&lt;/D&gt;&lt;D xsi:type="xsd:double"&gt;8552&lt;/D&gt;&lt;D xsi:type="xsd:double"&gt;8776&lt;/D&gt;&lt;D xsi:type="xsd:double"&gt;9102&lt;/D&gt;&lt;D xsi:type="xsd:double"&gt;9570&lt;/D&gt;&lt;D xsi:type="xsd:double"&gt;9464&lt;/D&gt;&lt;D xsi:type="xsd:double"&gt;9478&lt;/D&gt;&lt;D xsi:type="xsd:double"&gt;10075&lt;/D&gt;&lt;D xsi:type="xsd:double"&gt;10060&lt;/D&gt;&lt;D xsi:type="xsd:double"&gt;9560&lt;/D&gt;&lt;D xsi:type="xsd:double"&gt;9732&lt;/D&gt;&lt;D xsi:type="xsd:double"&gt;9452&lt;/D&gt;&lt;D xsi:type="xsd:double"&gt;9034&lt;/D&gt;&lt;D xsi:type="xsd:double"&gt;8642&lt;/D&gt;&lt;D xsi:type="xsd:double"&gt;8622&lt;/D&gt;&lt;D xsi:type="xsd:double"&gt;8092&lt;/D&gt;&lt;D xsi:type="xsd:double"&gt;8330&lt;/D&gt;&lt;D xsi:type="xsd:double"&gt;8580&lt;/D&gt;&lt;D xsi:type="xsd:double"&gt;8106&lt;/D&gt;&lt;D xsi:type="xsd:double"&gt;6770&lt;/D&gt;&lt;D xsi:type="xsd:double"&gt;6438&lt;/D&gt;&lt;D xsi:type="xsd:double"&gt;6082&lt;/D&gt;&lt;D xsi:type="xsd:double"&gt;5394&lt;/D&gt;&lt;D xsi:type="xsd:double"&gt;5800&lt;/D&gt;&lt;D xsi:type="xsd:double"&gt;5790&lt;/D&gt;&lt;D xsi:type="xsd:double"&gt;6500&lt;/D&gt;&lt;D xsi:type="xsd:double"&gt;6550&lt;/D&gt;&lt;D xsi:type="xsd:double"&gt;6378&lt;/D&gt;&lt;D xsi:type="xsd:double"&gt;6600&lt;/D&gt;&lt;D xsi:type="xsd:double"&gt;6340&lt;/D&gt;&lt;D xsi:type="xsd:double"&gt;6436&lt;/D&gt;&lt;D xsi:type="xsd:double"&gt;6900&lt;/D&gt;&lt;D xsi:type="xsd:double"&gt;6550&lt;/D&gt;&lt;D xsi:type="xsd:double"&gt;7514&lt;/D&gt;&lt;D xsi:type="xsd:double"&gt;7540&lt;/D&gt;&lt;D xsi:type="xsd:double"&gt;8008&lt;/D&gt;&lt;D xsi:type="xsd:double"&gt;7604&lt;/D&gt;&lt;D xsi:type="xsd:double"&gt;8000&lt;/D&gt;&lt;D xsi:type="xsd:double"&gt;8182&lt;/D&gt;&lt;D xsi:type="xsd:double"&gt;8434&lt;/D&gt;&lt;D xsi:type="xsd:double"&gt;8390&lt;/D&gt;&lt;D xsi:type="xsd:double"&gt;8076&lt;/D&gt;&lt;D xsi:type="xsd:double"&gt;8750&lt;/D&gt;&lt;D xsi:type="xsd:double"&gt;8994&lt;/D&gt;&lt;D xsi:type="xsd:double"&gt;9432&lt;/D&gt;&lt;D xsi:type="xsd:double"&gt;9586&lt;/D&gt;&lt;D xsi:type="xsd:double"&gt;9606&lt;/D&gt;&lt;D xsi:type="xsd:double"&gt;9450&lt;/D&gt;&lt;D xsi:type="xsd:double"&gt;9566&lt;/D&gt;&lt;D xsi:type="xsd:double"&gt;9680&lt;/D&gt;&lt;D xsi:type="xsd:double"&gt;9952&lt;/D&gt;&lt;D xsi:type="xsd:double"&gt;10390&lt;/D&gt;&lt;D xsi:type="xsd:double"&gt;10670&lt;/D&gt;&lt;D xsi:type="xsd:double"&gt;10285&lt;/D&gt;&lt;D xsi:type="xsd:double"&gt;10210&lt;/D&gt;&lt;D xsi:type="xsd:double"&gt;10845&lt;/D&gt;&lt;D xsi:type="xsd:double"&gt;11360&lt;/D&gt;&lt;D xsi:type="xsd:double"&gt;11830&lt;/D&gt;&lt;D xsi:type="xsd:double"&gt;12415&lt;/D&gt;&lt;D xsi:type="xsd:double"&gt;12690&lt;/D&gt;&lt;D xsi:type="xsd:double"&gt;13035&lt;/D&gt;&lt;D xsi:type="xsd:double"&gt;14115&lt;/D&gt;&lt;D xsi:type="xsd:double"&gt;13750&lt;/D&gt;&lt;D xsi:type="xsd:double"&gt;13595&lt;/D&gt;&lt;D xsi:type="xsd:double"&gt;14465&lt;/D&gt;&lt;D xsi:type="xsd:double"&gt;14845&lt;/D&gt;&lt;D xsi:type="xsd:double"&gt;14335&lt;/D&gt;&lt;D xsi:type="xsd:double"&gt;12720&lt;/D&gt;&lt;D xsi:type="xsd:double"&gt;13410&lt;/D&gt;&lt;D xsi:type="xsd:double"&gt;12670&lt;/D&gt;&lt;D xsi:type="xsd:double"&gt;12830&lt;/D&gt;&lt;D xsi:type="xsd:double"&gt;13240&lt;/D&gt;&lt;D xsi:type="xsd:double"&gt;13450&lt;/D&gt;&lt;D xsi:type="xsd:double"&gt;14100&lt;/D&gt;&lt;D xsi:type="xsd:double"&gt;15005&lt;/D&gt;&lt;D xsi:type="xsd:double"&gt;14495&lt;/D&gt;&lt;D xsi:type="xsd:double"&gt;14735&lt;/D&gt;&lt;D xsi:type="xsd:double"&gt;15210&lt;/D&gt;&lt;D xsi:type="xsd:double"&gt;15300&lt;/D&gt;&lt;D xsi:type="xsd:double"&gt;15170&lt;/D&gt;&lt;D xsi:type="xsd:double"&gt;15370&lt;/D&gt;&lt;D xsi:type="xsd:double"&gt;15985&lt;/D&gt;&lt;D xsi:type="xsd:double"&gt;15505&lt;/D&gt;&lt;D xsi:type="xsd:double"&gt;17100&lt;/D&gt;&lt;D xsi:type="xsd:double"&gt;16865&lt;/D&gt;&lt;D xsi:type="xsd:double"&gt;18070&lt;/D&gt;&lt;D xsi:type="xsd:double"&gt;18330&lt;/D&gt;&lt;D xsi:type="xsd:double"&gt;17795&lt;/D&gt;&lt;D xsi:type="xsd:double"&gt;18250&lt;/D&gt;&lt;D xsi:type="xsd:double"&gt;18185&lt;/D&gt;&lt;D xsi:type="xsd:double"&gt;18045&lt;/D&gt;&lt;D xsi:type="xsd:double"&gt;17340&lt;/D&gt;&lt;D xsi:type="xsd:double"&gt;17380&lt;/D&gt;&lt;D xsi:type="xsd:double"&gt;17415&lt;/D&gt;&lt;D xsi:type="xsd:double"&gt;17365&lt;/D&gt;&lt;D xsi:type="xsd:double"&gt;18615&lt;/D&gt;&lt;D xsi:type="xsd:double"&gt;17845&lt;/D&gt;&lt;D xsi:type="xsd:double"&gt;18055&lt;/D&gt;&lt;D xsi:type="xsd:double"&gt;18615&lt;/D&gt;&lt;D xsi:type="xsd:double"&gt;19360&lt;/D&gt;&lt;D xsi:type="xsd:double"&gt;19590&lt;/D&gt;&lt;D xsi:type="xsd:double"&gt;19350&lt;/D&gt;&lt;D xsi:type="xsd:double"&gt;17275&lt;/D&gt;&lt;D xsi:type="xsd:double"&gt;17430&lt;/D&gt;&lt;D xsi:type="xsd:double"&gt;16500&lt;/D&gt;&lt;D xsi:type="xsd:double"&gt;18030&lt;/D&gt;&lt;D xsi:type="xsd:double"&gt;18595&lt;/D&gt;&lt;D xsi:type="xsd:double"&gt;19405&lt;/D&gt;&lt;D xsi:type="xsd:double"&gt;20080&lt;/D&gt;&lt;D xsi:type="xsd:double"&gt;19830&lt;/D&gt;&lt;D xsi:type="xsd:double"&gt;19210&lt;/D&gt;&lt;D xsi:type="xsd:double"&gt;20040&lt;/D&gt;&lt;D xsi:type="xsd:double"&gt;21200&lt;/D&gt;&lt;D xsi:type="xsd:double"&gt;21890&lt;/D&gt;&lt;D xsi:type="xsd:double"&gt;22780&lt;/D&gt;&lt;D xsi:type="xsd:double"&gt;23450&lt;/D&gt;&lt;D xsi:type="xsd:double"&gt;24020&lt;/D&gt;&lt;D xsi:type="xsd:double"&gt;23700&lt;/D&gt;&lt;D xsi:type="xsd:double"&gt;22660&lt;/D&gt;&lt;D xsi:type="xsd:double"&gt;23040&lt;/D&gt;&lt;D xsi:type="xsd:double"&gt;21930&lt;/D&gt;&lt;D xsi:type="xsd:double"&gt;23430&lt;/D&gt;&lt;D xsi:type="xsd:double"&gt;22940&lt;/D&gt;&lt;D xsi:type="xsd:double"&gt;21490&lt;/D&gt;&lt;D xsi:type="xsd:double"&gt;21150&lt;/D&gt;&lt;D xsi:type="xsd:double"&gt;21580&lt;/D&gt;&lt;D xsi:type="xsd:double"&gt;22880&lt;/D&gt;&lt;D xsi:type="xsd:double"&gt;20430&lt;/D&gt;&lt;D xsi:type="xsd:double"&gt;20500&lt;/D&gt;&lt;D xsi:type="xsd:double"&gt;18055&lt;/D&gt;&lt;D xsi:type="xsd:double"&gt;18260&lt;/D&gt;&lt;D xsi:type="xsd:double"&gt;18975&lt;/D&gt;&lt;D xsi:type="xsd:double"&gt;20680&lt;/D&gt;&lt;D xsi:type="xsd:double"&gt;21010&lt;/D&gt;&lt;D xsi:type="xsd:double"&gt;19675&lt;/D&gt;&lt;D xsi:type="xsd:double"&gt;20700&lt;/D&gt;&lt;D xsi:type="xsd:double"&gt;20300&lt;/D&gt;&lt;D xsi:type="xsd:double"&gt;21320&lt;/D&gt;&lt;D xsi:type="xsd:double"&gt;18470&lt;/D&gt;&lt;D xsi:type="xsd:double"&gt;16510&lt;/D&gt;&lt;D xsi:type="xsd:double"&gt;17105&lt;/D&gt;&lt;D xsi:type="xsd:double"&gt;16620&lt;/D&gt;&lt;D xsi:type="xsd:double"&gt;17710&lt;/D&gt;&lt;D xsi:type="xsd:double"&gt;17555&lt;/D&gt;&lt;D xsi:type="xsd:double"&gt;18195&lt;/D&gt;&lt;D xsi:type="xsd:double"&gt;19790&lt;/D&gt;&lt;D xsi:type="xsd:double"&gt;20950&lt;/D&gt;&lt;D xsi:type="xsd:double"&gt;20030&lt;/D&gt;&lt;D xsi:type="xsd:double"&gt;19665&lt;/D&gt;&lt;D xsi:type="xsd:double"&gt;18375&lt;/D&gt;&lt;D xsi:type="xsd:double"&gt;17155&lt;/D&gt;&lt;D xsi:type="xsd:double"&gt;16230&lt;/D&gt;&lt;D xsi:type="xsd:double"&gt;14635&lt;/D&gt;&lt;D xsi:type="xsd:double"&gt;13835&lt;/D&gt;&lt;D xsi:type="xsd:double"&gt;13865&lt;/D&gt;&lt;D xsi:type="xsd:double"&gt;14050&lt;/D&gt;&lt;D xsi:type="xsd:double"&gt;15155&lt;/D&gt;&lt;D xsi:type="xsd:double"&gt;15745&lt;/D&gt;&lt;D xsi:type="xsd:double"&gt;15225&lt;/D&gt;&lt;D xsi:type="xsd:double"&gt;14585&lt;/D&gt;&lt;D xsi:type="xsd:double"&gt;15450&lt;/D&gt;&lt;D xsi:type="xsd:double"&gt;15020&lt;/D&gt;&lt;D xsi:type="xsd:double"&gt;15495&lt;/D&gt;&lt;D xsi:type="xsd:double"&gt;15025&lt;/D&gt;&lt;D xsi:type="xsd:double"&gt;14920&lt;/D&gt;&lt;D xsi:type="xsd:double"&gt;14760&lt;/D&gt;&lt;D xsi:type="xsd:double"&gt;15895&lt;/D&gt;&lt;D xsi:type="xsd:double"&gt;15620&lt;/D&gt;&lt;D xsi:type="xsd:double"&gt;15655&lt;/D&gt;&lt;D xsi:type="xsd:double"&gt;14655&lt;/D&gt;&lt;D xsi:type="xsd:double"&gt;14865&lt;/D&gt;&lt;D xsi:type="xsd:double"&gt;14440&lt;/D&gt;&lt;D xsi:type="xsd:double"&gt;15960&lt;/D&gt;&lt;D xsi:type="xsd:double"&gt;15300&lt;/D&gt;&lt;D xsi:type="xsd:double"&gt;15590&lt;/D&gt;&lt;D xsi:type="xsd:double"&gt;15960&lt;/D&gt;&lt;D xsi:type="xsd:double"&gt;16965&lt;/D&gt;&lt;D xsi:type="xsd:double"&gt;15855&lt;/D&gt;&lt;D xsi:type="xsd:double"&gt;16035&lt;/D&gt;&lt;D xsi:type="xsd:double"&gt;15785&lt;/D&gt;&lt;D xsi:type="xsd:double"&gt;12445&lt;/D&gt;&lt;D xsi:type="xsd:double"&gt;11470&lt;/D&gt;&lt;D xsi:type="xsd:double"&gt;13375&lt;/D&gt;&lt;D xsi:type="xsd:double"&gt;12815&lt;/D&gt;&lt;D xsi:type="xsd:double"&gt;12195&lt;/D&gt;&lt;D xsi:type="xsd:double"&gt;11820&lt;/D&gt;&lt;D xsi:type="xsd:double"&gt;12110&lt;/D&gt;&lt;D xsi:type="xsd:double"&gt;11860&lt;/D&gt;&lt;D xsi:type="xsd:double"&gt;11670&lt;/D&gt;&lt;D xsi:type="xsd:double"&gt;12270&lt;/D&gt;&lt;D xsi:type="xsd:double"&gt;12315&lt;/D&gt;&lt;D xsi:type="xsd:double"&gt;12185&lt;/D&gt;&lt;D xsi:type="xsd:double"&gt;11805&lt;/D&gt;&lt;D xsi:type="xsd:double"&gt;11975&lt;/D&gt;&lt;D xsi:type="xsd:double"&gt;12485&lt;/D&gt;&lt;D xsi:type="xsd:double"&gt;13555&lt;/D&gt;&lt;D xsi:type="xsd:double"&gt;13675&lt;/D&gt;&lt;D xsi:type="xsd:double"&gt;13740&lt;/D&gt;&lt;D xsi:type="xsd:double"&gt;12855&lt;/D&gt;&lt;D xsi:type="xsd:double"&gt;13230&lt;/D&gt;&lt;D xsi:type="xsd:double"&gt;13355&lt;/D&gt;&lt;D xsi:type="xsd:double"&gt;12960&lt;/D&gt;&lt;D xsi:type="xsd:double"&gt;12715&lt;/D&gt;&lt;D xsi:type="xsd:double"&gt;12300&lt;/D&gt;&lt;D xsi:type="xsd:double"&gt;12570&lt;/D&gt;&lt;D xsi:type="xsd:double"&gt;12620&lt;/D&gt;&lt;D xsi:type="xsd:double"&gt;12735&lt;/D&gt;&lt;D xsi:type="xsd:double"&gt;13200&lt;/D&gt;&lt;D xsi:type="xsd:double"&gt;12825&lt;/D&gt;&lt;D xsi:type="xsd:double"&gt;11430&lt;/D&gt;&lt;D xsi:type="xsd:double"&gt;11860&lt;/D&gt;&lt;D xsi:type="xsd:double"&gt;10130&lt;/D&gt;&lt;D xsi:type="xsd:double"&gt;9988&lt;/D&gt;&lt;D xsi:type="xsd:double"&gt;10310&lt;/D&gt;&lt;D xsi:type="xsd:double"&gt;10560&lt;/D&gt;&lt;D xsi:type="xsd:double"&gt;10925&lt;/D&gt;&lt;D xsi:type="xsd:double"&gt;10500&lt;/D&gt;&lt;D xsi:type="xsd:double"&gt;11820&lt;/D&gt;&lt;D xsi:type="xsd:double"&gt;12785&lt;/D&gt;&lt;D xsi:type="xsd:double"&gt;12140&lt;/D&gt;&lt;D xsi:type="xsd:double"&gt;13975&lt;/D&gt;&lt;D xsi:type="xsd:double"&gt;13045&lt;/D&gt;&lt;D xsi:type="xsd:double"&gt;12895&lt;/D&gt;&lt;D xsi:type="xsd:double"&gt;12680&lt;/D&gt;&lt;D xsi:type="xsd:double"&gt;12185&lt;/D&gt;&lt;D xsi:type="xsd:double"&gt;10905&lt;/D&gt;&lt;D xsi:type="xsd:double"&gt;10535&lt;/D&gt;&lt;D xsi:type="xsd:double"&gt;10145&lt;/D&gt;&lt;D xsi:type="xsd:double"&gt;9622&lt;/D&gt;&lt;D xsi:type="xsd:double"&gt;9478&lt;/D&gt;&lt;D xsi:type="xsd:double"&gt;9056&lt;/D&gt;&lt;D xsi:type="xsd:double"&gt;9130&lt;/D&gt;&lt;D xsi:type="xsd:double"&gt;8994&lt;/D&gt;&lt;D xsi:type="xsd:double"&gt;9634&lt;/D&gt;&lt;D xsi:type="xsd:double"&gt;9646&lt;/D&gt;&lt;D xsi:type="xsd:double"&gt;9568&lt;/D&gt;&lt;D xsi:type="xsd:double"&gt;10330&lt;/D&gt;&lt;D xsi:type="xsd:double"&gt;9562&lt;/D&gt;&lt;D xsi:type="xsd:double"&gt;10435&lt;/D&gt;&lt;D xsi:type="xsd:double"&gt;11430&lt;/D&gt;&lt;D xsi:type="xsd:double"&gt;12100&lt;/D&gt;&lt;D xsi:type="xsd:double"&gt;12465&lt;/D&gt;&lt;D xsi:type="xsd:double"&gt;12175&lt;/D&gt;&lt;D xsi:type="xsd:double"&gt;11400&lt;/D&gt;&lt;D xsi:type="xsd:double"&gt;11420&lt;/D&gt;&lt;D xsi:type="xsd:double"&gt;12105&lt;/D&gt;&lt;D xsi:type="xsd:double"&gt;12315&lt;/D&gt;&lt;D xsi:type="xsd:double"&gt;10890&lt;/D&gt;&lt;D xsi:type="xsd:double"&gt;10605&lt;/D&gt;&lt;D xsi:type="xsd:double"&gt;10480&lt;/D&gt;&lt;D xsi:type="xsd:double"&gt;10835&lt;/D&gt;&lt;D xsi:type="xsd:double"&gt;10560&lt;/D&gt;&lt;D xsi:type="xsd:double"&gt;10530&lt;/D&gt;&lt;D xsi:type="xsd:double"&gt;10570&lt;/D&gt;&lt;D xsi:type="xsd:double"&gt;10065&lt;/D&gt;&lt;D xsi:type="xsd:double"&gt;9698&lt;/D&gt;&lt;D xsi:type="xsd:double"&gt;10200&lt;/D&gt;&lt;D xsi:type="xsd:double"&gt;10720&lt;/D&gt;&lt;D xsi:type="xsd:double"&gt;10825&lt;/D&gt;&lt;D xsi:type="xsd:double"&gt;9740&lt;/D&gt;&lt;D xsi:type="xsd:double"&gt;10105&lt;/D&gt;&lt;D xsi:type="xsd:double"&gt;10525&lt;/D&gt;&lt;D xsi:type="xsd:double"&gt;10640&lt;/D&gt;&lt;D xsi:type="xsd:double"&gt;11235&lt;/D&gt;&lt;D xsi:type="xsd:double"&gt;11215&lt;/D&gt;&lt;D xsi:type="xsd:double"&gt;11840&lt;/D&gt;&lt;D xsi:type="xsd:double"&gt;12005&lt;/D&gt;&lt;D xsi:type="xsd:double"&gt;11975&lt;/D&gt;&lt;D xsi:type="xsd:double"&gt;12415&lt;/D&gt;&lt;D xsi:type="xsd:double"&gt;12050&lt;/D&gt;&lt;D xsi:type="xsd:double"&gt;11460&lt;/D&gt;&lt;D xsi:type="xsd:double"&gt;12050&lt;/D&gt;&lt;D xsi:type="xsd:double"&gt;12360&lt;/D&gt;&lt;D xsi:type="xsd:double"&gt;10960&lt;/D&gt;&lt;D xsi:type="xsd:double"&gt;10360&lt;/D&gt;&lt;D xsi:type="xsd:double"&gt;10290&lt;/D&gt;&lt;D xsi:type="xsd:double"&gt;10645&lt;/D&gt;&lt;D xsi:type="xsd:double"&gt;11285&lt;/D&gt;&lt;D xsi:type="xsd:double"&gt;12100&lt;/D&gt;&lt;D xsi:type="xsd:double"&gt;12350&lt;/D&gt;&lt;D xsi:type="xsd:double"&gt;12575&lt;/D&gt;&lt;D xsi:type="xsd:double"&gt;12625&lt;/D&gt;&lt;D xsi:type="xsd:double"&gt;12025&lt;/D&gt;&lt;D xsi:type="xsd:double"&gt;11645&lt;/D&gt;&lt;D xsi:type="xsd:double"&gt;12240&lt;/D&gt;&lt;D xsi:type="xsd:double"&gt;9602&lt;/D&gt;&lt;D xsi:type="xsd:double"&gt;10170&lt;/D&gt;&lt;D xsi:type="xsd:double"&gt;10770&lt;/D&gt;&lt;D xsi:type="xsd:double"&gt;10995&lt;/D&gt;&lt;D xsi:type="xsd:double"&gt;11835&lt;/D&gt;&lt;D xsi:type="xsd:double"&gt;11360&lt;/D&gt;&lt;D xsi:type="xsd:double"&gt;12845&lt;/D&gt;&lt;D xsi:type="xsd:double"&gt;12580&lt;/D&gt;&lt;D xsi:type="xsd:double"&gt;11885&lt;/D&gt;&lt;D xsi:type="xsd:double"&gt;12340&lt;/D&gt;&lt;D xsi:type="xsd:double"&gt;12630&lt;/D&gt;&lt;D xsi:type="xsd:double"&gt;11785&lt;/D&gt;&lt;D xsi:type="xsd:double"&gt;12115&lt;/D&gt;&lt;D xsi:type="xsd:double"&gt;11740&lt;/D&gt;&lt;D xsi:type="xsd:double"&gt;12535&lt;/D&gt;&lt;D xsi:type="xsd:double"&gt;12975&lt;/D&gt;&lt;D xsi:type="xsd:double"&gt;13815&lt;/D&gt;&lt;D xsi:type="xsd:double"&gt;12720&lt;/D&gt;&lt;D xsi:type="xsd:double"&gt;13960&lt;/D&gt;&lt;D xsi:type="xsd:double"&gt;14095&lt;/D&gt;&lt;D xsi:type="xsd:double"&gt;13850&lt;/D&gt;&lt;D xsi:type="xsd:double"&gt;13135&lt;/D&gt;&lt;D xsi:type="xsd:double"&gt;13500&lt;/D&gt;&lt;D xsi:type="xsd:double"&gt;13380&lt;/D&gt;&lt;D xsi:type="xsd:double"&gt;13005&lt;/D&gt;&lt;D xsi:type="xsd:double"&gt;12785&lt;/D&gt;&lt;D xsi:type="xsd:double"&gt;12725&lt;/D&gt;&lt;D xsi:type="xsd:double"&gt;12025&lt;/D&gt;&lt;D xsi:type="xsd:double"&gt;13055&lt;/D&gt;&lt;D xsi:type="xsd:double"&gt;13075&lt;/D&gt;&lt;D xsi:type="xsd:double"&gt;13355&lt;/D&gt;&lt;D xsi:type="xsd:double"&gt;12905&lt;/D&gt;&lt;D xsi:type="xsd:double"&gt;12680&lt;/D&gt;&lt;D xsi:type="xsd:double"&gt;12600&lt;/D&gt;&lt;D xsi:type="xsd:double"&gt;12875&lt;/D&gt;&lt;D xsi:type="xsd:double"&gt;13260&lt;/D&gt;&lt;D xsi:type="xsd:double"&gt;14645&lt;/D&gt;&lt;D xsi:type="xsd:double"&gt;14435&lt;/D&gt;&lt;D xsi:type="xsd:double"&gt;14575&lt;/D&gt;&lt;D xsi:type="xsd:double"&gt;14690&lt;/D&gt;&lt;D xsi:type="xsd:double"&gt;15105&lt;/D&gt;&lt;D xsi:type="xsd:double"&gt;14895&lt;/D&gt;&lt;D xsi:type="xsd:double"&gt;14410&lt;/D&gt;&lt;D xsi:type="xsd:double"&gt;15630&lt;/D&gt;&lt;D xsi:type="xsd:double"&gt;15290&lt;/D&gt;&lt;D xsi:type="xsd:double"&gt;15330&lt;/D&gt;&lt;D xsi:type="xsd:double"&gt;16015&lt;/D&gt;&lt;/FQL&gt;&lt;FQL&gt;&lt;Q&gt;KOSPI^P_PRICE(1/4/2019,NOW,W)&lt;/Q&gt;&lt;R&gt;0&lt;/R&gt;&lt;C&gt;0&lt;/C&gt;&lt;/FQL&gt;&lt;FQL&gt;&lt;Q&gt;KOSPI^P_PRICE(S=01/04/2019,E=TODAY,F=W-FRI)&lt;/Q&gt;&lt;R&gt;1&lt;/R&gt;&lt;C&gt;1&lt;/C&gt;&lt;D xsi:type="xsd:string"&gt;#NUM&lt;/D&gt;&lt;/FQL&gt;&lt;FQL&gt;&lt;Q&gt;KOSPI-KS^P_PRICE(S=01/04/2019,E=TODAY,F=W-FRI)&lt;/Q&gt;&lt;R&gt;1&lt;/R&gt;&lt;C&gt;1&lt;/C&gt;&lt;D xsi:type="xsd:string"&gt;#NUM&lt;/D&gt;&lt;/FQL&gt;&lt;FQL&gt;&lt;Q&gt;SP50-USA^P_PRICE(1/4/2019,NOW,W)&lt;/Q&gt;&lt;R&gt;373&lt;/R&gt;&lt;C&gt;1&lt;/C&gt;&lt;D xsi:type="xsd:double"&gt;2531.94&lt;/D&gt;&lt;D xsi:type="xsd:double"&gt;2596.26&lt;/D&gt;&lt;D xsi:type="xsd:double"&gt;2670.71&lt;/D&gt;&lt;D xsi:type="xsd:double"&gt;2664.76&lt;/D&gt;&lt;D xsi:type="xsd:double"&gt;2706.53&lt;/D&gt;&lt;D xsi:type="xsd:double"&gt;2707.88&lt;/D&gt;&lt;D xsi:type="xsd:double"&gt;2775.6&lt;/D&gt;&lt;D xsi:type="xsd:double"&gt;2792.67&lt;/D&gt;&lt;D xsi:type="xsd:double"&gt;2803.69&lt;/D&gt;&lt;D xsi:type="xsd:double"&gt;2743.07&lt;/D&gt;&lt;D xsi:type="xsd:double"&gt;2822.48&lt;/D&gt;&lt;D xsi:type="xsd:double"&gt;2800.71&lt;/D&gt;&lt;D xsi:type="xsd:double"&gt;2834.4&lt;/D&gt;&lt;D xsi:type="xsd:double"&gt;2892.74&lt;/D&gt;&lt;D xsi:type="xsd:double"&gt;2907.41&lt;/D&gt;&lt;D xsi:type="xsd:double"&gt;2905.03&lt;/D&gt;&lt;D xsi:type="xsd:double"&gt;2939.88&lt;/D&gt;&lt;D xsi:type="xsd:double"&gt;2945.64&lt;/D&gt;&lt;D xsi:type="xsd:double"&gt;2881.4&lt;/D&gt;&lt;D xsi:type="xsd:double"&gt;2859.53&lt;/D&gt;&lt;D xsi:type="xsd:double"&gt;2826.06&lt;/D&gt;&lt;D xsi:type="xsd:double"&gt;2752.06&lt;/D&gt;&lt;D xsi:type="xsd:double"&gt;2873.34&lt;/D&gt;&lt;D xsi:type="xsd:double"&gt;2886.98&lt;/D&gt;&lt;D xsi:type="xsd:double"&gt;2950.46&lt;/D&gt;&lt;D xsi:type="xsd:double"&gt;2941.76&lt;/D&gt;&lt;D xsi:type="xsd:double"&gt;2990.41&lt;/D&gt;&lt;D xsi:type="xsd:double"&gt;3013.77&lt;/D&gt;&lt;D xsi:type="xsd:double"&gt;2976.61&lt;/D&gt;&lt;D xsi:type="xsd:double"&gt;3025.86&lt;/D&gt;&lt;D xsi:type="xsd:double"&gt;2932.05&lt;/D&gt;&lt;D xsi:type="xsd:double"&gt;2918.65&lt;/D&gt;&lt;D xsi:type="xsd:double"&gt;2888.68&lt;/D&gt;&lt;D xsi:type="xsd:double"&gt;2847.11&lt;/D&gt;&lt;D xsi:type="xsd:double"&gt;2926.46&lt;/D&gt;&lt;D xsi:type="xsd:double"&gt;2978.71&lt;/D&gt;&lt;D xsi:type="xsd:double"&gt;3007.39&lt;/D&gt;&lt;D xsi:type="xsd:double"&gt;2992.07&lt;/D&gt;&lt;D xsi:type="xsd:double"&gt;2961.79&lt;/D&gt;&lt;D xsi:type="xsd:double"&gt;2952.01&lt;/D&gt;&lt;D xsi:type="xsd:double"&gt;2970.27&lt;/D&gt;&lt;D xsi:type="xsd:double"&gt;2986.2&lt;/D&gt;&lt;D xsi:type="xsd:double"&gt;3022.55&lt;/D&gt;&lt;D xsi:type="xsd:double"&gt;3066.91&lt;/D&gt;&lt;D xsi:type="xsd:double"&gt;3093.08&lt;/D&gt;&lt;D xsi:type="xsd:double"&gt;3120.46&lt;/D&gt;&lt;D xsi:type="xsd:double"&gt;3110.29&lt;/D&gt;&lt;D xsi:type="xsd:double"&gt;3140.98&lt;/D&gt;&lt;D xsi:type="xsd:double"&gt;3145.91&lt;/D&gt;&lt;D xsi:type="xsd:double"&gt;3168.8&lt;/D&gt;&lt;D xsi:type="xsd:double"&gt;3221.22&lt;/D&gt;&lt;D xsi:type="xsd:double"&gt;3240.02&lt;/D&gt;&lt;D xsi:type="xsd:double"&gt;3234.85&lt;/D&gt;&lt;D xsi:type="xsd:double"&gt;3265.35&lt;/D&gt;&lt;D xsi:type="xsd:double"&gt;3329.62&lt;/D&gt;&lt;D xsi:type="xsd:double"&gt;3295.47&lt;/D&gt;&lt;D xsi:type="xsd:double"&gt;3225.52&lt;/D&gt;&lt;D xsi:type="xsd:double"&gt;3327.71&lt;/D&gt;&lt;D xsi:type="xsd:double"&gt;3380.16&lt;/D&gt;&lt;D xsi:type="xsd:double"&gt;3337.75&lt;/D&gt;&lt;D xsi:type="xsd:double"&gt;2954.22&lt;/D&gt;&lt;D xsi:type="xsd:double"&gt;2972.37&lt;/D&gt;&lt;D xsi:type="xsd:double"&gt;2711.02&lt;/D&gt;&lt;D xsi:type="xsd:double"&gt;2304.92&lt;/D&gt;&lt;D xsi:type="xsd:double"&gt;2541.47&lt;/D&gt;&lt;D xsi:type="xsd:double"&gt;2488.65&lt;/D&gt;&lt;D xsi:type="xsd:double"&gt;2789.82&lt;/D&gt;&lt;D xsi:type="xsd:double"&gt;2874.56&lt;/D&gt;&lt;D xsi:type="xsd:double"&gt;2836.74&lt;/D&gt;&lt;D xsi:type="xsd:double"&gt;2830.71&lt;/D&gt;&lt;D xsi:type="xsd:double"&gt;2929.8&lt;/D&gt;&lt;D xsi:type="xsd:double"&gt;2863.7&lt;/D&gt;&lt;D xsi:type="xsd:double"&gt;2955.45&lt;/D&gt;&lt;D xsi:type="xsd:double"&gt;3044.31&lt;/D&gt;&lt;D xsi:type="xsd:double"&gt;3193.93&lt;/D&gt;&lt;D xsi:type="xsd:double"&gt;3041.31&lt;/D&gt;&lt;D xsi:type="xsd:double"&gt;3097.74&lt;/D&gt;&lt;D xsi:type="xsd:double"&gt;3009.05&lt;/D&gt;&lt;D xsi:type="xsd:double"&gt;3130.01&lt;/D&gt;&lt;D xsi:type="xsd:double"&gt;3185.04&lt;/D&gt;&lt;D xsi:type="xsd:double"&gt;3224.73&lt;/D&gt;&lt;D xsi:type="xsd:double"&gt;3215.63&lt;/D&gt;&lt;D xsi:type="xsd:double"&gt;3271.12&lt;/D&gt;&lt;D xsi:type="xsd:double"&gt;3351.28&lt;/D&gt;&lt;D xsi:type="xsd:double"&gt;3372.85&lt;/D&gt;&lt;D xsi:type="xsd:double"&gt;3397.16&lt;/D&gt;&lt;D xsi:type="xsd:double"&gt;3508.01&lt;/D&gt;&lt;D xsi:type="xsd:double"&gt;3426.96&lt;/D&gt;&lt;D xsi:type="xsd:double"&gt;3340.97&lt;/D&gt;&lt;D xsi:type="xsd:double"&gt;3319.47&lt;/D&gt;&lt;D xsi:type="xsd:double"&gt;3298.46&lt;/D&gt;&lt;D xsi:type="xsd:double"&gt;3348.44&lt;/D&gt;&lt;D xsi:type="xsd:double"&gt;3477.13&lt;/D&gt;&lt;D xsi:type="xsd:double"&gt;3483.81&lt;/D&gt;&lt;D xsi:type="xsd:double"&gt;3465.39&lt;/D&gt;&lt;D xsi:type="xsd:double"&gt;3269.96&lt;/D&gt;&lt;D xsi:type="xsd:double"&gt;3509.44&lt;/D&gt;&lt;D xsi:type="xsd:double"&gt;3585.15&lt;/D&gt;&lt;D xsi:type="xsd:double"&gt;3557.54&lt;/D&gt;&lt;D xsi:type="xsd:double"&gt;3638.35&lt;/D&gt;&lt;D xsi:type="xsd:double"&gt;3699.12&lt;/D&gt;&lt;D xsi:type="xsd:double"&gt;3663.46&lt;/D&gt;&lt;D xsi:type="xsd:double"&gt;3709.41&lt;/D&gt;&lt;D xsi:type="xsd:double"&gt;3703.06&lt;/D&gt;&lt;D xsi:type="xsd:double"&gt;3756.07&lt;/D&gt;&lt;D xsi:type="xsd:double"&gt;3824.68&lt;/D&gt;&lt;D xsi:type="xsd:double"&gt;3768.25&lt;/D&gt;&lt;D xsi:type="xsd:double"&gt;3841.47&lt;/D&gt;&lt;D xsi:type="xsd:double"&gt;3714.24&lt;/D&gt;&lt;D xsi:type="xsd:double"&gt;3886.83&lt;/D&gt;&lt;D xsi:type="xsd:double"&gt;3934.83&lt;/D&gt;&lt;D xsi:type="xsd:double"&gt;3906.71&lt;/D&gt;&lt;D xsi:type="xsd:double"&gt;3811.15&lt;/D&gt;&lt;D xsi:type="xsd:double"&gt;3841.94&lt;/D&gt;&lt;D xsi:type="xsd:double"&gt;3943.34&lt;/D&gt;&lt;D xsi:type="xsd:double"&gt;3913.1&lt;/D&gt;&lt;D xsi:type="xsd:double"&gt;3974.54&lt;/D&gt;&lt;D xsi:type="xsd:double"&gt;4019.87&lt;/D&gt;&lt;D xsi:type="xsd:double"&gt;4128.8&lt;/D&gt;&lt;D xsi:type="xsd:double"&gt;4185.47&lt;/D&gt;&lt;D xsi:type="xsd:double"&gt;4180.17&lt;/D&gt;&lt;D xsi:type="xsd:double"&gt;4181.17&lt;/D&gt;&lt;D xsi:type="xsd:double"&gt;4232.6&lt;/D&gt;&lt;D xsi:type="xsd:double"&gt;4173.85&lt;/D&gt;&lt;D xsi:type="xsd:double"&gt;4155.86&lt;/D&gt;&lt;D xsi:type="xsd:double"&gt;4204.11&lt;/D&gt;&lt;D xsi:type="xsd:double"&gt;4229.89&lt;/D&gt;&lt;D xsi:type="xsd:double"&gt;4247.44&lt;/D&gt;&lt;D xsi:type="xsd:double"&gt;4166.45&lt;/D&gt;&lt;D xsi:type="xsd:double"&gt;4</t>
        </r>
      </text>
    </comment>
    <comment ref="A12" authorId="0" shapeId="0" xr:uid="{00000000-0006-0000-0000-00000C000000}">
      <text>
        <r>
          <rPr>
            <sz val="11"/>
            <color theme="1"/>
            <rFont val="맑은 고딕"/>
            <family val="2"/>
            <charset val="129"/>
            <scheme val="minor"/>
          </rPr>
          <t>280.7&lt;/D&gt;&lt;D xsi:type="xsd:double"&gt;4352.34&lt;/D&gt;&lt;D xsi:type="xsd:double"&gt;4369.55&lt;/D&gt;&lt;D xsi:type="xsd:double"&gt;4327.16&lt;/D&gt;&lt;D xsi:type="xsd:double"&gt;4411.79&lt;/D&gt;&lt;D xsi:type="xsd:double"&gt;4395.26&lt;/D&gt;&lt;D xsi:type="xsd:double"&gt;4436.52&lt;/D&gt;&lt;D xsi:type="xsd:double"&gt;4468&lt;/D&gt;&lt;D xsi:type="xsd:double"&gt;4441.67&lt;/D&gt;&lt;D xsi:type="xsd:double"&gt;4509.37&lt;/D&gt;&lt;D xsi:type="xsd:double"&gt;4535.43&lt;/D&gt;&lt;D xsi:type="xsd:double"&gt;4458.58&lt;/D&gt;&lt;D xsi:type="xsd:double"&gt;4432.99&lt;/D&gt;&lt;D xsi:type="xsd:double"&gt;4455.48&lt;/D&gt;&lt;D xsi:type="xsd:double"&gt;4357.04&lt;/D&gt;&lt;D xsi:type="xsd:double"&gt;4391.34&lt;/D&gt;&lt;D xsi:type="xsd:double"&gt;4471.37&lt;/D&gt;&lt;D xsi:type="xsd:double"&gt;4544.9&lt;/D&gt;&lt;D xsi:type="xsd:double"&gt;4605.38&lt;/D&gt;&lt;D xsi:type="xsd:double"&gt;4697.53&lt;/D&gt;&lt;D xsi:type="xsd:double"&gt;4682.85&lt;/D&gt;&lt;D xsi:type="xsd:double"&gt;4697.96&lt;/D&gt;&lt;D xsi:type="xsd:double"&gt;4594.62&lt;/D&gt;&lt;D xsi:type="xsd:double"&gt;4538.43&lt;/D&gt;&lt;D xsi:type="xsd:double"&gt;4712.02&lt;/D&gt;&lt;D xsi:type="xsd:double"&gt;4620.64&lt;/D&gt;&lt;D xsi:type="xsd:double"&gt;4725.79&lt;/D&gt;&lt;D xsi:type="xsd:double"&gt;4766.18&lt;/D&gt;&lt;D xsi:type="xsd:double"&gt;4677.03&lt;/D&gt;&lt;D xsi:type="xsd:double"&gt;4662.85&lt;/D&gt;&lt;D xsi:type="xsd:double"&gt;4397.94&lt;/D&gt;&lt;D xsi:type="xsd:double"&gt;4431.85&lt;/D&gt;&lt;D xsi:type="xsd:double"&gt;4500.53&lt;/D&gt;&lt;D xsi:type="xsd:double"&gt;4418.64&lt;/D&gt;&lt;D xsi:type="xsd:double"&gt;4348.87&lt;/D&gt;&lt;D xsi:type="xsd:double"&gt;4384.65&lt;/D&gt;&lt;D xsi:type="xsd:double"&gt;4328.87&lt;/D&gt;&lt;D xsi:type="xsd:double"&gt;4204.31&lt;/D&gt;&lt;D xsi:type="xsd:double"&gt;4463.12&lt;/D&gt;&lt;D xsi:type="xsd:double"&gt;4543.06&lt;/D&gt;&lt;D xsi:type="xsd:double"&gt;4545.86&lt;/D&gt;&lt;D xsi:type="xsd:double"&gt;4488.28&lt;/D&gt;&lt;D xsi:type="xsd:double"&gt;4392.59&lt;/D&gt;&lt;D xsi:type="xsd:double"&gt;4271.78&lt;/D&gt;&lt;D xsi:type="xsd:double"&gt;4131.93&lt;/D&gt;&lt;D xsi:type="xsd:double"&gt;4123.34&lt;/D&gt;&lt;D xsi:type="xsd:double"&gt;4023.89&lt;/D&gt;&lt;D xsi:type="xsd:double"&gt;3901.36&lt;/D&gt;&lt;D xsi:type="xsd:double"&gt;4158.24&lt;/D&gt;&lt;D xsi:type="xsd:double"&gt;4108.54&lt;/D&gt;&lt;D xsi:type="xsd:double"&gt;3900.86&lt;/D&gt;&lt;D xsi:type="xsd:double"&gt;3674.84&lt;/D&gt;&lt;D xsi:type="xsd:double"&gt;3911.74&lt;/D&gt;&lt;D xsi:type="xsd:double"&gt;3825.33&lt;/D&gt;&lt;D xsi:type="xsd:double"&gt;3899.38&lt;/D&gt;&lt;D xsi:type="xsd:double"&gt;3863.16&lt;/D&gt;&lt;D xsi:type="xsd:double"&gt;3961.63&lt;/D&gt;&lt;D xsi:type="xsd:double"&gt;4130.29&lt;/D&gt;&lt;D xsi:type="xsd:double"&gt;4145.19&lt;/D&gt;&lt;D xsi:type="xsd:double"&gt;4280.15&lt;/D&gt;&lt;D xsi:type="xsd:double"&gt;4228.48&lt;/D&gt;&lt;D xsi:type="xsd:double"&gt;4057.66&lt;/D&gt;&lt;D xsi:type="xsd:double"&gt;3924.26&lt;/D&gt;&lt;D xsi:type="xsd:double"&gt;4067.36&lt;/D&gt;&lt;D xsi:type="xsd:double"&gt;3873.33&lt;/D&gt;&lt;D xsi:type="xsd:double"&gt;3693.23&lt;/D&gt;&lt;D xsi:type="xsd:double"&gt;3585.62&lt;/D&gt;&lt;D xsi:type="xsd:double"&gt;3639.66&lt;/D&gt;&lt;D xsi:type="xsd:double"&gt;3583.07&lt;/D&gt;&lt;D xsi:type="xsd:double"&gt;3752.75&lt;/D&gt;&lt;D xsi:type="xsd:double"&gt;3901.06&lt;/D&gt;&lt;D xsi:type="xsd:double"&gt;3770.55&lt;/D&gt;&lt;D xsi:type="xsd:double"&gt;3992.93&lt;/D&gt;&lt;D xsi:type="xsd:double"&gt;3965.34&lt;/D&gt;&lt;D xsi:type="xsd:double"&gt;4026.12&lt;/D&gt;&lt;D xsi:type="xsd:double"&gt;4071.7&lt;/D&gt;&lt;D xsi:type="xsd:double"&gt;3934.38&lt;/D&gt;&lt;D xsi:type="xsd:double"&gt;3852.36&lt;/D&gt;&lt;D xsi:type="xsd:double"&gt;3844.82&lt;/D&gt;&lt;D xsi:type="xsd:double"&gt;3839.5&lt;/D&gt;&lt;D xsi:type="xsd:double"&gt;3895.08&lt;/D&gt;&lt;D xsi:type="xsd:double"&gt;3999.09&lt;/D&gt;&lt;D xsi:type="xsd:double"&gt;3972.61&lt;/D&gt;&lt;D xsi:type="xsd:double"&gt;4070.56&lt;/D&gt;&lt;D xsi:type="xsd:double"&gt;4136.48&lt;/D&gt;&lt;D xsi:type="xsd:double"&gt;4090.46&lt;/D&gt;&lt;D xsi:type="xsd:double"&gt;4079.09&lt;/D&gt;&lt;D xsi:type="xsd:double"&gt;3970.04&lt;/D&gt;&lt;D xsi:type="xsd:double"&gt;4045.64&lt;/D&gt;&lt;D xsi:type="xsd:double"&gt;3861.59&lt;/D&gt;&lt;D xsi:type="xsd:double"&gt;3916.64&lt;/D&gt;&lt;D xsi:type="xsd:double"&gt;3970.99&lt;/D&gt;&lt;D xsi:type="xsd:double"&gt;4109.31&lt;/D&gt;&lt;D xsi:type="xsd:double"&gt;4105.02&lt;/D&gt;&lt;D xsi:type="xsd:double"&gt;4137.64&lt;/D&gt;&lt;D xsi:type="xsd:double"&gt;4133.52&lt;/D&gt;&lt;D xsi:type="xsd:double"&gt;4169.48&lt;/D&gt;&lt;D xsi:type="xsd:double"&gt;4136.25&lt;/D&gt;&lt;D xsi:type="xsd:double"&gt;4124.08&lt;/D&gt;&lt;D xsi:type="xsd:double"&gt;4191.98&lt;/D&gt;&lt;D xsi:type="xsd:double"&gt;4205.45&lt;/D&gt;&lt;D xsi:type="xsd:double"&gt;4282.37&lt;/D&gt;&lt;D xsi:type="xsd:double"&gt;4298.86&lt;/D&gt;&lt;D xsi:type="xsd:double"&gt;4409.59&lt;/D&gt;&lt;D xsi:type="xsd:double"&gt;4348.33&lt;/D&gt;&lt;D xsi:type="xsd:double"&gt;4450.38&lt;/D&gt;&lt;D xsi:type="xsd:double"&gt;4398.95&lt;/D&gt;&lt;D xsi:type="xsd:double"&gt;4505.42&lt;/D&gt;&lt;D xsi:type="xsd:double"&gt;4536.34&lt;/D&gt;&lt;D xsi:type="xsd:double"&gt;4582.23&lt;/D&gt;&lt;D xsi:type="xsd:double"&gt;4478.03&lt;/D&gt;&lt;D xsi:type="xsd:double"&gt;4464.05&lt;/D&gt;&lt;D xsi:type="xsd:double"&gt;4369.71&lt;/D&gt;&lt;D xsi:type="xsd:double"&gt;4405.71&lt;/D&gt;&lt;D xsi:type="xsd:double"&gt;4515.77&lt;/D&gt;&lt;D xsi:type="xsd:double"&gt;4457.49&lt;/D&gt;&lt;D xsi:type="xsd:double"&gt;4450.32&lt;/D&gt;&lt;D xsi:type="xsd:double"&gt;4320.06&lt;/D&gt;&lt;D xsi:type="xsd:double"&gt;4288.05&lt;/D&gt;&lt;D xsi:type="xsd:double"&gt;4308.5&lt;/D&gt;&lt;D xsi:type="xsd:double"&gt;4327.78&lt;/D&gt;&lt;D xsi:type="xsd:double"&gt;4224.16&lt;/D&gt;&lt;D xsi:type="xsd:double"&gt;4117.37&lt;/D&gt;&lt;D xsi:type="xsd:double"&gt;4358.34&lt;/D&gt;&lt;D xsi:type="xsd:double"&gt;4415.24&lt;/D&gt;&lt;D xsi:type="xsd:double"&gt;4514.02&lt;/D&gt;&lt;D xsi:type="xsd:double"&gt;4559.34&lt;/D&gt;&lt;D xsi:type="xsd:double"&gt;4594.63&lt;/D&gt;&lt;D xsi:type="xsd:double"&gt;4604.37&lt;/D&gt;&lt;D xsi:type="xsd:double"&gt;4719.19&lt;/D&gt;&lt;D xsi:type="xsd:double"&gt;4754.63&lt;/D&gt;&lt;D xsi:type="xsd:double"&gt;4769.83&lt;/D&gt;&lt;D xsi:type="xsd:double"&gt;4697.24&lt;/D&gt;&lt;D xsi:type="xsd:double"&gt;4783.83&lt;/D&gt;&lt;D xsi:type="xsd:double"&gt;4839.81&lt;/D&gt;&lt;D xsi:type="xsd:double"&gt;4890.97&lt;/D&gt;&lt;D xsi:type="xsd:double"&gt;4958.61&lt;/D&gt;&lt;D xsi:type="xsd:double"&gt;5026.61&lt;/D&gt;&lt;D xsi:type="xsd:double"&gt;5005.57&lt;/D&gt;&lt;D xsi:type="xsd:double"&gt;5088.8&lt;/D&gt;&lt;D xsi:type="xsd:double"&gt;5137.08&lt;/D&gt;&lt;D xsi:type="xsd:double"&gt;5123.69&lt;/D&gt;&lt;D xsi:type="xsd:double"&gt;5117.09&lt;/D&gt;&lt;D xsi:type="xsd:double"&gt;5234.18&lt;/D&gt;&lt;D xsi:type="xsd:double"&gt;5254.35&lt;/D&gt;&lt;D xsi:type="xsd:double"&gt;5204.34&lt;/D&gt;&lt;D xsi:type="xsd:double"&gt;5123.41&lt;/D&gt;&lt;D xsi:type="xsd:double"&gt;4967.23&lt;/D&gt;&lt;D xsi:type="xsd:double"&gt;5099.96&lt;/D&gt;&lt;D xsi:type="xsd:double"&gt;5127.79&lt;/D&gt;&lt;D xsi:type="xsd:double"&gt;5222.68&lt;/D&gt;&lt;D xsi:type="xsd:double"&gt;5303.27&lt;/D&gt;&lt;D xsi:type="xsd:double"&gt;5304.72&lt;/D&gt;&lt;D xsi:type="xsd:double"&gt;5277.51&lt;/D&gt;&lt;D xsi:type="xsd:double"&gt;5346.99&lt;/D&gt;&lt;D xsi:type="xsd:double"&gt;5431.6&lt;/D&gt;&lt;D xsi:type="xsd:double"&gt;5464.62&lt;/D&gt;&lt;D xsi:type="xsd:double"&gt;5460.48&lt;/D&gt;&lt;D xsi:type="xsd:double"&gt;5567.19&lt;/D&gt;&lt;D xsi:type="xsd:double"&gt;5615.35&lt;/D&gt;&lt;D xsi:type="xsd:double"&gt;5505&lt;/D&gt;&lt;D xsi:type="xsd:double"&gt;5459.1&lt;/D&gt;&lt;D xsi:type="xsd:double"&gt;5346.56&lt;/D&gt;&lt;D xsi:type="xsd:double"&gt;5344.16&lt;/D&gt;&lt;D xsi:type="xsd:double"&gt;5554.25&lt;/D&gt;&lt;D xsi:type="xsd:double"&gt;5634.61&lt;/D&gt;&lt;D xsi:type="xsd:double"&gt;5648.4&lt;/D&gt;&lt;D xsi:type="xsd:double"&gt;5408.42&lt;/D&gt;&lt;D xsi:type="xsd:double"&gt;5626.02&lt;/D&gt;&lt;D xsi:type="xsd:double"&gt;5702.55&lt;/D&gt;&lt;D xsi:type="xsd:double"&gt;5738.17&lt;/D&gt;&lt;D xsi:type="xsd:double"&gt;5751.07&lt;/D&gt;&lt;D xsi:type="xsd:double"&gt;5815.03&lt;/D&gt;&lt;D xsi:type="xsd:double"&gt;5864.67&lt;/D&gt;&lt;D xsi:type="xsd:double"&gt;5808.12&lt;/D&gt;&lt;D xsi:type="xsd:double"&gt;5728.8&lt;/D&gt;&lt;D xsi:type="xsd:double"&gt;5995.54&lt;/D&gt;&lt;D xsi:type="xsd:double"&gt;5870.62&lt;/D&gt;&lt;D xsi:type="xsd:double"&gt;5969.34&lt;/D&gt;&lt;D xsi:type="xsd:double"&gt;6032.38&lt;/D&gt;&lt;D xsi:type="xsd:double"&gt;6090.27&lt;/D&gt;&lt;D xsi:type="xsd:double"&gt;6051.09&lt;/D&gt;&lt;D xsi:type="xsd:double"&gt;5930.85&lt;/D&gt;&lt;D xsi:type="xsd:double"&gt;5970.84&lt;/D&gt;&lt;D xsi:type="xsd:double"&gt;5942.47&lt;/D&gt;&lt;D xsi:type="xsd:double"&gt;5827.04&lt;/D&gt;&lt;D xsi:type="xsd:double"&gt;5996.66&lt;/D&gt;&lt;D xsi:type="xsd:double"&gt;6101.24&lt;/D&gt;&lt;D xsi:type="xsd:double"&gt;6040.53&lt;/D&gt;&lt;D xsi:type="xsd:double"&gt;6025.99&lt;/D&gt;&lt;D xsi:type="xsd:double"&gt;6114.63&lt;/D&gt;&lt;D xsi:type="xsd:double"&gt;6013.13&lt;/D&gt;&lt;D xsi:type="xsd:double"&gt;5954.5&lt;/D&gt;&lt;D xsi:type="xsd:double"&gt;5770.2&lt;/D&gt;&lt;D xsi:type="xsd:double"&gt;5638.94&lt;/D&gt;&lt;D xsi:type="xsd:double"&gt;5667.56&lt;/D&gt;&lt;D xsi:type="xsd:double"&gt;5580.94&lt;/D&gt;&lt;D xsi:type="xsd:double"&gt;5074.08&lt;/D&gt;&lt;D xsi:type="xsd:double"&gt;5363.36&lt;/D&gt;&lt;D xsi:type="xsd:double"&gt;5282.7&lt;/D&gt;&lt;D xsi:type="xsd:double"&gt;5525.21&lt;/D&gt;&lt;D xsi:type="xsd:double"&gt;5686.67&lt;/D&gt;&lt;D xsi:type="xsd:double"&gt;5659.91&lt;/D&gt;&lt;D xsi:type="xsd:double"&gt;5958.38&lt;/D&gt;&lt;D xsi:type="xsd:double"&gt;5802.82&lt;/D&gt;&lt;D xsi:type="xsd:double"&gt;5911.69&lt;/D&gt;&lt;D xsi:type="xsd:double"&gt;6000.36&lt;/D&gt;&lt;D xsi:type="xsd:double"&gt;5976.97&lt;/D&gt;&lt;D xsi:type="xsd:double"&gt;5967.84&lt;/D&gt;&lt;D xsi:type="xsd:double"&gt;6173.07&lt;/D&gt;&lt;D xsi:type="xsd:double"&gt;6279.35&lt;/D&gt;&lt;D xsi:type="xsd:double"&gt;6259.75&lt;/D&gt;&lt;D xsi:type="xsd:double"&gt;6296.79&lt;/D&gt;&lt;D xsi:type="xsd:double"&gt;6388.64&lt;/D&gt;&lt;D xsi:type="xsd:double"&gt;6238.01&lt;/D&gt;&lt;D xsi:type="xsd:double"&gt;6389.45&lt;/D&gt;&lt;D xsi:type="xsd:double"&gt;6449.8&lt;/D&gt;&lt;D xsi:type="xsd:double"&gt;6466.91&lt;/D&gt;&lt;D xsi:type="xsd:double"&gt;6460.26&lt;/D&gt;&lt;D xsi:type="xsd:double"&gt;6481.5&lt;/D&gt;&lt;D xsi:type="xsd:double"&gt;6584.29&lt;/D&gt;&lt;D xsi:type="xsd:double"&gt;6664.36&lt;/D&gt;&lt;D xsi:type="xsd:double"&gt;6643.7&lt;/D&gt;&lt;D xsi:type="xsd:double"&gt;6715.79&lt;/D&gt;&lt;D xsi:type="xsd:double"&gt;6552.51&lt;/D&gt;&lt;D xsi:type="xsd:double"&gt;6664.01&lt;/D&gt;&lt;D xsi:type="xsd:double"&gt;6791.69&lt;/D&gt;&lt;D xsi:type="xsd:double"&gt;6840.2&lt;/D&gt;&lt;D xsi:type="xsd:double"&gt;6728.8&lt;/D&gt;&lt;D xsi:type="xsd:double"&gt;6734.11&lt;/D&gt;&lt;D xsi:type="xsd:double"&gt;6602.99&lt;/D&gt;&lt;D xsi:type="xsd:double"&gt;6849.09&lt;/D&gt;&lt;D xsi:type="xsd:double"&gt;6870.4&lt;/D&gt;&lt;D xsi:type="xsd:double"&gt;6827.41&lt;/D&gt;&lt;D xsi:type="xsd:double"&gt;6834.5&lt;/D&gt;&lt;D xsi:type="xsd:double"&gt;6929.94&lt;/D&gt;&lt;D xsi:type="xsd:double"&gt;6858.47&lt;/D&gt;&lt;D xsi:type="xsd:double"&gt;6966.28&lt;/D&gt;&lt;D xsi:type="xsd:double"&gt;6940.01&lt;/D&gt;&lt;D xsi:type="xsd:double"&gt;6915.61&lt;/D&gt;&lt;D xsi:type="xsd:double"&gt;6939.03&lt;/D&gt;&lt;D xsi:type="xsd:double"&gt;6932.3&lt;/D&gt;&lt;D xsi:type="xsd:double"&gt;6836.17&lt;/D&gt;&lt;D xsi:type="xsd:double"&gt;6909.51&lt;/D&gt;&lt;/FQL&gt;&lt;FQL&gt;&lt;Q&gt;KOSPI-KRX^P_PRICE(1/4/2019,NOW,W)&lt;/Q&gt;&lt;R&gt;373&lt;/R&gt;&lt;C&gt;1&lt;/C&gt;&lt;D xsi:type="xsd:double"&gt;2010.25&lt;/D&gt;&lt;D xsi:type="xsd:double"&gt;2075.57&lt;/D&gt;&lt;D xsi:type="xsd:double"&gt;2124.28&lt;/D&gt;&lt;D xsi:type="xsd:double"&gt;2177.73&lt;/D&gt;&lt;D xsi:type="xsd:double"&gt;2203.46&lt;/D&gt;&lt;D xsi:type="xsd:double"&gt;2177.05&lt;/D&gt;&lt;D xsi:type="xsd:double"&gt;2196.09&lt;/D&gt;&lt;D xsi:type="xsd:double"&gt;2230.5&lt;/D&gt;&lt;D xsi:type="xsd:double"&gt;2195.44&lt;/D&gt;&lt;D xsi:type="xsd:double"&gt;2137.44&lt;/D&gt;&lt;D xsi:type="xsd:double"&gt;2176.11&lt;/D&gt;&lt;D xsi:type="xsd:double"&gt;2186.95&lt;/D&gt;&lt;D xsi:type="xsd:double"&gt;2140.67&lt;/D&gt;&lt;D xsi:type="xsd:double"&gt;2209.61&lt;/D&gt;&lt;D xsi:type="xsd:double"&gt;2233.45&lt;/D&gt;&lt;D xsi:type="xsd:double"&gt;2216.15&lt;/D&gt;&lt;D xsi:type="xsd:double"&gt;2179.31&lt;/D&gt;&lt;D xsi:type="xsd:double"&gt;2196.32&lt;/D&gt;&lt;D xsi:type="xsd:double"&gt;2108.04&lt;/D&gt;&lt;D xsi:type="xsd:double"&gt;2055.8&lt;/D&gt;&lt;D xsi:type="xsd:double"&gt;2045.31&lt;/D&gt;&lt;D xsi:type="xsd:double"&gt;2041.74&lt;/D&gt;&lt;D xsi:type="xsd:double"&gt;2072.33&lt;/D&gt;&lt;D xsi:type="xsd:double"&gt;2095.41&lt;/D&gt;&lt;D xsi:type="xsd:double"&gt;2125.62&lt;/D&gt;&lt;D xsi:type="xsd:double"&gt;2130.62&lt;/D&gt;&lt;D xsi:type="xsd:double"&gt;2110.59&lt;/D&gt;&lt;D xsi:type="xsd:double"&gt;2086.66&lt;/D&gt;&lt;D xsi:type="xsd:double"&gt;2094.36&lt;/D&gt;&lt;D xsi:type="xsd:double"&gt;2066.26&lt;/D&gt;&lt;D xsi:type="xsd:double"&gt;1998.13&lt;/D&gt;&lt;D xsi:type="xsd:double"&gt;1937.75&lt;/D&gt;&lt;D xsi:type="xsd:double"&gt;1927.17&lt;/D&gt;&lt;D xsi:type="xsd:double"&gt;1948.3&lt;/D&gt;&lt;D xsi:type="xsd:double"&gt;1967.79&lt;/D&gt;&lt;D xsi:type="xsd:double"&gt;2009.13&lt;/D&gt;&lt;D xsi:type="xsd:double"&gt;2049.2&lt;/D&gt;&lt;D xsi:type="xsd:double"&gt;2091.52&lt;/D&gt;&lt;D xsi:type="xsd:double"&gt;2049.93&lt;/D&gt;&lt;D xsi:type="xsd:double"&gt;2020.69&lt;/D&gt;&lt;D xsi:type="xsd:double"&gt;2044.61&lt;/D&gt;&lt;D xsi:type="xsd:double"&gt;2060.69&lt;/D&gt;&lt;D xsi:type="xsd:double"&gt;2087.89&lt;/D&gt;&lt;D xsi:type="xsd:double"&gt;2100.2&lt;/D&gt;&lt;D xsi:type="xsd:double"&gt;2137.23&lt;/D&gt;&lt;D xsi:type="xsd:double"&gt;2162.18&lt;/D&gt;&lt;D xsi:type="xsd:double"&gt;2101.96&lt;/D&gt;&lt;D xsi:type="xsd:double"&gt;2087.96&lt;/D&gt;&lt;D xsi:type="xsd:double"&gt;2081.85&lt;/D&gt;&lt;D xsi:type="xsd:double"&gt;2170.25&lt;/D&gt;&lt;D xsi:type="xsd:double"&gt;2204.18&lt;/D&gt;&lt;D xsi:type="xsd:double"&gt;2204.21&lt;/D&gt;&lt;D xsi:type="xsd:double"&gt;2176.46&lt;/D&gt;&lt;D xsi:type="xsd:double"&gt;2206.39&lt;/D&gt;&lt;D xsi:type="xsd:double"&gt;2250.57&lt;/D&gt;&lt;D xsi:type="xsd:double"&gt;2246.13&lt;/D&gt;&lt;D xsi:type="xsd:double"&gt;2119.01&lt;/D&gt;&lt;D xsi:type="xsd:double"&gt;2211.95&lt;/D&gt;&lt;D xsi:type="xsd:double"&gt;2243.59&lt;/D&gt;&lt;D xsi:type="xsd:double"&gt;2162.84&lt;/D&gt;&lt;D xsi:type="xsd:double"&gt;1987.01&lt;/D&gt;&lt;D xsi:type="xsd:double"&gt;2040.22&lt;/D&gt;&lt;D xsi:type="xsd:double"&gt;1771.44&lt;/D&gt;&lt;D xsi:type="xsd:double"&gt;1566.15&lt;/D&gt;&lt;D xsi:type="xsd:double"&gt;1717.73&lt;/D&gt;&lt;D xsi:type="xsd:double"&gt;1725.44&lt;/D&gt;&lt;D xsi:type="xsd:double"&gt;1860.7&lt;/D&gt;&lt;D xsi:type="xsd:double"&gt;1914.53&lt;/D&gt;&lt;D xsi:type="xsd:double"&gt;1889.01&lt;/D&gt;&lt;D xsi:type="xsd:double"&gt;1947.56&lt;/D&gt;&lt;D xsi:type="xsd:double"&gt;1945.82&lt;/D&gt;&lt;D xsi:type="xsd:double"&gt;1927.28&lt;/D&gt;&lt;D xsi:type="xsd:double"&gt;1970.13&lt;/D&gt;&lt;D xsi:type="xsd:double"&gt;2029.6&lt;/D&gt;&lt;D xsi:type="xsd:double"&gt;2181.87&lt;/D&gt;&lt;D xsi:type="xsd:double"&gt;2132.3&lt;/D&gt;&lt;D xsi:type="xsd:double"&gt;2141.32&lt;/D&gt;&lt;D xsi:type="xsd:double"&gt;2134.65&lt;/D&gt;&lt;D xsi:type="xsd:double"&gt;2152.41&lt;/D&gt;&lt;D xsi:type="xsd:double"&gt;2150.25&lt;/D&gt;&lt;D xsi:type="xsd:double"&gt;2201.19&lt;/D&gt;&lt;D xsi:type="xsd:double"&gt;2200.44&lt;/D&gt;&lt;D xsi:type="xsd:double"&gt;2249.37&lt;/D&gt;&lt;D xsi:type="xsd:double"&gt;2351.67&lt;/D&gt;&lt;D xsi:type="xsd:double"&gt;2407.49&lt;/D&gt;&lt;D xsi:type="xsd:double"&gt;2304.59&lt;/D&gt;&lt;D xsi:type="xsd:double"&gt;2353.8&lt;/D&gt;&lt;D xsi:type="xsd:double"&gt;2368.25&lt;/D&gt;&lt;D xsi:type="xsd:double"&gt;2396.69&lt;/D&gt;&lt;D xsi:type="xsd:double"&gt;2412.4&lt;/D&gt;&lt;D xsi:type="xsd:double"&gt;2278.79&lt;/D&gt;&lt;D xsi:type="xsd:double"&gt;2327.89&lt;/D&gt;&lt;D xsi:type="xsd:double"&gt;2391.96&lt;/D&gt;&lt;D xsi:type="xsd:double"&gt;2341.53&lt;/D&gt;&lt;D xsi:type="xsd:double"&gt;2360.81&lt;/D&gt;&lt;D xsi:type="xsd:double"&gt;2267.15&lt;/D&gt;&lt;D xsi:type="xsd:double"&gt;2416.5&lt;/D&gt;&lt;D xsi:type="xsd:double"&gt;2493.87&lt;/D&gt;&lt;D xsi:type="xsd:double"&gt;2553.5&lt;/D&gt;&lt;D xsi:type="xsd:double"&gt;2633.45&lt;/D&gt;&lt;D xsi:type="xsd:double"&gt;2731.45&lt;/D&gt;&lt;D xsi:type="xsd:double"&gt;2770.06&lt;/D&gt;&lt;D xsi:type="xsd:double"&gt;2772.18&lt;/D&gt;&lt;D xsi:type="xsd:double"&gt;2806.86&lt;/D&gt;&lt;D xsi:type="xsd:double"&gt;2873.47&lt;/D&gt;&lt;D xsi:type="xsd:double"&gt;3152.18&lt;/D&gt;&lt;D xsi:type="xsd:double"&gt;3085.9&lt;/D&gt;&lt;D xsi:type="xsd:double"&gt;3140.63&lt;/D&gt;&lt;D xsi:type="xsd:double"&gt;2976.21&lt;/D&gt;&lt;D xsi:type="xsd:double"&gt;3120.63&lt;/D&gt;&lt;D xsi:type="xsd:double"&gt;3100.58&lt;/D&gt;&lt;D xsi:type="xsd:double"&gt;3107.62&lt;/D&gt;&lt;D xsi:type="xsd:double"&gt;3012.95&lt;/D&gt;&lt;D xsi:type="xsd:double"&gt;3026.26&lt;/D&gt;&lt;D xsi:type="xsd:double"&gt;3054.39&lt;/D&gt;&lt;D xsi:type="xsd:double"&gt;3039.53&lt;/D&gt;&lt;D xsi:type="xsd:double"&gt;3041.01&lt;/D&gt;&lt;D xsi:type="xsd:double"&gt;3112.8&lt;/D&gt;&lt;D xsi:type="xsd:double"&gt;3131.88&lt;/D&gt;&lt;D xsi:type="xsd:double"&gt;3198.62&lt;/D&gt;&lt;D xsi:type="xsd:double"&gt;3186.1&lt;/D&gt;&lt;D xsi:type="xsd:double"&gt;3147.86&lt;/D&gt;&lt;D xsi:type="xsd:double"&gt;3197.2&lt;/D&gt;&lt;D xsi:type="xsd:double"&gt;3153.32&lt;/D&gt;&lt;D xsi:type="xsd:double"&gt;3156.42&lt;/D&gt;&lt;D xsi:type="xsd:double"&gt;3188.73&lt;/D&gt;&lt;D xsi:type="xsd:double"&gt;3240.08&lt;/D&gt;&lt;D xsi:type="xsd:double"&gt;3249.32&lt;/D&gt;&lt;D xsi:type="xsd:double"&gt;3267.93&lt;/D&gt;&lt;D xsi:type="xsd:double"&gt;3302.84&lt;/D&gt;&lt;D xsi:type="xsd:double"&gt;3281.78&lt;/D&gt;&lt;D xsi:type="xsd:double"&gt;3217.95&lt;/D&gt;&lt;D xsi:type="xsd:double"&gt;3276.91&lt;/D&gt;&lt;D xsi:type="xsd:double"&gt;3254.42&lt;/D&gt;&lt;D xsi:type="xsd:double"&gt;3202.32&lt;/D&gt;&lt;D xsi:type="xsd:double"&gt;3270.36&lt;/D&gt;&lt;D xsi:type="xsd:double"&gt;3171.29&lt;/D&gt;&lt;D xsi:type="xsd:double"&gt;3060.51&lt;/D&gt;&lt;D xsi:type="xsd:double"&gt;3133.9&lt;/D&gt;&lt;D xsi:type="xsd:double"&gt;3201.06&lt;/D&gt;&lt;D xsi:type="xsd:double"&gt;3125.76&lt;/D&gt;&lt;D xsi:type="xsd:double"&gt;3140.51&lt;/D&gt;&lt;D xsi:type="xsd:double"&gt;3125.24&lt;/D&gt;&lt;D xsi:type="xsd:double"&gt;3019.18&lt;/D&gt;&lt;D xsi:type="xsd:double"&gt;2956.3&lt;/D&gt;&lt;D xsi:type="xsd:double"&gt;3015.06&lt;/D&gt;&lt;D xsi:type="xsd:double"&gt;3006.16&lt;/D&gt;&lt;D xsi:type="xsd:double"&gt;2970.68&lt;/D&gt;&lt;D xsi:type="xsd:double"&gt;2969.27&lt;/D&gt;&lt;D xsi:type="xsd:double"&gt;2968.8&lt;/D&gt;&lt;D xsi:type="xsd:double"&gt;2971.02&lt;/D&gt;&lt;D xsi:type="xsd:double"&gt;2936.44&lt;/D&gt;&lt;D xsi:type="xsd:double"&gt;2968.33&lt;/D&gt;&lt;D xsi:type="xsd:double"&gt;3010.23&lt;/D&gt;&lt;D xsi:type="xsd:double"&gt;3017.73&lt;/D&gt;&lt;D xsi:type="xsd:double"&gt;3012.43&lt;/D&gt;&lt;D xsi:type="xsd:double"&gt;2977.65&lt;/D&gt;&lt;D xsi:type="xsd:double"&gt;2954.89&lt;/D&gt;&lt;D xsi:type="xsd:double"&gt;2921.92&lt;/D&gt;&lt;D xsi:type="xsd:double"&gt;2834.29&lt;/D&gt;&lt;D xsi:type="xsd:double"&gt;2663.34&lt;/D&gt;&lt;D xsi:type="xsd:double"&gt;2750.26&lt;/D&gt;&lt;D xsi:type="xsd:double"&gt;2747.71&lt;/D&gt;&lt;D xsi:type="xsd:double"&gt;2744.52&lt;/D&gt;&lt;D xsi:type="xsd:double"&gt;2676.76&lt;/D&gt;&lt;D xsi:type="xsd:double"&gt;2713.43&lt;/D&gt;&lt;D xsi:type="xsd:double"&gt;2661.28&lt;/D&gt;&lt;D xsi:type="xsd:double"&gt;2707.02&lt;/D&gt;&lt;D xsi:type="xsd:double"&gt;2729.98&lt;/D&gt;&lt;D xsi:type="xsd:double"&gt;2739.85&lt;/D&gt;&lt;D xsi:type="xsd:double"&gt;2700.39&lt;/D&gt;&lt;D xsi:type="xsd:double"&gt;2696.06&lt;/D&gt;&lt;D xsi:type="xsd:double"&gt;2704.71&lt;/D&gt;&lt;D xsi:type="xsd:double"&gt;2695.05&lt;/D&gt;&lt;D xsi:type="xsd:double"&gt;2644.51&lt;/D&gt;&lt;D xsi:type="xsd:double"&gt;2604.24&lt;/D&gt;&lt;D xsi:type="xsd:double"&gt;2639.29&lt;/D&gt;&lt;D xsi:type="xsd:double"&gt;2638.05&lt;/D&gt;&lt;D xsi:type="xsd:double"&gt;2670.65&lt;/D&gt;&lt;D xsi:type="xsd:double"&gt;2595.87&lt;/D&gt;&lt;D xsi:type="xsd:double"&gt;2440.93&lt;/D&gt;&lt;D xsi:type="xsd:double"&gt;2366.6&lt;/D&gt;&lt;D xsi:type="xsd:double"&gt;2305.42&lt;/D&gt;&lt;D xsi:type="xsd:double"&gt;2350.61&lt;/D&gt;&lt;D xsi:type="xsd:double"&gt;2330.98&lt;/D&gt;&lt;D xsi:type="xsd:double"&gt;2393.14&lt;/D&gt;&lt;D xsi:type="xsd:double"&gt;2451.5&lt;/D&gt;&lt;D xsi:type="xsd:double"&gt;2490.8&lt;/D&gt;&lt;D xsi:type="xsd:double"&gt;2527.94&lt;/D&gt;&lt;D xsi:type="xsd:double"&gt;2492.69&lt;/D&gt;&lt;D xsi:type="xsd:double"&gt;2481.03&lt;/D&gt;&lt;D xsi:type="xsd:double"&gt;2409.41&lt;/D&gt;&lt;D xsi:type="xsd:double"&gt;2384.28&lt;/D&gt;&lt;D xsi:type="xsd:double"&gt;2382.78&lt;/D&gt;&lt;D xsi:type="xsd:double"&gt;2290&lt;/D&gt;&lt;D xsi:type="xsd:double"&gt;2155.49&lt;/D&gt;&lt;D xsi:type="xsd:double"&gt;2232.84&lt;/D&gt;&lt;D xsi:type="xsd:double"&gt;2212.55&lt;/D&gt;&lt;D xsi:type="xsd:double"&gt;2213.12&lt;/D&gt;&lt;D xsi:type="xsd:double"&gt;2268.4&lt;/D&gt;&lt;D xsi:type="xsd:double"&gt;2348.43&lt;/D&gt;&lt;D xsi:type="xsd:double"&gt;2483.16&lt;/D&gt;&lt;D xsi:type="xsd:double"&gt;2444.48&lt;/D&gt;&lt;D xsi:type="xsd:double"&gt;2437.86&lt;/D&gt;&lt;D xsi:type="xsd:double"&gt;2434.33&lt;/D&gt;&lt;D xsi:type="xsd:double"&gt;2389.04&lt;/D&gt;&lt;D xsi:type="xsd:double"&gt;2360.02&lt;/D&gt;&lt;D xsi:type="xsd:double"&gt;2313.69&lt;/D&gt;&lt;D xsi:type="xsd:double"&gt;2236.4&lt;/D&gt;&lt;D xsi:type="xsd:double"&gt;2289.97&lt;/D&gt;&lt;D xsi:type="xsd:double"&gt;2386.09&lt;/D&gt;&lt;D xsi:type="xsd:double"&gt;2395.26&lt;/D&gt;&lt;D xsi:type="xsd:double"&gt;2484.02&lt;/D&gt;&lt;D xsi:type="xsd:double"&gt;2480.4&lt;/D&gt;&lt;D xsi:type="xsd:double"&gt;2469.73&lt;/D&gt;&lt;D xsi:type="xsd:double"&gt;2451.21&lt;/D&gt;&lt;D xsi:type="xsd:double"&gt;2423.61&lt;/D&gt;&lt;D xsi:type="xsd:double"&gt;2432.07&lt;/D&gt;&lt;D xsi:type="xsd:double"&gt;2394.59&lt;/D&gt;&lt;D xsi:type="xsd:double"&gt;2395.69&lt;/D&gt;&lt;D xsi:type="xsd:double"&gt;2414.96&lt;/D&gt;&lt;D xsi:type="xsd:double"&gt;2476.86&lt;/D&gt;&lt;D xsi:type="xsd:double"&gt;2490.41&lt;/D&gt;&lt;D xsi:type="xsd:double"&gt;2571.49&lt;/D&gt;&lt;D xsi:type="xsd:double"&gt;2544.4&lt;/D&gt;&lt;D xsi:type="xsd:double"&gt;2501.53&lt;/D&gt;&lt;D xsi:type="xsd:double"&gt;2500.94&lt;/D&gt;&lt;D xsi:type="xsd:double"&gt;2475.42&lt;/D&gt;&lt;D xsi:type="xsd:double"&gt;2537.79&lt;/D&gt;&lt;D xsi:type="xsd:double"&gt;2558.81&lt;/D&gt;&lt;D xsi:type="xsd:double"&gt;2601.36&lt;/D&gt;&lt;D xsi:type="xsd:double"&gt;2641.16&lt;/D&gt;&lt;D xsi:type="xsd:double"&gt;2625.79&lt;/D&gt;&lt;D xsi:type="xsd:double"&gt;2570.1&lt;/D&gt;&lt;D xsi:type="xsd:double"&gt;2564.28&lt;/D&gt;&lt;D xsi:type="xsd:double"&gt;2526.71&lt;/D&gt;&lt;D xsi:type="xsd:double"&gt;2628.3&lt;/D&gt;&lt;D xsi:type="xsd:double"&gt;2609.76&lt;/D&gt;&lt;D xsi:type="xsd:double"&gt;2608.32&lt;/D&gt;&lt;D xsi:type="xsd:double"&gt;2602.8&lt;/D&gt;&lt;D xsi:type="xsd:double"&gt;2591.26&lt;/D&gt;&lt;D xsi:type="xsd:double"&gt;2504.5&lt;/D&gt;&lt;D xsi:type="xsd:double"&gt;2519.14&lt;/D&gt;&lt;D xsi:type="xsd:double"&gt;2563.71&lt;/D&gt;&lt;D xsi:type="xsd:double"&gt;2547.68&lt;/D&gt;&lt;D xsi:type="xsd:double"&gt;2601.28&lt;/D&gt;&lt;D xsi:type="xsd:double"&gt;2508.13&lt;/D&gt;&lt;D xsi:type="xsd:double"&gt;2465.07&lt;/D&gt;&lt;D xsi:type="xsd:double"&gt;2408.73&lt;/D&gt;&lt;D xsi:type="xsd:double"&gt;2456.15&lt;/D&gt;&lt;D xsi:type="xsd:double"&gt;2375&lt;/D&gt;&lt;D xsi:type="xsd:double"&gt;2302.81&lt;/D&gt;&lt;D xsi:type="xsd:double"&gt;2368.34&lt;/D&gt;&lt;D xsi:type="xsd:double"&gt;2409.66&lt;/D&gt;&lt;D xsi:type="xsd:double"&gt;2469.85&lt;/D&gt;&lt;D xsi:type="xsd:double"&gt;2496.63&lt;/D&gt;&lt;D xsi:type="xsd:double"&gt;2505.01&lt;/D&gt;&lt;D xsi:type="xsd:double"&gt;2517.85&lt;/D&gt;&lt;D xsi:type="xsd:double"&gt;2563.56&lt;/D&gt;&lt;D xsi:type="xsd:double"&gt;2599.51&lt;/D&gt;&lt;D xsi:type="xsd:double"&gt;2655.28&lt;/D&gt;&lt;D xsi:type="xsd:double"&gt;2578.08&lt;/D&gt;&lt;D xsi:type="xsd:double"&gt;2525.05&lt;/D&gt;&lt;D xsi:type="xsd:double"&gt;2472.74&lt;/D&gt;&lt;D xsi:type="xsd:double"&gt;2478.56&lt;/D&gt;&lt;D xsi:type="xsd:double"&gt;2615.31&lt;/D&gt;&lt;D xsi:type="xsd:double"&gt;2620.32&lt;/D&gt;&lt;D xsi:type="xsd:double"&gt;2648.76&lt;/D&gt;&lt;D xsi:type="xsd:double"&gt;2667.7&lt;/D&gt;&lt;D xsi:type="xsd:double"&gt;2642.36&lt;/D&gt;&lt;D xsi:type="xsd:double"&gt;2680.35&lt;/D&gt;&lt;D xsi:type="xsd:double"&gt;2666.84&lt;/D&gt;&lt;D xsi:type="xsd:double"&gt;2748.56&lt;/D&gt;&lt;D xsi:type="xsd:double"&gt;2746.63&lt;/D&gt;&lt;D xsi:type="xsd:double"&gt;2714.21&lt;/D&gt;&lt;D xsi:type="xsd:double"&gt;2681.82&lt;/D&gt;&lt;D xsi:type="xsd:double"&gt;2591.86&lt;/D&gt;&lt;D xsi:type="xsd:double"&gt;2656.33&lt;/D&gt;&lt;D xsi:type="xsd:double"&gt;2676.63&lt;/D&gt;&lt;D xsi:type="xsd:double"&gt;2727.63&lt;/D&gt;&lt;D xsi:type="xsd:double"&gt;2724.62&lt;/D&gt;&lt;D xsi:type="xsd:double"&gt;2687.6&lt;/D&gt;&lt;D xsi:type="xsd:double"&gt;2636.52&lt;/D&gt;&lt;D xsi:type="xsd:double"&gt;2722.67&lt;/D&gt;&lt;D xsi:type="xsd:double"&gt;2758.42&lt;/D&gt;&lt;D xsi:type="xsd:double"&gt;2784.26&lt;/D&gt;&lt;D xsi:type="xsd:double"&gt;2797.82&lt;/D&gt;&lt;D xsi:type="xsd:double"&gt;2862.23&lt;/D&gt;&lt;D xsi:type="xsd:double"&gt;2857&lt;/D&gt;&lt;D xsi:type="xsd:double"&gt;2795.46&lt;/D&gt;&lt;D xsi:type="xsd:double"&gt;2731.9&lt;/D&gt;&lt;D xsi:type="xsd:double"&gt;2676.19&lt;/D&gt;&lt;D xsi:type="xsd:double"&gt;2588.43&lt;/D&gt;&lt;D xsi:type="xsd:double"&gt;2697.23&lt;/D&gt;&lt;D xsi:type="xsd:double"&gt;2701.69&lt;/D&gt;&lt;D xsi:type="xsd:double"&gt;2674.31&lt;/D&gt;&lt;D xsi:type="xsd:double"&gt;2544.28&lt;/D&gt;&lt;D xsi:type="xsd:double"&gt;2575.41&lt;/D&gt;&lt;D xsi:type="xsd:double"&gt;2593.37&lt;/D&gt;&lt;D xsi:type="xsd:double"&gt;2649.78&lt;/D&gt;&lt;D xsi:type="xsd:double"&gt;2569.71&lt;/D&gt;&lt;D xsi:type="xsd:double"&gt;2596.91&lt;/D&gt;&lt;D xsi:type="xsd:double"&gt;2593.82&lt;/D&gt;&lt;D xsi:type="xsd:double"&gt;2583.27&lt;/D&gt;&lt;D xsi:type="xsd:double"&gt;2542.36&lt;/D&gt;&lt;D xsi:type="xsd:double"&gt;2561.15&lt;/D&gt;&lt;D xsi:type="xsd:double"&gt;2416.86&lt;/D&gt;&lt;D xsi:type="xsd:double"&gt;2501.24&lt;/D&gt;&lt;D xsi:type="xsd:double"&gt;2455.91&lt;/D&gt;&lt;D xsi:type="xsd:double"&gt;2428.16&lt;/D&gt;&lt;D xsi:type="xsd:double"&gt;2494.46&lt;/D&gt;&lt;D xsi:type="xsd:double"&gt;2404.15&lt;/D&gt;&lt;D xsi:type="xsd:double"&gt;2404.77&lt;/D&gt;&lt;D xsi:type="xsd:double"&gt;2441.92&lt;/D&gt;&lt;D xsi:type="xsd:double"&gt;2515.78&lt;/D&gt;&lt;D xsi:type="xsd:double"&gt;2523.55&lt;/D&gt;&lt;D xsi:type="xsd:double"&gt;2536.8&lt;/D&gt;&lt;D xsi:type="xsd:double"&gt;2517.37&lt;/D&gt;&lt;D xsi:type="xsd:double"&gt;2521.92&lt;/D&gt;&lt;D xsi:type="xsd:double"&gt;2591.05&lt;/D&gt;&lt;D xsi:type="xsd:double"&gt;2654.58&lt;/D&gt;&lt;D xsi:type="xsd:double"&gt;2532.78&lt;/D&gt;&lt;D xsi:type="xsd:double"&gt;2563.48&lt;/D&gt;&lt;D xsi:type="xsd:double"&gt;2566.36&lt;/D&gt;&lt;D xsi:type="xsd:double"&gt;2643.13&lt;/D&gt;&lt;D xsi:type="xsd:double"&gt;2557.98&lt;/D&gt;&lt;D xsi:type="xsd:double"&gt;2465.42&lt;/D&gt;&lt;D xsi:type="xsd:double"&gt;2432.72&lt;/D&gt;&lt;D xsi:type="xsd:double"&gt;2483.42&lt;/D&gt;&lt;D xsi:type="xsd:double"&gt;2546.3&lt;/D&gt;&lt;D xsi:type="xsd:double"&gt;2559.79&lt;/D&gt;&lt;D xsi:type="xsd:double"&gt;2577.27&lt;/D&gt;&lt;D xsi:type="xsd:double"&gt;2626.87&lt;/D&gt;&lt;D xsi:type="xsd:double"&gt;2592.09&lt;/D&gt;&lt;D xsi:type="xsd:double"&gt;2697.67&lt;/D&gt;&lt;D xsi:type="xsd:double"&gt;2812.05&lt;/D&gt;&lt;D xsi:type="xsd:double"&gt;2894.62&lt;/D&gt;&lt;D xsi:type="xsd:double"&gt;3021.84&lt;/D&gt;&lt;D xsi:type="xsd:double"&gt;3055.94&lt;/D&gt;&lt;D xsi:type="xsd:double"&gt;3054.28&lt;/D&gt;&lt;D xsi:type="xsd:double"&gt;3175.77&lt;/D&gt;&lt;D xsi:type="xsd:double"&gt;3188.07&lt;/D&gt;&lt;D xsi:type="xsd:double"&gt;3196.05&lt;/D&gt;&lt;D xsi:type="xsd:double"&gt;3119.41&lt;/D&gt;&lt;D xsi:type="xsd:double"&gt;3210.01&lt;/D&gt;&lt;D xsi:type="xsd:double"&gt;3225.66&lt;/D&gt;&lt;D xsi:type="xsd:double"&gt;3168.73&lt;/D&gt;&lt;D xsi:type="xsd:double"&gt;3186.01&lt;/D&gt;&lt;D xsi:type="xsd:double"&gt;3205.12&lt;/D&gt;&lt;D xsi:type="xsd:double"&gt;3395.54&lt;/D&gt;&lt;D xsi:type="xsd:double"&gt;3445.24&lt;/D&gt;&lt;D xsi:type="xsd:double"&gt;3386.05&lt;/D&gt;&lt;D xsi:type="xsd:double"&gt;3549.21&lt;/D&gt;&lt;D xsi:type="xsd:double"&gt;3610.6&lt;/D&gt;&lt;D xsi:type="xsd:double"&gt;3748.89&lt;/D&gt;&lt;D xsi:type="xsd:double"&gt;3941.59&lt;/D&gt;&lt;D xsi:type="xsd:double"&gt;4107.5&lt;/D&gt;&lt;D xsi:type="xsd:double"&gt;3953.76&lt;/D&gt;&lt;D xsi:type="xsd:double"&gt;4011.57&lt;/D&gt;&lt;D xsi:type="xsd:double"&gt;3853.26&lt;/D&gt;&lt;D xsi:type="xsd:double"&gt;3926.59&lt;/D&gt;&lt;D xsi:type="xsd:double"&gt;4100.05&lt;/D&gt;&lt;D xsi:type="xsd:double"&gt;4167.16&lt;/D&gt;&lt;D xsi:type="xsd:double"&gt;4020.55&lt;/D&gt;&lt;D xsi:type="xsd:double"&gt;4129.68&lt;/D&gt;&lt;D xsi:type="xsd:double"&gt;4309.63&lt;/D&gt;&lt;D xsi:type="xsd:double"&gt;4586.32&lt;/D&gt;&lt;D xsi:type="xsd:double"&gt;4840.74&lt;/D&gt;&lt;D xsi:type="xsd:double"&gt;4990.07&lt;/D&gt;&lt;D xsi:type="xsd:double"&gt;5224.36&lt;/D&gt;&lt;D xsi:type="xsd:double"&gt;5089.14&lt;/D&gt;&lt;D xsi:type="xsd:double"&gt;5507.01&lt;/D&gt;&lt;D xsi:type="xsd:double"&gt;5808.53&lt;/D&gt;&lt;/FQL&gt;&lt;FQL&gt;&lt;Q&gt;SXXP-STX^P_PRICE(1/4/2019,NOW,W)&lt;/Q&gt;&lt;R&gt;373&lt;/R&gt;&lt;C&gt;1&lt;/C&gt;&lt;D xsi:type="xsd:double"&gt;343.38&lt;/D&gt;&lt;D xsi:type="xsd:double"&gt;349.2&lt;/D&gt;&lt;D xsi:type="xsd:double"&gt;357.05&lt;/D&gt;&lt;D xsi:type="xsd:double"&gt;357.84&lt;/D&gt;&lt;D xsi:type="xsd:double"&gt;359.71&lt;/D&gt;&lt;D xsi:type="xsd:double"&gt;358.07&lt;/D&gt;&lt;D xsi:type="xsd:double"&gt;368.94&lt;/D&gt;&lt;D xsi:type="xsd:double"&gt;371.23&lt;/D&gt;&lt;D xsi:type="xsd:double"&gt;374.24&lt;/D&gt;&lt;D xsi:type="xsd:double"&gt;370.57&lt;/D&gt;&lt;D xsi:type="xsd:double"&gt;381.1&lt;/D&gt;&lt;D xsi:type="xsd:double"&gt;376.03&lt;/D&gt;&lt;D xsi:type="xsd:double"&gt;379.09&lt;/D&gt;&lt;D xsi:type="xsd:double"&gt;388.23&lt;/D&gt;&lt;D xsi:type="xsd:double"&gt;387.53&lt;/D&gt;&lt;D xsi:type="xsd:double"&gt;390.46&lt;/D&gt;&lt;D xsi:type="xsd:double"&gt;391.01&lt;/D&gt;&lt;D xsi:type="xsd:double"&gt;390.37&lt;/D&gt;&lt;D xsi:type="xsd:double"&gt;377.14&lt;/D&gt;&lt;D xsi:type="xsd:double"&gt;381.51&lt;/D&gt;&lt;D xsi:type="xsd:double"&gt;375.89&lt;/D&gt;&lt;D xsi:type="xsd:double"&gt;369.06&lt;/D&gt;&lt;D xsi:type="xsd:double"&gt;377.48&lt;/D&gt;&lt;D xsi:type="xsd:double"&gt;378.81&lt;/D&gt;&lt;D xsi:type="xsd:double"&gt;384.76&lt;/D&gt;&lt;D xsi:type="xsd:double"&gt;384.87&lt;/D&gt;&lt;D xsi:type="xsd:double"&gt;390.11&lt;/D&gt;&lt;D xsi:type="xsd:double"&gt;386.85&lt;/D&gt;&lt;D xsi:type="xsd:double"&gt;387.25&lt;/D&gt;&lt;D xsi:type="xsd:double"&gt;390.73&lt;/D&gt;&lt;D xsi:type="xsd:double"&gt;378.15&lt;/D&gt;&lt;D xsi:type="xsd:double"&gt;371.56&lt;/D&gt;&lt;D xsi:type="xsd:double"&gt;369.63&lt;/D&gt;&lt;D xsi:type="xsd:double"&gt;371.36&lt;/D&gt;&lt;D xsi:type="xsd:double"&gt;379.48&lt;/D&gt;&lt;D xsi:type="xsd:double"&gt;387.14&lt;/D&gt;&lt;D xsi:type="xsd:double"&gt;391.79&lt;/D&gt;&lt;D xsi:type="xsd:double"&gt;392.95&lt;/D&gt;&lt;D xsi:type="xsd:double"&gt;391.79&lt;/D&gt;&lt;D xsi:type="xsd:double"&gt;380.22&lt;/D&gt;&lt;D xsi:type="xsd:double"&gt;391.61&lt;/D&gt;&lt;D xsi:type="xsd:double"&gt;391.84&lt;/D&gt;&lt;D xsi:type="xsd:double"&gt;398.01&lt;/D&gt;&lt;D xsi:type="xsd:double"&gt;399.43&lt;/D&gt;&lt;D xsi:type="xsd:double"&gt;405.42&lt;/D&gt;&lt;D xsi:type="xsd:double"&gt;406.04&lt;/D&gt;&lt;D xsi:type="xsd:double"&gt;403.98&lt;/D&gt;&lt;D xsi:type="xsd:double"&gt;407.43&lt;/D&gt;&lt;D xsi:type="xsd:double"&gt;407.35&lt;/D&gt;&lt;D xsi:type="xsd:double"&gt;412.02&lt;/D&gt;&lt;D xsi:type="xsd:double"&gt;418.4&lt;/D&gt;&lt;D xsi:type="xsd:double"&gt;419.74&lt;/D&gt;&lt;D xsi:type="xsd:double"&gt;418.33&lt;/D&gt;&lt;D xsi:type="xsd:double"&gt;419.14&lt;/D&gt;&lt;D xsi:type="xsd:double"&gt;424.56&lt;/D&gt;&lt;D xsi:type="xsd:double"&gt;423.64&lt;/D&gt;&lt;D xsi:type="xsd:double"&gt;410.71&lt;/D&gt;&lt;D xsi:type="xsd:double"&gt;424.36&lt;/D&gt;&lt;D xsi:type="xsd:double"&gt;430.52&lt;/D&gt;&lt;D xsi:type="xsd:double"&gt;428.07&lt;/D&gt;&lt;D xsi:type="xsd:double"&gt;375.65&lt;/D&gt;&lt;D xsi:type="xsd:double"&gt;366.8&lt;/D&gt;&lt;D xsi:type="xsd:double"&gt;299.16&lt;/D&gt;&lt;D xsi:type="xsd:double"&gt;293.04&lt;/D&gt;&lt;D xsi:type="xsd:double"&gt;310.9&lt;/D&gt;&lt;D xsi:type="xsd:double"&gt;309.06&lt;/D&gt;&lt;D xsi:type="xsd:double"&gt;331.8&lt;/D&gt;&lt;D xsi:type="xsd:double"&gt;333.47&lt;/D&gt;&lt;D xsi:type="xsd:double"&gt;329.59&lt;/D&gt;&lt;D xsi:type="xsd:double"&gt;337.39&lt;/D&gt;&lt;D xsi:type="xsd:double"&gt;341.05&lt;/D&gt;&lt;D xsi:type="xsd:double"&gt;328.24&lt;/D&gt;&lt;D xsi:type="xsd:double"&gt;340.17&lt;/D&gt;&lt;D xsi:type="xsd:double"&gt;350.36&lt;/D&gt;&lt;D xsi:type="xsd:double"&gt;375.32&lt;/D&gt;&lt;D xsi:type="xsd:double"&gt;354.06&lt;/D&gt;&lt;D xsi:type="xsd:double"&gt;365.46&lt;/D&gt;&lt;D xsi:type="xsd:double"&gt;358.32&lt;/D&gt;&lt;D xsi:type="xsd:double"&gt;365.43&lt;/D&gt;&lt;D xsi:type="xsd:double"&gt;366.83&lt;/D&gt;&lt;D xsi:type="xsd:double"&gt;372.71&lt;/D&gt;&lt;D xsi:type="xsd:double"&gt;367.29&lt;/D&gt;&lt;D xsi:type="xsd:double"&gt;356.33&lt;/D&gt;&lt;D xsi:type="xsd:double"&gt;363.55&lt;/D&gt;&lt;D xsi:type="xsd:double"&gt;368.07&lt;/D&gt;&lt;D xsi:type="xsd:double"&gt;365.09&lt;/D&gt;&lt;D xsi:type="xsd:double"&gt;368.8&lt;/D&gt;&lt;D xsi:type="xsd:double"&gt;361.93&lt;/D&gt;&lt;D xsi:type="xsd:double"&gt;367.96&lt;/D&gt;&lt;D xsi:type="xsd:double"&gt;368.78&lt;/D&gt;&lt;D xsi:type="xsd:double"&gt;355.51&lt;/D&gt;&lt;D xsi:type="xsd:double"&gt;362.69&lt;/D&gt;&lt;D xsi:type="xsd:double"&gt;370.35&lt;/D&gt;&lt;D xsi:type="xsd:double"&gt;367.48&lt;/D&gt;&lt;D xsi:type="xsd:double"&gt;362.5&lt;/D&gt;&lt;D xsi:type="xsd:double"&gt;342.36&lt;/D&gt;&lt;D xsi:type="xsd:double"&gt;366.4&lt;/D&gt;&lt;D xsi:type="xsd:double"&gt;385.18&lt;/D&gt;&lt;D xsi:type="xsd:double"&gt;389.61&lt;/D&gt;&lt;D xsi:type="xsd:double"&gt;393.23&lt;/D&gt;&lt;D xsi:type="xsd:double"&gt;394.04&lt;/D&gt;&lt;D xsi:type="xsd:double"&gt;390.12&lt;/D&gt;&lt;D xsi:type="xsd:double"&gt;395.9&lt;/D&gt;&lt;D xsi:type="xsd:double"&gt;395.98&lt;/D&gt;&lt;D xsi:type="xsd:double"&gt;399.03&lt;/D&gt;&lt;D xsi:type="xsd:double"&gt;411.17&lt;/D&gt;&lt;D xsi:type="xsd:double"&gt;407.85&lt;/D&gt;&lt;D xsi:type="xsd:double"&gt;408.54&lt;/D&gt;&lt;D xsi:type="xsd:double"&gt;395.85&lt;/D&gt;&lt;D xsi:type="xsd:double"&gt;409.54&lt;/D&gt;&lt;D xsi:type="xsd:double"&gt;414&lt;/D&gt;&lt;D xsi:type="xsd:double"&gt;414.88&lt;/D&gt;&lt;D xsi:type="xsd:double"&gt;404.99&lt;/D&gt;&lt;D xsi:type="xsd:double"&gt;408.68&lt;/D&gt;&lt;D xsi:type="xsd:double"&gt;423.08&lt;/D&gt;&lt;D xsi:type="xsd:double"&gt;423.35&lt;/D&gt;&lt;D xsi:type="xsd:double"&gt;426.93&lt;/D&gt;&lt;D xsi:type="xsd:double"&gt;432.22&lt;/D&gt;&lt;D xsi:type="xsd:double"&gt;437.23&lt;/D&gt;&lt;D xsi:type="xsd:double"&gt;442.49&lt;/D&gt;&lt;D xsi:type="xsd:double"&gt;439.04&lt;/D&gt;&lt;D xsi:type="xsd:double"&gt;437.39&lt;/D&gt;&lt;D xsi:type="xsd:double"&gt;444.93&lt;/D&gt;&lt;D xsi:type="xsd:double"&gt;442.53&lt;/D&gt;&lt;D xsi:type="xsd:double"&gt;444.44&lt;/D&gt;&lt;D xsi:type="xsd:double"&gt;448.98&lt;/D&gt;&lt;D xsi:type="xsd:double"&gt;452.57&lt;/D&gt;&lt;D xsi:type="xsd:double"&gt;457.51&lt;/D&gt;&lt;D xsi:type="xsd:double"&gt;452.05&lt;/D&gt;&lt;D xsi:type="xsd:double"&gt;457.63&lt;/D&gt;&lt;D xsi:type="xsd:double"&gt;456.81&lt;/D&gt;&lt;D xsi:type="xsd:double"&gt;457.67&lt;/D&gt;&lt;D xsi:type="xsd:double"&gt;454.74&lt;/D&gt;&lt;D xsi:type="xsd:double"&gt;461.51&lt;/D&gt;&lt;D xsi:type="xsd:double"&gt;461.74&lt;/D&gt;&lt;D xsi:type="xsd:double"&gt;469.97&lt;/D&gt;&lt;D xsi:type="xsd:double"&gt;475.83&lt;/D&gt;&lt;D xsi:type="xsd:double"&gt;468.8&lt;/D&gt;&lt;D xsi:type="xsd:double"&gt;472.34&lt;/D&gt;&lt;D xsi:type="xsd:double"&gt;471.93&lt;/D&gt;&lt;D xsi:type="xsd:double"&gt;466.34&lt;/D&gt;&lt;D xsi:type="xsd:double"&gt;461.84&lt;/D&gt;&lt;D xsi:type="xsd:double"&gt;463.29&lt;/D&gt;&lt;D xsi:type="xsd:double"&gt;452.9&lt;/D&gt;&lt;D xsi:type="xsd:double"&gt;457.29&lt;/D&gt;&lt;D xsi:type="xsd:double"&gt;469.39&lt;/D&gt;&lt;D xsi:type="xsd:double"&gt;471.88&lt;/D&gt;&lt;D xsi:type="xsd:double"&gt;475.51&lt;/D&gt;&lt;D xsi:type="xsd:double"&gt;483.44&lt;/D&gt;&lt;D xsi:type="xsd:double"&gt;486.75&lt;/D&gt;&lt;D xsi:type="xsd:double"&gt;486.08&lt;/D&gt;&lt;D xsi:type="xsd:double"&gt;464.05&lt;/D&gt;&lt;D xsi:type="xsd:double"&gt;462.77&lt;/D&gt;&lt;D xsi:type="xsd:double"&gt;475.56&lt;/D&gt;&lt;D xsi:type="xsd:double"&gt;473.9&lt;/D&gt;&lt;D xsi:type="xsd:double"&gt;482.51&lt;/D&gt;&lt;D xsi:type="xsd:double"&gt;487.8&lt;/D&gt;&lt;D xsi:type="xsd:double"&gt;486.25&lt;/D&gt;&lt;D xsi:type="xsd:double"&gt;481.16&lt;/D&gt;&lt;D xsi:type="xsd:double"&gt;474.44&lt;/D&gt;&lt;D xsi:type="xsd:double"&gt;465.55&lt;/D&gt;&lt;D xsi:type="xsd:double"&gt;462.15&lt;/D&gt;&lt;D xsi:type="xsd:double"&gt;469.57&lt;/D&gt;&lt;D xsi:type="xsd:double"&gt;460.81&lt;/D&gt;&lt;D xsi:type="xsd:double"&gt;453.53&lt;/D&gt;&lt;D xsi:type="xsd:double"&gt;421.78&lt;/D&gt;&lt;D xsi:type="xsd:double"&gt;431.17&lt;/D&gt;&lt;D xsi:type="xsd:double"&gt;454.6&lt;/D&gt;&lt;D xsi:type="xsd:double"&gt;453.55&lt;/D&gt;&lt;D xsi:type="xsd:double"&gt;458.34&lt;/D&gt;&lt;D xsi:type="xsd:double"&gt;460.97&lt;/D&gt;&lt;D xsi:type="xsd:double"&gt;459.82&lt;/D&gt;&lt;D xsi:type="xsd:double"&gt;453.31&lt;/D&gt;&lt;D xsi:type="xsd:double"&gt;450.39&lt;/D&gt;&lt;D xsi:type="xsd:double"&gt;429.91&lt;/D&gt;&lt;D xsi:type="xsd:double"&gt;433.48&lt;/D&gt;&lt;D xsi:type="xsd:double"&gt;431.1&lt;/D&gt;&lt;D xsi:type="xsd:double"&gt;443.93&lt;/D&gt;&lt;D xsi:type="xsd:double"&gt;440.09&lt;/D&gt;&lt;D xsi:type="xsd:double"&gt;422.71&lt;/D&gt;&lt;D xsi:type="xsd:double"&gt;403.25&lt;/D&gt;&lt;D xsi:type="xsd:double"&gt;412.93&lt;/D&gt;&lt;D xsi:type="xsd:double"&gt;407.13&lt;/D&gt;&lt;D xsi:type="xsd:double"&gt;417.12&lt;/D&gt;&lt;D xsi:type="xsd:double"&gt;413.78&lt;/D&gt;&lt;D xsi:type="xsd:double"&gt;425.71&lt;/D&gt;&lt;D xsi:type="xsd:double"&gt;438.29&lt;/D&gt;&lt;D xsi:type="xsd:double"&gt;435.72&lt;/D&gt;&lt;D xsi:type="xsd:double"&gt;440.87&lt;/D&gt;&lt;D xsi:type="xsd:double"&gt;437.36&lt;/D&gt;&lt;D xsi:type="xsd:double"&gt;426.09&lt;/D&gt;&lt;D xsi:type="xsd:double"&gt;415.97&lt;/D&gt;&lt;D xsi:type="xsd:double"&gt;420.37&lt;/D&gt;&lt;D xsi:type="xsd:double"&gt;408.24&lt;/D&gt;&lt;D xsi:type="xsd:double"&gt;390.4&lt;/D&gt;&lt;D xsi:type="xsd:double"&gt;387.85&lt;/D&gt;&lt;D xsi:type="xsd:double"&gt;391.67&lt;/D&gt;&lt;D xsi:type="xsd:double"&gt;391.31&lt;/D&gt;&lt;D xsi:type="xsd:double"&gt;396.29&lt;/D&gt;&lt;D xsi:type="xsd:double"&gt;410.76&lt;/D&gt;&lt;D xsi:type="xsd:double"&gt;416.98&lt;/D&gt;&lt;D xsi:type="xsd:double"&gt;432.26&lt;/D&gt;&lt;D xsi:type="xsd:double"&gt;433.33&lt;/D&gt;&lt;D xsi:type="xsd:double"&gt;440.73&lt;/D&gt;&lt;D xsi:type="xsd:double"&gt;443.29&lt;/D&gt;&lt;D xsi:type="xsd:double"&gt;439.13&lt;/D&gt;&lt;D xsi:type="xsd:double"&gt;424.74&lt;/D&gt;&lt;D xsi:type="xsd:double"&gt;427.45&lt;/D&gt;&lt;D xsi:type="xsd:double"&gt;424.89&lt;/D&gt;&lt;D xsi:type="xsd:double"&gt;444.42&lt;/D&gt;&lt;D xsi:type="xsd:double"&gt;452.54&lt;/D&gt;&lt;D xsi:type="xsd:double"&gt;452.12&lt;/D&gt;&lt;D xsi:type="xsd:double"&gt;455.17&lt;/D&gt;&lt;D xsi:type="xsd:double"&gt;460.77&lt;/D&gt;&lt;D xsi:type="xsd:double"&gt;457.89&lt;/D&gt;&lt;D xsi:type="xsd:double"&gt;464.3&lt;/D&gt;&lt;D xsi:type="xsd:double"&gt;457.7&lt;/D&gt;&lt;D xsi:type="xsd:double"&gt;464.26&lt;/D&gt;&lt;D xsi:type="xsd:double"&gt;453.76&lt;/D&gt;&lt;D xsi:type="xsd:double"&gt;436.31&lt;/D&gt;&lt;D xsi:type="xsd:double"&gt;440.11&lt;/D&gt;&lt;D xsi:type="xsd:double"&gt;457.84&lt;/D&gt;&lt;D xsi:type="xsd:double"&gt;458.94&lt;/D&gt;&lt;D xsi:type="xsd:double"&gt;466.91&lt;/D&gt;&lt;D xsi:type="xsd:double"&gt;469&lt;/D&gt;&lt;D xsi:type="xsd:double"&gt;466.64&lt;/D&gt;&lt;D xsi:type="xsd:double"&gt;465.31&lt;/D&gt;&lt;D xsi:type="xsd:double"&gt;465.49&lt;/D&gt;&lt;D xsi:type="xsd:double"&gt;468.85&lt;/D&gt;&lt;D xsi:type="xsd:double"&gt;461.41&lt;/D&gt;&lt;D xsi:type="xsd:double"&gt;462.15&lt;/D&gt;&lt;D xsi:type="xsd:double"&gt;460.01&lt;/D&gt;&lt;D xsi:type="xsd:double"&gt;466.8&lt;/D&gt;&lt;D xsi:type="xsd:double"&gt;453.14&lt;/D&gt;&lt;D xsi:type="xsd:double"&gt;461.93&lt;/D&gt;&lt;D xsi:type="xsd:double"&gt;447.65&lt;/D&gt;&lt;D xsi:type="xsd:double"&gt;460.83&lt;/D&gt;&lt;D xsi:type="xsd:double"&gt;465.4&lt;/D&gt;&lt;D xsi:type="xsd:double"&gt;470.78&lt;/D&gt;&lt;D xsi:type="xsd:double"&gt;459.28&lt;/D&gt;&lt;D xsi:type="xsd:double"&gt;459.17&lt;/D&gt;&lt;D xsi:type="xsd:double"&gt;448.44&lt;/D&gt;&lt;D xsi:type="xsd:double"&gt;451.39&lt;/D&gt;&lt;D xsi:type="xsd:double"&gt;458.13&lt;/D&gt;&lt;D xsi:type="xsd:double"&gt;454.66&lt;/D&gt;&lt;D xsi:type="xsd:double"&gt;461.93&lt;/D&gt;&lt;D xsi:type="xsd:double"&gt;453.26&lt;/D&gt;&lt;D xsi:type="xsd:double"&gt;450.22&lt;/D&gt;&lt;D xsi:type="xsd:double"&gt;444.93&lt;/D&gt;&lt;D xsi:type="xsd:double"&gt;449.18&lt;/D&gt;&lt;D xsi:type="xsd:double"&gt;433.73&lt;/D&gt;&lt;D xsi:type="xsd:double"&gt;429.58&lt;/D&gt;&lt;D xsi:type="xsd:double"&gt;444.24&lt;/D&gt;&lt;D xsi:type="xsd:double"&gt;443.31&lt;/D&gt;&lt;D xsi:type="xsd:double"&gt;455.82&lt;/D&gt;&lt;D xsi:type="xsd:double"&gt;459.98&lt;/D&gt;&lt;D xsi:type="xsd:double"&gt;466.2&lt;/D&gt;&lt;D xsi:type="xsd:double"&gt;472.26&lt;/D&gt;&lt;D xsi:type="xsd:double"&gt;476.61&lt;/D&gt;&lt;D xsi:type="xsd:double"&gt;477.6&lt;/D&gt;&lt;D xsi:type="xsd:double"&gt;478.99&lt;/D&gt;&lt;D xsi:type="xsd:double"&gt;476.38&lt;/D&gt;&lt;D xsi:type="xsd:double"&gt;476.76&lt;/D&gt;&lt;D xsi:type="xsd:double"&gt;469.24&lt;/D&gt;&lt;D xsi:type="xsd:double"&gt;483.84&lt;/D&gt;&lt;D xsi:type="xsd:double"&gt;483.93&lt;/D&gt;&lt;D xsi:type="xsd:double"&gt;484.83&lt;/D&gt;&lt;D xsi:type="xsd:double"&gt;491.59&lt;/D&gt;&lt;D xsi:type="xsd:double"&gt;497.25&lt;/D&gt;&lt;D xsi:type="xsd:double"&gt;497.58&lt;/D&gt;&lt;D xsi:type="xsd:double"&gt;503.26&lt;/D&gt;&lt;D xsi:type="xsd:double"&gt;504.8&lt;/D&gt;&lt;D xsi:type="xsd:double"&gt;509.64&lt;/D&gt;&lt;D xsi:type="xsd:double"&gt;512.67&lt;/D&gt;&lt;D xsi:type="xsd:double"&gt;506.55&lt;/D&gt;&lt;D xsi:type="xsd:double"&gt;505.25&lt;/D&gt;&lt;D xsi:type="xsd:double"&gt;499.29&lt;/D&gt;&lt;D xsi:type="xsd:double"&gt;507.98&lt;/D&gt;&lt;D xsi:type="xsd:double"&gt;505.53&lt;/D&gt;&lt;D xsi:type="xsd:double"&gt;520.76&lt;/D&gt;&lt;D xsi:type="xsd:double"&gt;522.94&lt;/D&gt;&lt;D xsi:type="xsd:double"&gt;520.57&lt;/D&gt;&lt;D xsi:type="xsd:double"&gt;518.17&lt;/D&gt;&lt;D xsi:type="xsd:double"&gt;523.55&lt;/D&gt;&lt;D xsi:type="xsd:double"&gt;511.05&lt;/D&gt;&lt;D xsi:type="xsd:double"&gt;515.11&lt;/D&gt;&lt;D xsi:type="xsd:double"&gt;511.42&lt;/D&gt;&lt;D xsi:type="xsd:double"&gt;516.6&lt;/D&gt;&lt;D xsi:type="xsd:double"&gt;524.08&lt;/D&gt;&lt;D xsi:type="xsd:double"&gt;510.03&lt;/D&gt;&lt;D xsi:type="xsd:double"&gt;512.83&lt;/D&gt;&lt;D xsi:type="xsd:double"&gt;497.85&lt;/D&gt;&lt;D xsi:type="xsd:double"&gt;499.19&lt;/D&gt;&lt;D xsi:type="xsd:double"&gt;511.45&lt;/D&gt;&lt;D xsi:type="xsd:double"&gt;518.13&lt;/D&gt;&lt;D xsi:type="xsd:double"&gt;525.05&lt;/D&gt;&lt;D xsi:type="xsd:double"&gt;506.56&lt;/D&gt;&lt;D xsi:type="xsd:double"&gt;515.95&lt;/D&gt;&lt;D xsi:type="xsd:double"&gt;514.26&lt;/D&gt;&lt;D xsi:type="xsd:double"&gt;528.08&lt;/D&gt;&lt;D xsi:type="xsd:double"&gt;518.56&lt;/D&gt;&lt;D xsi:type=</t>
        </r>
      </text>
    </comment>
    <comment ref="A13" authorId="0" shapeId="0" xr:uid="{00000000-0006-0000-0000-00000D000000}">
      <text>
        <r>
          <rPr>
            <sz val="11"/>
            <color theme="1"/>
            <rFont val="맑은 고딕"/>
            <family val="2"/>
            <charset val="129"/>
            <scheme val="minor"/>
          </rPr>
          <t>"xsd:double"&gt;521.98&lt;/D&gt;&lt;D xsi:type="xsd:double"&gt;524.99&lt;/D&gt;&lt;D xsi:type="xsd:double"&gt;518.81&lt;/D&gt;&lt;D xsi:type="xsd:double"&gt;510.9&lt;/D&gt;&lt;D xsi:type="xsd:double"&gt;506.63&lt;/D&gt;&lt;D xsi:type="xsd:double"&gt;503.12&lt;/D&gt;&lt;D xsi:type="xsd:double"&gt;508.47&lt;/D&gt;&lt;D xsi:type="xsd:double"&gt;510.25&lt;/D&gt;&lt;D xsi:type="xsd:double"&gt;520.47&lt;/D&gt;&lt;D xsi:type="xsd:double"&gt;516.45&lt;/D&gt;&lt;D xsi:type="xsd:double"&gt;502.19&lt;/D&gt;&lt;D xsi:type="xsd:double"&gt;507.18&lt;/D&gt;&lt;D xsi:type="xsd:double"&gt;508.19&lt;/D&gt;&lt;D xsi:type="xsd:double"&gt;511.5&lt;/D&gt;&lt;D xsi:type="xsd:double"&gt;523.62&lt;/D&gt;&lt;D xsi:type="xsd:double"&gt;530.07&lt;/D&gt;&lt;D xsi:type="xsd:double"&gt;539.53&lt;/D&gt;&lt;D xsi:type="xsd:double"&gt;542.75&lt;/D&gt;&lt;D xsi:type="xsd:double"&gt;552.41&lt;/D&gt;&lt;D xsi:type="xsd:double"&gt;553.85&lt;/D&gt;&lt;D xsi:type="xsd:double"&gt;557.19&lt;/D&gt;&lt;D xsi:type="xsd:double"&gt;553.35&lt;/D&gt;&lt;D xsi:type="xsd:double"&gt;546.6&lt;/D&gt;&lt;D xsi:type="xsd:double"&gt;549.67&lt;/D&gt;&lt;D xsi:type="xsd:double"&gt;542.1&lt;/D&gt;&lt;D xsi:type="xsd:double"&gt;496.33&lt;/D&gt;&lt;D xsi:type="xsd:double"&gt;486.8&lt;/D&gt;&lt;D xsi:type="xsd:double"&gt;506.42&lt;/D&gt;&lt;D xsi:type="xsd:double"&gt;520.45&lt;/D&gt;&lt;D xsi:type="xsd:double"&gt;536.43&lt;/D&gt;&lt;D xsi:type="xsd:double"&gt;537.96&lt;/D&gt;&lt;D xsi:type="xsd:double"&gt;549.26&lt;/D&gt;&lt;D xsi:type="xsd:double"&gt;545.13&lt;/D&gt;&lt;D xsi:type="xsd:double"&gt;548.67&lt;/D&gt;&lt;D xsi:type="xsd:double"&gt;553.64&lt;/D&gt;&lt;D xsi:type="xsd:double"&gt;544.94&lt;/D&gt;&lt;D xsi:type="xsd:double"&gt;536.53&lt;/D&gt;&lt;D xsi:type="xsd:double"&gt;543.63&lt;/D&gt;&lt;D xsi:type="xsd:double"&gt;541.13&lt;/D&gt;&lt;D xsi:type="xsd:double"&gt;547.34&lt;/D&gt;&lt;D xsi:type="xsd:double"&gt;547&lt;/D&gt;&lt;D xsi:type="xsd:double"&gt;549.95&lt;/D&gt;&lt;D xsi:type="xsd:double"&gt;535.79&lt;/D&gt;&lt;D xsi:type="xsd:double"&gt;547.08&lt;/D&gt;&lt;D xsi:type="xsd:double"&gt;553.56&lt;/D&gt;&lt;D xsi:type="xsd:double"&gt;561.3&lt;/D&gt;&lt;D xsi:type="xsd:double"&gt;550.14&lt;/D&gt;&lt;D xsi:type="xsd:double"&gt;549.21&lt;/D&gt;&lt;D xsi:type="xsd:double"&gt;554.84&lt;/D&gt;&lt;D xsi:type="xsd:double"&gt;554.12&lt;/D&gt;&lt;D xsi:type="xsd:double"&gt;554.52&lt;/D&gt;&lt;D xsi:type="xsd:double"&gt;570.45&lt;/D&gt;&lt;D xsi:type="xsd:double"&gt;564.16&lt;/D&gt;&lt;D xsi:type="xsd:double"&gt;566.24&lt;/D&gt;&lt;D xsi:type="xsd:double"&gt;575.76&lt;/D&gt;&lt;D xsi:type="xsd:double"&gt;571.89&lt;/D&gt;&lt;D xsi:type="xsd:double"&gt;564.79&lt;/D&gt;&lt;D xsi:type="xsd:double"&gt;574.81&lt;/D&gt;&lt;D xsi:type="xsd:double"&gt;562.1&lt;/D&gt;&lt;D xsi:type="xsd:double"&gt;576.43&lt;/D&gt;&lt;D xsi:type="xsd:double"&gt;578.77&lt;/D&gt;&lt;D xsi:type="xsd:double"&gt;578.24&lt;/D&gt;&lt;D xsi:type="xsd:double"&gt;587.5&lt;/D&gt;&lt;D xsi:type="xsd:double"&gt;588.7&lt;/D&gt;&lt;D xsi:type="xsd:double"&gt;596.14&lt;/D&gt;&lt;D xsi:type="xsd:double"&gt;609.67&lt;/D&gt;&lt;D xsi:type="xsd:double"&gt;614.38&lt;/D&gt;&lt;D xsi:type="xsd:double"&gt;608.34&lt;/D&gt;&lt;D xsi:type="xsd:double"&gt;611&lt;/D&gt;&lt;D xsi:type="xsd:double"&gt;617.12&lt;/D&gt;&lt;D xsi:type="xsd:double"&gt;617.7&lt;/D&gt;&lt;D xsi:type="xsd:double"&gt;630.56&lt;/D&gt;&lt;/FQL&gt;&lt;FQL&gt;&lt;Q&gt;180458^P_PRICE(1/4/2019,NOW,W)&lt;/Q&gt;&lt;R&gt;373&lt;/R&gt;&lt;C&gt;1&lt;/C&gt;&lt;D xsi:type="xsd:double"&gt;25626.03&lt;/D&gt;&lt;D xsi:type="xsd:double"&gt;26667.27&lt;/D&gt;&lt;D xsi:type="xsd:double"&gt;27090.81&lt;/D&gt;&lt;D xsi:type="xsd:double"&gt;27569.19&lt;/D&gt;&lt;D xsi:type="xsd:double"&gt;27930.74&lt;/D&gt;&lt;D xsi:type="xsd:double"&gt;27946.32&lt;/D&gt;&lt;D xsi:type="xsd:double"&gt;27900.84&lt;/D&gt;&lt;D xsi:type="xsd:double"&gt;28816.3&lt;/D&gt;&lt;D xsi:type="xsd:double"&gt;28812.17&lt;/D&gt;&lt;D xsi:type="xsd:double"&gt;28228.42&lt;/D&gt;&lt;D xsi:type="xsd:double"&gt;29012.26&lt;/D&gt;&lt;D xsi:type="xsd:double"&gt;29113.36&lt;/D&gt;&lt;D xsi:type="xsd:double"&gt;29051.36&lt;/D&gt;&lt;D xsi:type="xsd:double"&gt;29936.32&lt;/D&gt;&lt;D xsi:type="xsd:double"&gt;29909.76&lt;/D&gt;&lt;D xsi:type="xsd:double"&gt;29963.26&lt;/D&gt;&lt;D xsi:type="xsd:double"&gt;29605.01&lt;/D&gt;&lt;D xsi:type="xsd:double"&gt;30081.55&lt;/D&gt;&lt;D xsi:type="xsd:double"&gt;28550.24&lt;/D&gt;&lt;D xsi:type="xsd:double"&gt;27946.46&lt;/D&gt;&lt;D xsi:type="xsd:double"&gt;27353.93&lt;/D&gt;&lt;D xsi:type="xsd:double"&gt;26901.09&lt;/D&gt;&lt;D xsi:type="xsd:double"&gt;26965.28&lt;/D&gt;&lt;D xsi:type="xsd:double"&gt;27118.35&lt;/D&gt;&lt;D xsi:type="xsd:double"&gt;28473.71&lt;/D&gt;&lt;D xsi:type="xsd:double"&gt;28542.62&lt;/D&gt;&lt;D xsi:type="xsd:double"&gt;28774.83&lt;/D&gt;&lt;D xsi:type="xsd:double"&gt;28471.62&lt;/D&gt;&lt;D xsi:type="xsd:double"&gt;28765.4&lt;/D&gt;&lt;D xsi:type="xsd:double"&gt;28397.74&lt;/D&gt;&lt;D xsi:type="xsd:double"&gt;26918.58&lt;/D&gt;&lt;D xsi:type="xsd:double"&gt;25939.3&lt;/D&gt;&lt;D xsi:type="xsd:double"&gt;25734.22&lt;/D&gt;&lt;D xsi:type="xsd:double"&gt;26179.33&lt;/D&gt;&lt;D xsi:type="xsd:double"&gt;25724.73&lt;/D&gt;&lt;D xsi:type="xsd:double"&gt;26690.76&lt;/D&gt;&lt;D xsi:type="xsd:double"&gt;27352.69&lt;/D&gt;&lt;D xsi:type="xsd:double"&gt;26435.67&lt;/D&gt;&lt;D xsi:type="xsd:double"&gt;25954.81&lt;/D&gt;&lt;D xsi:type="xsd:double"&gt;25821.03&lt;/D&gt;&lt;D xsi:type="xsd:double"&gt;26308.44&lt;/D&gt;&lt;D xsi:type="xsd:double"&gt;26719.58&lt;/D&gt;&lt;D xsi:type="xsd:double"&gt;26667.39&lt;/D&gt;&lt;D xsi:type="xsd:double"&gt;27100.76&lt;/D&gt;&lt;D xsi:type="xsd:double"&gt;27651.14&lt;/D&gt;&lt;D xsi:type="xsd:double"&gt;26326.66&lt;/D&gt;&lt;D xsi:type="xsd:double"&gt;26595.08&lt;/D&gt;&lt;D xsi:type="xsd:double"&gt;26346.49&lt;/D&gt;&lt;D xsi:type="xsd:double"&gt;26498.37&lt;/D&gt;&lt;D xsi:type="xsd:double"&gt;27687.76&lt;/D&gt;&lt;D xsi:type="xsd:double"&gt;27871.35&lt;/D&gt;&lt;D xsi:type="xsd:double"&gt;28225.42&lt;/D&gt;&lt;D xsi:type="xsd:double"&gt;28451.5&lt;/D&gt;&lt;D xsi:type="xsd:double"&gt;28638.2&lt;/D&gt;&lt;D xsi:type="xsd:double"&gt;29056.42&lt;/D&gt;&lt;D xsi:type="xsd:double"&gt;27949.64&lt;/D&gt;&lt;D xsi:type="xsd:double"&gt;26312.63&lt;/D&gt;&lt;D xsi:type="xsd:double"&gt;27404.27&lt;/D&gt;&lt;D xsi:type="xsd:double"&gt;27815.6&lt;/D&gt;&lt;D xsi:type="xsd:double"&gt;27308.81&lt;/D&gt;&lt;D xsi:type="xsd:double"&gt;26129.93&lt;/D&gt;&lt;D xsi:type="xsd:double"&gt;26146.67&lt;/D&gt;&lt;D xsi:type="xsd:double"&gt;24032.91&lt;/D&gt;&lt;D xsi:type="xsd:double"&gt;22805.07&lt;/D&gt;&lt;D xsi:type="xsd:double"&gt;23484.28&lt;/D&gt;&lt;D xsi:type="xsd:double"&gt;23236.11&lt;/D&gt;&lt;D xsi:type="xsd:double"&gt;24300.33&lt;/D&gt;&lt;D xsi:type="xsd:double"&gt;24380&lt;/D&gt;&lt;D xsi:type="xsd:double"&gt;23831.33&lt;/D&gt;&lt;D xsi:type="xsd:double"&gt;24643.59&lt;/D&gt;&lt;D xsi:type="xsd:double"&gt;24230.17&lt;/D&gt;&lt;D xsi:type="xsd:double"&gt;23797.47&lt;/D&gt;&lt;D xsi:type="xsd:double"&gt;22930.14&lt;/D&gt;&lt;D xsi:type="xsd:double"&gt;22961.47&lt;/D&gt;&lt;D xsi:type="xsd:double"&gt;24770.41&lt;/D&gt;&lt;D xsi:type="xsd:double"&gt;24301.38&lt;/D&gt;&lt;D xsi:type="xsd:double"&gt;24643.89&lt;/D&gt;&lt;D xsi:type="xsd:double"&gt;24549.99&lt;/D&gt;&lt;D xsi:type="xsd:double"&gt;25373.12&lt;/D&gt;&lt;D xsi:type="xsd:double"&gt;25727.41&lt;/D&gt;&lt;D xsi:type="xsd:double"&gt;25089.17&lt;/D&gt;&lt;D xsi:type="xsd:double"&gt;24705.33&lt;/D&gt;&lt;D xsi:type="xsd:double"&gt;24595.35&lt;/D&gt;&lt;D xsi:type="xsd:double"&gt;24531.62&lt;/D&gt;&lt;D xsi:type="xsd:double"&gt;25183.01&lt;/D&gt;&lt;D xsi:type="xsd:double"&gt;25113.84&lt;/D&gt;&lt;D xsi:type="xsd:double"&gt;25422.06&lt;/D&gt;&lt;D xsi:type="xsd:double"&gt;24695.45&lt;/D&gt;&lt;D xsi:type="xsd:double"&gt;24503.31&lt;/D&gt;&lt;D xsi:type="xsd:double"&gt;24455.41&lt;/D&gt;&lt;D xsi:type="xsd:double"&gt;23235.42&lt;/D&gt;&lt;D xsi:type="xsd:double"&gt;23459.05&lt;/D&gt;&lt;D xsi:type="xsd:double"&gt;24119.13&lt;/D&gt;&lt;D xsi:type="xsd:double"&gt;24386.79&lt;/D&gt;&lt;D xsi:type="xsd:double"&gt;24918.78&lt;/D&gt;&lt;D xsi:type="xsd:double"&gt;24107.42&lt;/D&gt;&lt;D xsi:type="xsd:double"&gt;25712.97&lt;/D&gt;&lt;D xsi:type="xsd:double"&gt;26156.86&lt;/D&gt;&lt;D xsi:type="xsd:double"&gt;26451.54&lt;/D&gt;&lt;D xsi:type="xsd:double"&gt;26894.68&lt;/D&gt;&lt;D xsi:type="xsd:double"&gt;26835.92&lt;/D&gt;&lt;D xsi:type="xsd:double"&gt;26505.87&lt;/D&gt;&lt;D xsi:type="xsd:double"&gt;26498.6&lt;/D&gt;&lt;D xsi:type="xsd:double"&gt;26386.56&lt;/D&gt;&lt;D xsi:type="xsd:double"&gt;27231.13&lt;/D&gt;&lt;D xsi:type="xsd:double"&gt;27878.22&lt;/D&gt;&lt;D xsi:type="xsd:double"&gt;28573.86&lt;/D&gt;&lt;D xsi:type="xsd:double"&gt;29447.85&lt;/D&gt;&lt;D xsi:type="xsd:double"&gt;28283.71&lt;/D&gt;&lt;D xsi:type="xsd:double"&gt;29288.68&lt;/D&gt;&lt;D xsi:type="xsd:double"&gt;30173.57&lt;/D&gt;&lt;D xsi:type="xsd:double"&gt;30644.73&lt;/D&gt;&lt;D xsi:type="xsd:double"&gt;28980.21&lt;/D&gt;&lt;D xsi:type="xsd:double"&gt;29098.29&lt;/D&gt;&lt;D xsi:type="xsd:double"&gt;28739.72&lt;/D&gt;&lt;D xsi:type="xsd:double"&gt;28990.94&lt;/D&gt;&lt;D xsi:type="xsd:double"&gt;28336.43&lt;/D&gt;&lt;D xsi:type="xsd:double"&gt;28938.74&lt;/D&gt;&lt;D xsi:type="xsd:double"&gt;28698.8&lt;/D&gt;&lt;D xsi:type="xsd:double"&gt;28969.71&lt;/D&gt;&lt;D xsi:type="xsd:double"&gt;29078.75&lt;/D&gt;&lt;D xsi:type="xsd:double"&gt;28724.88&lt;/D&gt;&lt;D xsi:type="xsd:double"&gt;28610.65&lt;/D&gt;&lt;D xsi:type="xsd:double"&gt;28027.57&lt;/D&gt;&lt;D xsi:type="xsd:double"&gt;28458.44&lt;/D&gt;&lt;D xsi:type="xsd:double"&gt;29124.41&lt;/D&gt;&lt;D xsi:type="xsd:double"&gt;28918.1&lt;/D&gt;&lt;D xsi:type="xsd:double"&gt;28842.13&lt;/D&gt;&lt;D xsi:type="xsd:double"&gt;28801.27&lt;/D&gt;&lt;D xsi:type="xsd:double"&gt;29288.22&lt;/D&gt;&lt;D xsi:type="xsd:double"&gt;28310.42&lt;/D&gt;&lt;D xsi:type="xsd:double"&gt;27344.54&lt;/D&gt;&lt;D xsi:type="xsd:double"&gt;28004.68&lt;/D&gt;&lt;D xsi:type="xsd:double"&gt;27321.98&lt;/D&gt;&lt;D xsi:type="xsd:double"&gt;25961.03&lt;/D&gt;&lt;D xsi:type="xsd:double"&gt;26179.4&lt;/D&gt;&lt;D xsi:type="xsd:double"&gt;26391.62&lt;/D&gt;&lt;D xsi:type="xsd:double"&gt;24849.72&lt;/D&gt;&lt;D xsi:type="xsd:double"&gt;25407.89&lt;/D&gt;&lt;D xsi:type="xsd:double"&gt;25901.99&lt;/D&gt;&lt;D xsi:type="xsd:double"&gt;26205.91&lt;/D&gt;&lt;D xsi:type="xsd:double"&gt;24920.76&lt;/D&gt;&lt;D xsi:type="xsd:double"&gt;24192.16&lt;/D&gt;&lt;D xsi:type="xsd:double"&gt;24575.64&lt;/D&gt;&lt;D xsi:type="xsd:double"&gt;24837.85&lt;/D&gt;&lt;D xsi:type="xsd:double"&gt;25330.96&lt;/D&gt;&lt;D xsi:type="xsd:double"&gt;26126.93&lt;/D&gt;&lt;D xsi:type="xsd:double"&gt;25377.24&lt;/D&gt;&lt;D xsi:type="xsd:double"&gt;24870.51&lt;/D&gt;&lt;D xsi:type="xsd:double"&gt;25327.97&lt;/D&gt;&lt;D xsi:type="xsd:double"&gt;25049.97&lt;/D&gt;&lt;D xsi:type="xsd:double"&gt;24080.52&lt;/D&gt;&lt;D xsi:type="xsd:double"&gt;23766.69&lt;/D&gt;&lt;D xsi:type="xsd:double"&gt;23995.72&lt;/D&gt;&lt;D xsi:type="xsd:double"&gt;23192.63&lt;/D&gt;&lt;D xsi:type="xsd:double"&gt;23223.76&lt;/D&gt;&lt;D xsi:type="xsd:double"&gt;23397.67&lt;/D&gt;&lt;D xsi:type="xsd:double"&gt;23493.38&lt;/D&gt;&lt;D xsi:type="xsd:double"&gt;24383.32&lt;/D&gt;&lt;D xsi:type="xsd:double"&gt;24965.55&lt;/D&gt;&lt;D xsi:type="xsd:double"&gt;23550.08&lt;/D&gt;&lt;D xsi:type="xsd:double"&gt;24573.29&lt;/D&gt;&lt;D xsi:type="xsd:double"&gt;24906.66&lt;/D&gt;&lt;D xsi:type="xsd:double"&gt;24327.71&lt;/D&gt;&lt;D xsi:type="xsd:double"&gt;22767.18&lt;/D&gt;&lt;D xsi:type="xsd:double"&gt;21905.29&lt;/D&gt;&lt;D xsi:type="xsd:double"&gt;20553.79&lt;/D&gt;&lt;D xsi:type="xsd:double"&gt;21412.4&lt;/D&gt;&lt;D xsi:type="xsd:double"&gt;21404.88&lt;/D&gt;&lt;D xsi:type="xsd:double"&gt;22039.55&lt;/D&gt;&lt;D xsi:type="xsd:double"&gt;21872.01&lt;/D&gt;&lt;D xsi:type="xsd:double"&gt;21518.08&lt;/D&gt;&lt;D xsi:type="xsd:double"&gt;20638.52&lt;/D&gt;&lt;D xsi:type="xsd:double"&gt;21089.39&lt;/D&gt;&lt;D xsi:type="xsd:double"&gt;20001.96&lt;/D&gt;&lt;D xsi:type="xsd:double"&gt;19898.77&lt;/D&gt;&lt;D xsi:type="xsd:double"&gt;20717.24&lt;/D&gt;&lt;D xsi:type="xsd:double"&gt;20697.36&lt;/D&gt;&lt;D xsi:type="xsd:double"&gt;21082.13&lt;/D&gt;&lt;D xsi:type="xsd:double"&gt;21806.18&lt;/D&gt;&lt;D xsi:type="xsd:double"&gt;21075&lt;/D&gt;&lt;D xsi:type="xsd:double"&gt;21719.06&lt;/D&gt;&lt;D xsi:type="xsd:double"&gt;21859.79&lt;/D&gt;&lt;D xsi:type="xsd:double"&gt;21725.78&lt;/D&gt;&lt;D xsi:type="xsd:double"&gt;20297.72&lt;/D&gt;&lt;D xsi:type="xsd:double"&gt;20609.14&lt;/D&gt;&lt;D xsi:type="xsd:double"&gt;20156.51&lt;/D&gt;&lt;D xsi:type="xsd:double"&gt;20201.94&lt;/D&gt;&lt;D xsi:type="xsd:double"&gt;20175.62&lt;/D&gt;&lt;D xsi:type="xsd:double"&gt;19773.03&lt;/D&gt;&lt;D xsi:type="xsd:double"&gt;20170.04&lt;/D&gt;&lt;D xsi:type="xsd:double"&gt;19452.09&lt;/D&gt;&lt;D xsi:type="xsd:double"&gt;19362.25&lt;/D&gt;&lt;D xsi:type="xsd:double"&gt;18761.69&lt;/D&gt;&lt;D xsi:type="xsd:double"&gt;17933.27&lt;/D&gt;&lt;D xsi:type="xsd:double"&gt;17222.83&lt;/D&gt;&lt;D xsi:type="xsd:double"&gt;17740.05&lt;/D&gt;&lt;D xsi:type="xsd:double"&gt;16587.69&lt;/D&gt;&lt;D xsi:type="xsd:double"&gt;16211.12&lt;/D&gt;&lt;D xsi:type="xsd:double"&gt;14863.06&lt;/D&gt;&lt;D xsi:type="xsd:double"&gt;16161.14&lt;/D&gt;&lt;D xsi:type="xsd:double"&gt;17325.66&lt;/D&gt;&lt;D xsi:type="xsd:double"&gt;17992.54&lt;/D&gt;&lt;D xsi:type="xsd:double"&gt;17573.58&lt;/D&gt;&lt;D xsi:type="xsd:double"&gt;18675.35&lt;/D&gt;&lt;D xsi:type="xsd:double"&gt;19900.87&lt;/D&gt;&lt;D xsi:type="xsd:double"&gt;19450.67&lt;/D&gt;&lt;D xsi:type="xsd:double"&gt;19593.06&lt;/D&gt;&lt;D xsi:type="xsd:double"&gt;19781.41&lt;/D&gt;&lt;D xsi:type="xsd:double"&gt;20991.64&lt;/D&gt;&lt;D xsi:type="xsd:double"&gt;21738.66&lt;/D&gt;&lt;D xsi:type="xsd:double"&gt;22044.65&lt;/D&gt;&lt;D xsi:type="xsd:double"&gt;22688.9&lt;/D&gt;&lt;D xsi:type="xsd:double"&gt;21660.47&lt;/D&gt;&lt;D xsi:type="xsd:double"&gt;21190.42&lt;/D&gt;&lt;D xsi:type="xsd:double"&gt;20719.81&lt;/D&gt;&lt;D xsi:type="xsd:double"&gt;20010.04&lt;/D&gt;&lt;D xsi:type="xsd:double"&gt;20567.54&lt;/D&gt;&lt;D xsi:type="xsd:double"&gt;19319.92&lt;/D&gt;&lt;D xsi:type="xsd:double"&gt;19518.59&lt;/D&gt;&lt;D xsi:type="xsd:double"&gt;19915.68&lt;/D&gt;&lt;D xsi:type="xsd:double"&gt;20400.11&lt;/D&gt;&lt;D xsi:type="xsd:double"&gt;20331.2&lt;/D&gt;&lt;D xsi:type="xsd:double"&gt;20438.81&lt;/D&gt;&lt;D xsi:type="xsd:double"&gt;20075.73&lt;/D&gt;&lt;D xsi:type="xsd:double"&gt;19894.57&lt;/D&gt;&lt;D xsi:type="xsd:double"&gt;20049.31&lt;/D&gt;&lt;D xsi:type="xsd:double"&gt;19627.24&lt;/D&gt;&lt;D xsi:type="xsd:double"&gt;19450.57&lt;/D&gt;&lt;D xsi:type="xsd:double"&gt;18746.92&lt;/D&gt;&lt;D xsi:type="xsd:double"&gt;18949.94&lt;/D&gt;&lt;D xsi:type="xsd:double"&gt;19389.95&lt;/D&gt;&lt;D xsi:type="xsd:double"&gt;20040.37&lt;/D&gt;&lt;D xsi:type="xsd:double"&gt;18889.97&lt;/D&gt;&lt;D xsi:type="xsd:double"&gt;18916.43&lt;/D&gt;&lt;D xsi:type="xsd:double"&gt;18365.7&lt;/D&gt;&lt;D xsi:type="xsd:double"&gt;19413.78&lt;/D&gt;&lt;D xsi:type="xsd:double"&gt;19075.26&lt;/D&gt;&lt;D xsi:type="xsd:double"&gt;19916.56&lt;/D&gt;&lt;D xsi:type="xsd:double"&gt;19539.46&lt;/D&gt;&lt;D xsi:type="xsd:double"&gt;19075.19&lt;/D&gt;&lt;D xsi:type="xsd:double"&gt;17950.85&lt;/D&gt;&lt;D xsi:type="xsd:double"&gt;17956.38&lt;/D&gt;&lt;D xsi:type="xsd:double"&gt;18382.06&lt;/D&gt;&lt;D xsi:type="xsd:double"&gt;18202.07&lt;/D&gt;&lt;D xsi:type="xsd:double"&gt;18182.89&lt;/D&gt;&lt;D xsi:type="xsd:double"&gt;18057.45&lt;/D&gt;&lt;D xsi:type="xsd:double"&gt;17809.66&lt;/D&gt;&lt;D xsi:type="xsd:double"&gt;17485.98&lt;/D&gt;&lt;D xsi:type="xsd:double"&gt;17813.45&lt;/D&gt;&lt;D xsi:type="xsd:double"&gt;17172.13&lt;/D&gt;&lt;D xsi:type="xsd:double"&gt;17398.73&lt;/D&gt;&lt;D xsi:type="xsd:double"&gt;17664.12&lt;/D&gt;&lt;D xsi:type="xsd:double"&gt;17203.26&lt;/D&gt;&lt;D xsi:type="xsd:double"&gt;17454.19&lt;/D&gt;&lt;D xsi:type="xsd:double"&gt;17559.42&lt;/D&gt;&lt;D xsi:type="xsd:double"&gt;16830.3&lt;/D&gt;&lt;D xsi:type="xsd:double"&gt;16334.37&lt;/D&gt;&lt;D xsi:type="xsd:double"&gt;16792.19&lt;/D&gt;&lt;D xsi:type="xsd:double"&gt;16340.41&lt;/D&gt;&lt;D xsi:type="xsd:double"&gt;17047.39&lt;/D&gt;&lt;D xsi:type="xsd:double"&gt;16535.33&lt;/D&gt;&lt;D xsi:type="xsd:double"&gt;16244.58&lt;/D&gt;&lt;D xsi:type="xsd:double"&gt;15308.69&lt;/D&gt;&lt;D xsi:type="xsd:double"&gt;15952.23&lt;/D&gt;&lt;D xsi:type="xsd:double"&gt;15533.56&lt;/D&gt;&lt;D xsi:type="xsd:double"&gt;15746.58&lt;/D&gt;&lt;D xsi:type="xsd:double"&gt;16339.96&lt;/D&gt;&lt;D xsi:type="xsd:double"&gt;16725.86&lt;/D&gt;&lt;D xsi:type="xsd:double"&gt;16589.44&lt;/D&gt;&lt;D xsi:type="xsd:double"&gt;16353.39&lt;/D&gt;&lt;D xsi:type="xsd:double"&gt;16720.89&lt;/D&gt;&lt;D xsi:type="xsd:double"&gt;16499.47&lt;/D&gt;&lt;D xsi:type="xsd:double"&gt;16541.42&lt;/D&gt;&lt;D xsi:type="xsd:double"&gt;16723.92&lt;/D&gt;&lt;D xsi:type="xsd:double"&gt;16721.69&lt;/D&gt;&lt;D xsi:type="xsd:double"&gt;16224.14&lt;/D&gt;&lt;D xsi:type="xsd:double"&gt;17651.15&lt;/D&gt;&lt;D xsi:type="xsd:double"&gt;18475.92&lt;/D&gt;&lt;D xsi:type="xsd:double"&gt;18963.68&lt;/D&gt;&lt;D xsi:type="xsd:double"&gt;19553.61&lt;/D&gt;&lt;D xsi:type="xsd:double"&gt;18608.94&lt;/D&gt;&lt;D xsi:type="xsd:double"&gt;18079.61&lt;/D&gt;&lt;D xsi:type="xsd:double"&gt;18366.95&lt;/D&gt;&lt;D xsi:type="xsd:double"&gt;17941.78&lt;/D&gt;&lt;D xsi:type="xsd:double"&gt;18028.52&lt;/D&gt;&lt;D xsi:type="xsd:double"&gt;17718.61&lt;/D&gt;&lt;D xsi:type="xsd:double"&gt;17799.61&lt;/D&gt;&lt;D xsi:type="xsd:double"&gt;18293.38&lt;/D&gt;&lt;D xsi:type="xsd:double"&gt;17417.68&lt;/D&gt;&lt;D xsi:type="xsd:double"&gt;17021.31&lt;/D&gt;&lt;D xsi:type="xsd:double"&gt;16945.51&lt;/D&gt;&lt;D xsi:type="xsd:double"&gt;17090.23&lt;/D&gt;&lt;D xsi:type="xsd:double"&gt;17430.16&lt;/D&gt;&lt;D xsi:type="xsd:double"&gt;17612.1&lt;/D&gt;&lt;D xsi:type="xsd:double"&gt;17989.07&lt;/D&gt;&lt;D xsi:type="xsd:double"&gt;17444.3&lt;/D&gt;&lt;D xsi:type="xsd:double"&gt;17369.09&lt;/D&gt;&lt;D xsi:type="xsd:double"&gt;18258.57&lt;/D&gt;&lt;D xsi:type="xsd:double"&gt;20632.3&lt;/D&gt;&lt;D xsi:type="xsd:double"&gt;22736.87&lt;/D&gt;&lt;D xsi:type="xsd:double"&gt;21251.98&lt;/D&gt;&lt;D xsi:type="xsd:double"&gt;20804.11&lt;/D&gt;&lt;D xsi:type="xsd:double"&gt;20590.15&lt;/D&gt;&lt;D xsi:type="xsd:double"&gt;20506.43&lt;/D&gt;&lt;D xsi:type="xsd:double"&gt;20728.19&lt;/D&gt;&lt;D xsi:type="xsd:double"&gt;19426.34&lt;/D&gt;&lt;D xsi:type="xsd:double"&gt;19229.97&lt;/D&gt;&lt;D xsi:type="xsd:double"&gt;19423.61&lt;/D&gt;&lt;D xsi:type="xsd:double"&gt;19865.85&lt;/D&gt;&lt;D xsi:type="xsd:double"&gt;19971.24&lt;/D&gt;&lt;D xsi:type="xsd:double"&gt;19720.7&lt;/D&gt;&lt;D xsi:type="xsd:double"&gt;20090.46&lt;/D&gt;&lt;D xsi:type="xsd:double"&gt;19760.27&lt;/D&gt;&lt;D xsi:type="xsd:double"&gt;19064.29&lt;/D&gt;&lt;D xsi:type="xsd:double"&gt;19584.06&lt;/D&gt;&lt;D xsi:type="xsd:double"&gt;20066.19&lt;/D&gt;&lt;D xsi:type="xsd:double"&gt;20225.11&lt;/D&gt;&lt;D xsi:type="xsd:double"&gt;21133.54&lt;/D&gt;&lt;D xsi:type="xsd:double"&gt;22620.33&lt;/D&gt;&lt;D xsi:type="xsd:double"&gt;23477.92&lt;/D&gt;&lt;D xsi:type="xsd:double"&gt;22941.32&lt;/D&gt;&lt;D xsi:type="xsd:double"&gt;24231.3&lt;/D&gt;&lt;D xsi:type="xsd:double"&gt;23959.98&lt;/D&gt;&lt;D xsi:type="xsd:double"&gt;23689.72&lt;/D&gt;&lt;D xsi:type="xsd:double"&gt;23426.6&lt;/D&gt;&lt;D xsi:type="xsd:double"&gt;22849.81&lt;/D&gt;&lt;D xsi:type="xsd:double"&gt;20914.69&lt;/D&gt;&lt;D xsi:type="xsd:double"&gt;21395.14&lt;/D&gt;&lt;D xsi:type="xsd:double"&gt;21980.74&lt;/D&gt;&lt;D xsi:type="xsd:double"&gt;22504.68&lt;/D&gt;&lt;D xsi:type="xsd:double"&gt;22867.74&lt;/D&gt;&lt;D xsi:type="xsd:double"&gt;23345.05&lt;/D&gt;&lt;D xsi:type="xsd:double"&gt;23601.26&lt;/D&gt;&lt;D xsi:type="xsd:double"&gt;23289.77&lt;/D&gt;&lt;D xsi:type="xsd:double"&gt;23792.54&lt;/D&gt;&lt;D xsi:type="xsd:double"&gt;23892.56&lt;/D&gt;&lt;D xsi:type="xsd:double"&gt;23530.48&lt;/D&gt;&lt;D xsi:type="xsd:double"&gt;24284.15&lt;/D&gt;&lt;D xsi:type="xsd:double"&gt;23916.06&lt;/D&gt;&lt;D xsi:type="xsd:double"&gt;24139.57&lt;/D&gt;&lt;D xsi:type="xsd:double"&gt;24825.66&lt;/D&gt;&lt;D xsi:type="xsd:double"&gt;25388.35&lt;/D&gt;&lt;D xsi:type="xsd:double"&gt;24507.81&lt;/D&gt;&lt;D xsi:type="xsd:double"&gt;24858.82&lt;/D&gt;&lt;D xsi:type="xsd:double"&gt;25270.07&lt;/D&gt;&lt;D xsi:type="xsd:double"&gt;25339.14&lt;/D&gt;&lt;D xsi:type="xsd:double"&gt;25077.62&lt;/D&gt;&lt;D xsi:type="xsd:double"&gt;25417.98&lt;/D&gt;&lt;D xsi:type="xsd:double"&gt;26388.16&lt;/D&gt;&lt;D xsi:type="xsd:double"&gt;26545.1&lt;/D&gt;&lt;D xsi:type="xsd:double"&gt;26128.2&lt;/D&gt;&lt;D xsi:type="xsd:double"&gt;27140.92&lt;/D&gt;&lt;D xsi:type="xsd:double"&gt;26290.32&lt;/D&gt;&lt;D xsi:type="xsd:double"&gt;25247.1&lt;/D&gt;&lt;D xsi:type="xsd:double"&gt;26160.15&lt;/D&gt;&lt;D xsi:type="xsd:double"&gt;25906.65&lt;/D&gt;&lt;D xsi:type="xsd:double"&gt;26241.83&lt;/D&gt;&lt;D xsi:type="xsd:double"&gt;26572.46&lt;/D&gt;&lt;D xsi:type="xsd:double"&gt;25220.02&lt;/D&gt;&lt;D xsi:type="xsd:double"&gt;25858.89&lt;/D&gt;&lt;D xsi:type="xsd:double"&gt;26085.08&lt;/D&gt;&lt;D xsi:type="xsd:double"&gt;25976.79&lt;/D&gt;&lt;D xsi:type="xsd:double"&gt;25690.53&lt;/D&gt;&lt;D xsi:type="xsd:double"&gt;25818.93&lt;/D&gt;&lt;D xsi:type="xsd:double"&gt;26338.47&lt;/D&gt;&lt;D xsi:type="xsd:double"&gt;26231.79&lt;/D&gt;&lt;D xsi:type="xsd:double"&gt;26844.96&lt;/D&gt;&lt;D xsi:type="xsd:double"&gt;26749.51&lt;/D&gt;&lt;D xsi:type="xsd:double"&gt;27387.11&lt;/D&gt;&lt;D xsi:type="xsd:double"&gt;26559.95&lt;/D&gt;&lt;D xsi:type="xsd:double"&gt;26567.12&lt;/D&gt;&lt;D xsi:type="xsd:double"&gt;26413.35&lt;/D&gt;&lt;/FQL&gt;&lt;FQL&gt;&lt;Q&gt;180530^P_PRICE(1/4/2019,NOW,W)&lt;/Q&gt;&lt;R&gt;367&lt;/R&gt;&lt;C&gt;1&lt;/C&gt;&lt;D xsi:type="xsd:double"&gt;9382.51&lt;/D&gt;&lt;D xsi:type="xsd:double"&gt;9759.4&lt;/D&gt;&lt;D xsi:type="xsd:double"&gt;9836.06&lt;/D&gt;&lt;D xsi:type="xsd:double"&gt;9969.61&lt;/D&gt;&lt;D xsi:type="xsd:double"&gt;9932.26&lt;/D&gt;&lt;D xsi:type="xsd:double"&gt;10064.78&lt;/D&gt;&lt;D xsi:type="xsd:double"&gt;10322.92&lt;/D&gt;&lt;D xsi:type="xsd:double"&gt;10389.17&lt;/D&gt;&lt;D xsi:type="xsd:double"&gt;10241.75&lt;/D&gt;&lt;D xsi:type="xsd:double"&gt;10439.24&lt;/D&gt;&lt;D xsi:type="xsd:double"&gt;10639.07&lt;/D&gt;&lt;D xsi:type="xsd:double"&gt;10641.04&lt;/D&gt;&lt;D xsi:type="xsd:double"&gt;10704.38&lt;/D&gt;&lt;D xsi:type="xsd:double"&gt;10805.3&lt;/D&gt;&lt;D xsi:type="xsd:double"&gt;10968.5&lt;/D&gt;&lt;D xsi:type="xsd:double"&gt;10952.47&lt;/D&gt;&lt;D xsi:type="xsd:double"&gt;11096.3&lt;/D&gt;&lt;D xsi:type="xsd:double"&gt;10712.99&lt;/D&gt;&lt;D xsi:type="xsd:double"&gt;10384.11&lt;/D&gt;&lt;D xsi:type="xsd:double"&gt;10328.28&lt;/D&gt;&lt;D xsi:type="xsd:double"&gt;10498.49&lt;/D&gt;&lt;D xsi:type="xsd:double"&gt;10409.2&lt;/D&gt;&lt;D xsi:type="xsd:double"&gt;10524.67&lt;/D&gt;&lt;D xsi:type="xsd:double"&gt;10803.77&lt;/D&gt;&lt;D xsi:type="xsd:double"&gt;10730.83&lt;/D&gt;&lt;D xsi:type="xsd:double"&gt;10785.73&lt;/D&gt;&lt;D xsi:type="xsd:double"&gt;10824.35&lt;/D&gt;&lt;D xsi:type="xsd:double"&gt;10873.19&lt;/D&gt;&lt;D xsi:type="xsd:double"&gt;10891.98&lt;/D&gt;&lt;D xsi:type="xsd:double"&gt;10549.04&lt;/D&gt;&lt;D xsi:type="xsd:double"&gt;10494.49&lt;/D&gt;&lt;D xsi:type="xsd:double"&gt;10420.89&lt;/D&gt;&lt;D xsi:type="xsd:double"&gt;10538.11&lt;/D&gt;&lt;D xsi:type="xsd:double"&gt;10618.05&lt;/D&gt;&lt;D xsi:type="xsd:double"&gt;10780.64&lt;/D&gt;&lt;D xsi:type="xsd:double"&gt;10827.55&lt;/D&gt;&lt;D xsi:type="xsd:double"&gt;10929.69&lt;/D&gt;&lt;D xsi:type="xsd:double"&gt;10829.68&lt;/D&gt;&lt;D xsi:type="xsd:double"&gt;10894.48&lt;/D&gt;&lt;D xsi:type="xsd:double"&gt;10889.96&lt;/D&gt;&lt;D xsi:type="xsd:double"&gt;11180.22&lt;/D&gt;&lt;D xsi:type="xsd:double"&gt;11296.12&lt;/D&gt;&lt;D xsi:type="xsd:double"&gt;11399.53&lt;/D&gt;&lt;D xsi:type="xsd:double"&gt;11579.54&lt;/D&gt;&lt;D xsi:type="xsd:double"&gt;11525.6&lt;/D&gt;&lt;D xsi:type="xsd:double"&gt;11566.8&lt;/D&gt;&lt;D xsi:type="xsd:double"&gt;11489.57&lt;/D&gt;&lt;D xsi:type="xsd:double"&gt;11609.64&lt;/D&gt;&lt;D xsi:type="xsd:double"&gt;11927.73&lt;/D&gt;&lt;D xsi:type="xsd:double"&gt;11959.08&lt;/D&gt;&lt;D xsi:type="xsd:double"&gt;12091.59&lt;/D&gt;&lt;D xsi:type="xsd:double"&gt;12110.43&lt;/D&gt;&lt;D xsi:type="xsd:double"&gt;12024.65&lt;/D&gt;&lt;D xsi:type="xsd:double"&gt;12090.29&lt;/D&gt;&lt;D xsi:type="xsd:double"&gt;12118.71&lt;/D&gt;&lt;D xsi:type="xsd:double"&gt;11495.1&lt;/D&gt;&lt;D xsi:type="xsd:double"&gt;11612.81&lt;/D&gt;&lt;D xsi:type="xsd:double"&gt;11815.7&lt;/D&gt;&lt;D xsi:type="xsd:double"&gt;11686.35&lt;/D&gt;&lt;D xsi:type="xsd:double"&gt;11292.17&lt;/D&gt;&lt;D xsi:type="xsd:double"&gt;11321.81&lt;/D&gt;&lt;D xsi:type="xsd:double"&gt;10128.87&lt;/D&gt;&lt;D xsi:type="xsd:double"&gt;9234.09&lt;/D&gt;&lt;D xsi:type="xsd:double"&gt;9698.92&lt;/D&gt;&lt;D xsi:type="xsd:double"&gt;9663.63&lt;/D&gt;&lt;D xsi:type="xsd:double"&gt;10157.61&lt;/D&gt;&lt;D xsi:type="xsd:double"&gt;10597.04&lt;/D&gt;&lt;D xsi:type="xsd:double"&gt;10347.36&lt;/D&gt;&lt;D xsi:type="xsd:double"&gt;10992.14&lt;/D&gt;&lt;D xsi:type="xsd:double"&gt;10901.42&lt;/D&gt;&lt;D xsi:type="xsd:double"&gt;10814.92&lt;/D&gt;&lt;D xsi:type="xsd:double"&gt;10811.15&lt;/D&gt;&lt;D xsi:type="xsd:double"&gt;10942.16&lt;/D&gt;&lt;D xsi:type="xsd:double"&gt;11479.4&lt;/D&gt;&lt;D xsi:type="xsd:double"&gt;11429.94&lt;/D&gt;&lt;D xsi:type="xsd:double"&gt;11549.86&lt;/D&gt;&lt;D xsi:type="xsd:double"&gt;11660.67&lt;/D&gt;&lt;D xsi:type="xsd:double"&gt;11909.16&lt;/D&gt;&lt;D xsi:type="xsd:double"&gt;12073.68&lt;/D&gt;&lt;D xsi:type="xsd:double"&gt;12181.56&lt;/D&gt;&lt;D xsi:type="xsd:double"&gt;12304.04&lt;/D&gt;&lt;D xsi:type="xsd:double"&gt;12664.8&lt;/D&gt;&lt;D xsi:type="xsd:double"&gt;12828.87&lt;/D&gt;&lt;D xsi:type="xsd:double"&gt;12795.46&lt;/D&gt;&lt;D xsi:type="xsd:double"&gt;12607.84&lt;/D&gt;&lt;D xsi:type="xsd:double"&gt;12728.85&lt;/D&gt;&lt;D xsi:type="xsd:double"&gt;12637.95&lt;/D&gt;&lt;D xsi:type="xsd:double"&gt;12675.95&lt;/D&gt;&lt;D xsi:type="xsd:double"&gt;12875.62&lt;/D&gt;&lt;D xsi:type="xsd:double"&gt;12232.91&lt;/D&gt;&lt;D xsi:type="xsd:double"&gt;12515.61&lt;/D&gt;&lt;D xsi:type="xsd:double"&gt;12887.19&lt;/D&gt;&lt;D xsi:type="xsd:double"&gt;12750.37&lt;/D&gt;&lt;D xsi:type="xsd:double"&gt;12898.82&lt;/D&gt;&lt;D xsi:type="xsd:double"&gt;12546.34&lt;/D&gt;&lt;D xsi:type="xsd:double"&gt;12973.53&lt;/D&gt;&lt;D xsi:type="xsd:double"&gt;13273.33&lt;/D&gt;&lt;D xsi:type="xsd:double"&gt;13716.44&lt;/D&gt;&lt;D xsi:type="xsd:double"&gt;13867.09&lt;/D&gt;&lt;D xsi:type="xsd:double"&gt;14132.44&lt;/D&gt;&lt;D xsi:type="xsd:double"&gt;14261.69&lt;/D&gt;&lt;D xsi:type="xsd:double"&gt;14249.96&lt;/D&gt;&lt;D xsi:type="xsd:double"&gt;14331.42&lt;/D&gt;&lt;D xsi:type="xsd:double"&gt;14732.53&lt;/D&gt;&lt;D xsi:type="xsd:double"&gt;15463.95&lt;/D&gt;&lt;D xsi:type="xsd:double"&gt;15616.39&lt;/D&gt;&lt;D xsi:type="xsd:double"&gt;16019.03&lt;/D&gt;&lt;D xsi:type="xsd:double"&gt;15138.31&lt;/D&gt;&lt;D xsi:type="xsd:double"&gt;15802.4&lt;/D&gt;&lt;D xsi:type="xsd:double"&gt;16341.38&lt;/D&gt;&lt;D xsi:type="xsd:double"&gt;15953.8&lt;/D&gt;&lt;D xsi:type="xsd:double"&gt;15855.23&lt;/D&gt;&lt;D xsi:type="xsd:double"&gt;16255.18&lt;/D&gt;&lt;D xsi:type="xsd:double"&gt;16070.24&lt;/D&gt;&lt;D xsi:type="xsd:double"&gt;16305.88&lt;/D&gt;&lt;D xsi:type="xsd:double"&gt;16571.28&lt;/D&gt;&lt;D xsi:type="xsd:double"&gt;16854.1&lt;/D&gt;&lt;D xsi:type="xsd:double"&gt;17158.81&lt;/D&gt;&lt;D xsi:type="xsd:double"&gt;17300.27&lt;/D&gt;&lt;D xsi:type="xsd:double"&gt;17566.66&lt;/D&gt;&lt;D xsi:type="xsd:double"&gt;17285&lt;/D&gt;&lt;D xsi:type="xsd:double"&gt;15827.09&lt;/D&gt;&lt;D xsi:type="xsd:double"&gt;16302.06&lt;/D&gt;&lt;D xsi:type="xsd:double"&gt;16870.86&lt;/D&gt;&lt;D xsi:type="xsd:double"&gt;17147.41&lt;/D&gt;&lt;D xsi:type="xsd:double"&gt;17213.52&lt;/D&gt;&lt;D xsi:type="xsd:double"&gt;17318.54&lt;/D&gt;&lt;D xsi:type="xsd:double"&gt;17502.99&lt;/D&gt;&lt;D xsi:type="xsd:double"&gt;17710.15&lt;/D&gt;&lt;D xsi:type="xsd:double"&gt;17661.48&lt;/D&gt;&lt;D xsi:type="xsd:double"&gt;17895.25&lt;/D&gt;&lt;D xsi:type="xsd:double"&gt;17572.92&lt;/D&gt;&lt;D xsi:type="xsd:double"&gt;17247.41&lt;/D&gt;&lt;D xsi:type="xsd:double"&gt;17526.28&lt;/D&gt;&lt;D xsi:type="xsd:double"&gt;16982.11&lt;/D&gt;&lt;D xsi:type="xsd:double"&gt;16341.94&lt;/D&gt;&lt;D xsi:type="xsd:double"&gt;17209.93&lt;/D&gt;&lt;D xsi:type="xsd:double"&gt;17516.92&lt;/D&gt;&lt;D xsi:type="xsd:double"&gt;17474.57&lt;/D&gt;&lt;D xsi:type="xsd:double"&gt;17276.79&lt;/D&gt;&lt;D xsi:type="xsd:double"&gt;17260.19&lt;/D&gt;&lt;D xsi:type="xsd:double"&gt;16570.89&lt;/D&gt;&lt;D xsi:type="xsd:double"&gt;16640.43&lt;/D&gt;&lt;D xsi:type="xsd:double"&gt;16781.19&lt;/D&gt;&lt;D xsi:type="xsd:double"&gt;16888.74&lt;/D&gt;&lt;D xsi:type="xsd:double"&gt;16987.41&lt;/D&gt;&lt;D xsi:type="xsd:double"&gt;17296.9&lt;/D&gt;&lt;D xsi:type="xsd:double"&gt;17518.13&lt;/D&gt;&lt;D xsi:type="xsd:double"&gt;17818.31&lt;/D&gt;&lt;D xsi:type="xsd:double"&gt;17369.39&lt;/D&gt;&lt;D xsi:type="xsd:double"&gt;17697.14&lt;/D&gt;&lt;D xsi:type="xsd:double"&gt;17826.26&lt;/D&gt;&lt;D xsi:type="xsd:double"&gt;17812.59&lt;/D&gt;&lt;D xsi:type="xsd:double"&gt;17961.64&lt;/D&gt;&lt;D xsi:type="xsd:double"&gt;18218.84&lt;/D&gt;&lt;D xsi:type="xsd:double"&gt;18169.76&lt;/D&gt;&lt;D xsi:type="xsd:double"&gt;18403.33&lt;/D&gt;&lt;D xsi:type="xsd:double"&gt;17899.3&lt;/D&gt;&lt;D xsi:type="xsd:double"&gt;17674.4&lt;/D&gt;&lt;D xsi:type="xsd:double"&gt;18310.94&lt;/D&gt;&lt;D xsi:type="xsd:double"&gt;18232.35&lt;/D&gt;&lt;D xsi:type="xsd:double"&gt;17652.18&lt;/D&gt;&lt;D xsi:type="xsd:double"&gt;17736.52&lt;/D&gt;&lt;D xsi:type="xsd:double"&gt;17264.74&lt;/D&gt;&lt;D xsi:type="xsd:double"&gt;17456.52&lt;/D&gt;&lt;D xsi:type="xsd:double"&gt;17676.95&lt;/D&gt;&lt;D xsi:type="xsd:double"&gt;17625.59&lt;/D&gt;&lt;D xsi:type="xsd:double"&gt;17284.54&lt;/D&gt;&lt;D xsi:type="xsd:double"&gt;17004.18&lt;/D&gt;&lt;D xsi:type="xsd:double"&gt;17025.09&lt;/D&gt;&lt;D xsi:type="xsd:double"&gt;16592.18&lt;/D&gt;&lt;D xsi:type="xsd:double"&gt;16408.2&lt;/D&gt;&lt;D xsi:type="xsd:double"&gt;15832.54&lt;/D&gt;&lt;D xsi:type="xsd:double"&gt;16144.85&lt;/D&gt;&lt;D xsi:type="xsd:double"&gt;16266.22&lt;/D&gt;&lt;D xsi:type="xsd:double"&gt;16552.57&lt;/D&gt;&lt;D xsi:type="xsd:double"&gt;16460.12&lt;/D&gt;&lt;D xsi:type="xsd:double"&gt;15641.26&lt;/D&gt;&lt;D xsi:type="xsd:double"&gt;15303.32&lt;/D&gt;&lt;D xsi:type="xsd:double"&gt;14343.08&lt;/D&gt;&lt;D xsi:type="xsd:double"&gt;14464.53&lt;/D&gt;&lt;D xsi:type="xsd:double"&gt;14550.62&lt;/D&gt;&lt;D xsi:type="xsd:double"&gt;14949.36&lt;/D&gt;&lt;D xsi:type="xsd:double"&gt;15000.07&lt;/D&gt;&lt;D xsi:type="xsd:double"&gt;15036.04&lt;/D&gt;&lt;D xsi:type="xsd:double"&gt;15288.97&lt;/D&gt;&lt;D xsi:type="xsd:double"&gt;15408.78&lt;/D&gt;&lt;D xsi:type="xsd:double"&gt;15278.44&lt;/D&gt;&lt;D xsi:type="xsd:double"&gt;14673.04&lt;/D&gt;&lt;D xsi:type="xsd:double"&gt;14583.42&lt;/D&gt;&lt;D xsi:type="xsd:double"&gt;14561.76&lt;/D&gt;&lt;D xsi:type="xsd:double"&gt;14118.38&lt;/D&gt;&lt;D xsi:type="xsd:double"&gt;13424.58&lt;/D&gt;&lt;D xsi:type="xsd:double"&gt;13702.28&lt;/D&gt;&lt;D xsi:type="xsd:double"&gt;13128.12&lt;/D&gt;&lt;D xsi:type="xsd:double"&gt;12819.2&lt;/D&gt;&lt;D xsi:type="xsd:double"&gt;12788.42&lt;/D&gt;&lt;D xsi:type="xsd:double"&gt;13026.71&lt;/D&gt;&lt;D xsi:type="xsd:double"&gt;14007.56&lt;/D&gt;&lt;D xsi:type="xsd:double"&gt;14504.99&lt;/D&gt;&lt;D xsi:type="xsd:double"&gt;14778.51&lt;/D&gt;&lt;D xsi:type="xsd:double"&gt;14970.68&lt;/D&gt;&lt;D xsi:type="xsd:double"&gt;14705.43&lt;/D&gt;&lt;D xsi:type="xsd:double"&gt;14528.55&lt;/D&gt;&lt;D xsi:type="xsd:double"&gt;14271.63&lt;/D&gt;&lt;D xsi:type="xsd:double"&gt;14137.69&lt;/D&gt;&lt;D xsi:type="xsd:double"&gt;14373.34&lt;/D&gt;&lt;D xsi:type="xsd:double"&gt;14824.13&lt;/D&gt;&lt;D xsi:type="xsd:double"&gt;14932.93&lt;/D&gt;&lt;D xsi:type="xsd:double"&gt;15602.66&lt;/D&gt;&lt;D xsi:type="xsd:double"&gt;15586.65&lt;/D&gt;&lt;D xsi:type="xsd:double"&gt;15479.7&lt;/D&gt;&lt;D xsi:type="xsd:double"&gt;15503.79&lt;/D&gt;&lt;D xsi:type="xsd:double"&gt;15608.42&lt;/D&gt;&lt;D xsi:type="xsd:double"&gt;15526.2&lt;/D&gt;&lt;D xsi:type="xsd:double"&gt;15452.96&lt;/D&gt;&lt;D xsi:type="xsd:double"&gt;15914.7&lt;/D&gt;&lt;D xsi:type="xsd:double"&gt;15868.06&lt;/D&gt;&lt;D xsi:type="xsd:double"&gt;15836.5&lt;/D&gt;&lt;D xsi:type="xsd:double"&gt;15929.43&lt;/D&gt;&lt;D xsi:type="xsd:double"&gt;15602.99&lt;/D&gt;&lt;D xsi:type="xsd:double"&gt;15579.18&lt;/D&gt;&lt;D xsi:type="xsd:double"&gt;15626.07&lt;/D&gt;&lt;D xsi:type="xsd:double"&gt;15502.36&lt;/D&gt;&lt;D xsi:type="xsd:double"&gt;16174.92&lt;/D&gt;&lt;D xsi:type="xsd:double"&gt;16505.05&lt;/D&gt;&lt;D xsi:type="xsd:double"&gt;16706.91&lt;/D&gt;&lt;D xsi:type="xsd:double"&gt;16886.4&lt;/D&gt;&lt;D xsi:type="xsd:double"&gt;17288.91&lt;/D&gt;&lt;D xsi:type="xsd:double"&gt;17202.4&lt;/D&gt;&lt;D xsi:type="xsd:double"&gt;16915.54&lt;/D&gt;&lt;D xsi:type="xsd:double"&gt;16664.21&lt;/D&gt;&lt;D xsi:type="xsd:double"&gt;17283.71&lt;/D&gt;&lt;D xsi:type="xsd:double"&gt;17030.7&lt;/D&gt;&lt;D xsi:type="xsd:double"&gt;17292.93&lt;/D&gt;&lt;D xsi:type="xsd:double"&gt;16843.68&lt;/D&gt;&lt;D xsi:type="xsd:double"&gt;16601.25&lt;/D&gt;&lt;D xsi:type="xsd:double"&gt;16381.31&lt;/D&gt;&lt;D xsi:type="xsd:double"&gt;16481.58&lt;/D&gt;&lt;D xsi:type="xsd:double"&gt;16644.94&lt;/D&gt;&lt;D xsi:type="xsd:double"&gt;16576.02&lt;/D&gt;&lt;D xsi:type="xsd:double"&gt;16920.92&lt;/D&gt;&lt;D xsi:type="xsd:double"&gt;16344.48&lt;/D&gt;&lt;D xsi:type="xsd:double"&gt;16353.74&lt;/D&gt;&lt;D xsi:type="xsd:double"&gt;16520.57&lt;/D&gt;&lt;D xsi:type="xsd:double"&gt;16782.57&lt;/D&gt;&lt;D xsi:type="xsd:double"&gt;16440.72&lt;/D&gt;&lt;D xsi:type="xsd:double"&gt;16134.61&lt;/D&gt;&lt;D xsi:type="xsd:double"&gt;16507.65&lt;/D&gt;&lt;D xsi:type="xsd:double"&gt;16682.67&lt;/D&gt;&lt;D xsi:type="xsd:double"&gt;17208.95&lt;/D&gt;&lt;D xsi:type="xsd:double"&gt;17287.42&lt;/D&gt;&lt;D xsi:type="xsd:double"&gt;17438.35&lt;/D&gt;&lt;D xsi:type="xsd:double"&gt;17383.99&lt;/D&gt;&lt;D xsi:type="xsd:double"&gt;17673.87&lt;/D&gt;&lt;D xsi:type="xsd:double"&gt;17596.63&lt;/D&gt;&lt;D xsi:type="xsd:double"&gt;17930.81&lt;/D&gt;&lt;D xsi:type="xsd:double"&gt;17519.14&lt;/D&gt;&lt;D xsi:type="xsd:double"&gt;17512.83&lt;/D&gt;&lt;D xsi:type="xsd:double"&gt;17681.52&lt;/D&gt;&lt;D xsi:type="xsd:double"&gt;17995.03&lt;/D&gt;&lt;D xsi:type="xsd:double"&gt;18059.93&lt;/D&gt;&lt;D xsi:type="xsd:double"&gt;18096.07&lt;/D&gt;&lt;D xsi:type="xsd:double"&gt;18607.25&lt;/D&gt;&lt;D xsi:type="xsd:double"&gt;18889.19&lt;/D&gt;&lt;D xsi:type="xsd:double"&gt;18935.93&lt;/D&gt;&lt;D xsi:type="xsd:double"&gt;19785.32&lt;/D&gt;&lt;D xsi:type="xsd:double"&gt;19682.5&lt;/D&gt;&lt;D xsi:type="xsd:double"&gt;20228.43&lt;/D&gt;&lt;D xsi:type="xsd:double"&gt;20294.45&lt;/D&gt;&lt;D xsi:type="xsd:double"&gt;20337.6&lt;/D&gt;&lt;D xsi:type="xsd:double"&gt;20736.57&lt;/D&gt;&lt;D xsi:type="xsd:double"&gt;19527.12&lt;/D&gt;&lt;D xsi:type="xsd:double"&gt;20120.51&lt;/D&gt;&lt;D xsi:type="xsd:double"&gt;20330.32&lt;/D&gt;&lt;D xsi:type="xsd:double"&gt;20708.84&lt;/D&gt;&lt;D xsi:type="xsd:double"&gt;21258.47&lt;/D&gt;&lt;D xsi:type="xsd:double"&gt;21565.34&lt;/D&gt;&lt;D xsi:type="xsd:double"&gt;21174.22&lt;/D&gt;&lt;D xsi:type="xsd:double"&gt;21858.38&lt;/D&gt;&lt;D xsi:type="xsd:double"&gt;22504.72&lt;/D&gt;&lt;D xsi:type="xsd:double"&gt;23253.39&lt;/D&gt;&lt;D xsi:type="xsd:double"&gt;23032.25&lt;/D&gt;&lt;D xsi:type="xsd:double"&gt;23556.6&lt;/D&gt;&lt;D xsi:type="xsd:double"&gt;23916.93&lt;/D&gt;&lt;D xsi:type="xsd:double"&gt;22869.26&lt;/D&gt;&lt;D xsi:type="xsd:double"&gt;22119.21&lt;/D&gt;&lt;D xsi:type="xsd:double"&gt;21638.09&lt;/D&gt;&lt;D xsi:type="xsd:double"&gt;21469&lt;/D&gt;&lt;D xsi:type="xsd:double"&gt;22349.33&lt;/D&gt;&lt;D xsi:type="xsd:double"&gt;22158.05&lt;/D&gt;&lt;D xsi:type="xsd:double"&gt;22268.09&lt;/D&gt;&lt;D xsi:type="xsd:double"&gt;21435.19&lt;/D&gt;&lt;D xsi:type="xsd:double"&gt;21759.65&lt;/D&gt;&lt;D xsi:type="xsd:double"&gt;22159.42&lt;/D&gt;&lt;D xsi:type="xsd:double"&gt;22822.79&lt;/D&gt;&lt;D xsi:type="xsd:double"&gt;22302.71&lt;/D&gt;&lt;D xsi:type="xsd:double"&gt;22901.64&lt;/D&gt;&lt;D xsi:type="xsd:double"&gt;23487.27&lt;/D&gt;&lt;D xsi:type="xsd:double"&gt;23348.45&lt;/D&gt;&lt;D xsi:type="xsd:double"&gt;22780.08&lt;/D&gt;&lt;D xsi:type="xsd:double"&gt;23553.89&lt;/D&gt;&lt;D xsi:type="xsd:double"&gt;22742.77&lt;/D&gt;&lt;D xsi:type="xsd:double"&gt;22904.32&lt;/D&gt;&lt;D xsi:type="xsd:double"&gt;22262.5&lt;/D&gt;&lt;D xsi:type="xsd:double"&gt;23193.27&lt;/D&gt;&lt;D xsi:type="xsd:double"&gt;23020.48&lt;/D&gt;&lt;D xsi:type="xsd:double"&gt;22510.25&lt;/D&gt;&lt;D xsi:type="xsd:double"&gt;23275.68&lt;/D&gt;&lt;D xsi:type="xsd:double"&gt;22908.3&lt;/D&gt;&lt;D xsi:type="xsd:double"&gt;23011.86&lt;/D&gt;&lt;D xsi:type="xsd:double"&gt;23148.08&lt;/D&gt;&lt;D xsi:type="xsd:double"&gt;23525.41&lt;/D&gt;&lt;D xsi:type="xsd:double"&gt;23478.27&lt;/D&gt;&lt;D xsi:type="xsd:double"&gt;23152.61&lt;/D&gt;&lt;D xsi:type="xsd:double"&gt;23730.25&lt;/D&gt;&lt;D xsi:type="xsd:double"&gt;23053.18&lt;/D&gt;&lt;D xsi:type="xsd:double"&gt;22576.07&lt;/D&gt;&lt;D xsi:type="xsd:double"&gt;21968.05&lt;/D&gt;&lt;D xsi:type="xsd:double"&gt;22209.1&lt;/D&gt;&lt;D xsi:type="xsd:double"&gt;21602.89&lt;/D&gt;&lt;D xsi:type="xsd:double"&gt;21298.22&lt;/D&gt;&lt;D xsi:type="xsd:double"&gt;19528.77&lt;/D&gt;&lt;D xsi:type="xsd:double"&gt;19395.03&lt;/D&gt;&lt;D xsi:type="xsd:double"&gt;19872.73&lt;/D&gt;&lt;D xsi:type="xsd:double"&gt;20787.64&lt;/D&gt;&lt;D xsi:type="xsd:double"&gt;20915.04&lt;/D&gt;&lt;D xsi:type="xsd:double"&gt;21843.69&lt;/D&gt;&lt;D xsi:type="xsd:double"&gt;21652.24&lt;/D&gt;&lt;D xsi:type="xsd:double"&gt;21347.3&lt;/D&gt;&lt;D xsi:type="xsd:double"&gt;21660.66&lt;/D&gt;&lt;D xsi:type="xsd:double"&gt;22072.95&lt;/D&gt;&lt;D xsi:type="xsd:double"&gt;22045.74&lt;/D&gt;&lt;D xsi:type="xsd:double"&gt;22580.08&lt;/D&gt;&lt;D xsi:type="xsd:double"&gt;22547.5&lt;/D&gt;&lt;D xsi:type="xsd:double"&gt;22751.03&lt;/D&gt;&lt;D xsi:type="xsd:double"&gt;23383.13&lt;/D&gt;&lt;D xsi:type="xsd:double"&gt;23364.38&lt;/D&gt;&lt;D xsi:type="xsd:double"&gt;23434.38&lt;/D&gt;&lt;D xsi:type="xsd:double"&gt;24021.26&lt;/D&gt;&lt;D xsi:type="xsd:double"&gt;24334.48&lt;/D&gt;&lt;D xsi:type="xsd:double"&gt;23764.47&lt;/D&gt;&lt;D xsi:type="xsd:double"&gt;24233.1&lt;/D&gt;&lt;D xsi:type="xsd:double"&gt;24494.58&lt;/D&gt;&lt;D xsi:type="xsd:double"&gt;25474.64&lt;/D&gt;&lt;D xsi:type="xsd:double"&gt;25578.37&lt;/D&gt;&lt;D xsi:type="xsd:double"&gt;25580.32&lt;/D&gt;&lt;D xsi:type="xsd:double"&gt;26761.06&lt;/D&gt;&lt;D xsi:type="xsd:double"&gt;27301.92&lt;/D&gt;&lt;D xsi:type="xsd:double"&gt;27302.37&lt;/D&gt;&lt;D xsi:type="xsd:double"&gt;27532.26&lt;/D&gt;&lt;D xsi:type="xsd:double"&gt;28233.35&lt;/D&gt;&lt;D xsi:type="xsd:double"&gt;27651.41&lt;/D&gt;&lt;D xsi:type="xsd:double"&gt;27397.5&lt;/D&gt;&lt;D xsi:type="xsd:double"&gt;26434.94&lt;/D&gt;&lt;D xsi:type="xsd:double"&gt;27626.48&lt;/D&gt;&lt;D xsi:type="xsd:double"&gt;27980.89&lt;/D&gt;&lt;D xsi:type="xsd:double"&gt;28198.02&lt;/D&gt;&lt;D xsi:type="xsd:double"&gt;27696.35&lt;/D&gt;&lt;D xsi:type="xsd:double"&gt;28556.02&lt;/D&gt;&lt;D xsi:type="xsd:double"&gt;29349.81&lt;/D&gt;&lt;D xsi:type="xsd:double"&gt;30288.96&lt;/D&gt;&lt;D xsi:type="xsd:double"&gt;31408.7&lt;/D&gt;&lt;D xsi:type="xsd:double"&gt;31961.51&lt;/D&gt;&lt;D xsi:type="xsd:double"&gt;32063.75&lt;/D&gt;&lt;D xsi:type="xsd:double"&gt;31782.92&lt;/D&gt;&lt;D xsi:type="xsd:double"&gt;33605.71&lt;/D&gt;&lt;/FQL&gt;&lt;FQL&gt;&lt;Q&gt;180460^P_PRICE(1/4/2019,NOW,W)&lt;/Q&gt;&lt;R&gt;372&lt;/R&gt;&lt;C&gt;1&lt;/C&gt;&lt;D xsi:type="xsd:double"&gt;1471.16&lt;/D&gt;&lt;D xsi:type="xsd:double"&gt;1529.73&lt;/D&gt;&lt;D xsi:type="xsd:double"&gt;1557.59&lt;/D&gt;&lt;D xsi:type="xsd:double"&gt;1566.1&lt;/D&gt;&lt;D xsi:type="xsd:double"&gt;1564.63&lt;/D&gt;&lt;D xsi:type="xsd:double"&gt;1539.4&lt;/D&gt;&lt;D xsi:type="xsd:double"&gt;1577.29&lt;/D&gt;&lt;D xsi:type="xsd:double"&gt;1609.52&lt;/D&gt;&lt;D xsi:type="xsd:double"&gt;1615.72&lt;/D&gt;&lt;D xsi:type="xsd:double"&gt;1572.44&lt;/D&gt;&lt;D xsi:type="xsd:double"&gt;1602.63&lt;/D&gt;&lt;D xsi:type="xsd:double"&gt;1617.11&lt;/D&gt;&lt;D xsi:type="xsd:double"&gt;1591.64&lt;/D&gt;&lt;D xsi:type="xsd:double"&gt;1625.75&lt;/D&gt;&lt;D xsi:type="xsd:double"&gt;1605.4&lt;/D&gt;&lt;D xsi:type="xsd:double"&gt;1616.93&lt;/D&gt;&lt;D xsi:type="xsd:double"&gt;1617.93&lt;/D&gt;&lt;D xsi:type="xsd:double"&gt;1549.42&lt;/D&gt;&lt;D xsi:type="xsd:double"&gt;1554.25&lt;/D&gt;&lt;D xsi:type="xsd:double"&gt;1541.21&lt;/D&gt;&lt;D xsi:type="xsd:double"&gt;1512.28&lt;/D&gt;&lt;D xsi:type="xsd:double"&gt;1532.39&lt;/D&gt;&lt;D xsi:type="xsd:double"&gt;1546.71&lt;/D&gt;&lt;D xsi:type="xsd:double"&gt;1545.9&lt;/D&gt;&lt;D xsi:type="xsd:double"&gt;1551.14&lt;/D&gt;&lt;D xsi:type="xsd:double"&gt;1592.58&lt;/D&gt;&lt;D xsi:type="xsd:double"&gt;1576.31&lt;/D&gt;&lt;D xsi:type="xsd:double"&gt;1563.96&lt;/D&gt;&lt;D xsi:type="xsd:double"&gt;1571.52&lt;/D&gt;&lt;D xsi:type="xsd:double"&gt;1533.46&lt;/D&gt;&lt;D xsi:type="xsd:double"&gt;1503.84&lt;/D&gt;&lt;D xsi:type="xsd:double"&gt;1485.29&lt;/D&gt;&lt;D xsi:type="xsd:double"&gt;1502.25&lt;/D&gt;&lt;D xsi:type="xsd:double"&gt;1511.86&lt;/D&gt;&lt;D xsi:type="xsd:double"&gt;1537.1&lt;/D&gt;&lt;D xsi:type="xsd:double"&gt;1609.87&lt;/D&gt;&lt;D xsi:type="xsd:double"&gt;1616.23&lt;/D&gt;&lt;D xsi:type="xsd:double"&gt;1604.25&lt;/D&gt;&lt;D xsi:type="xsd:double"&gt;1572.9&lt;/D&gt;&lt;D xsi:type="xsd:double"&gt;1595.27&lt;/D&gt;&lt;D xsi:type="xsd:double"&gt;1621.99&lt;/D&gt;&lt;D xsi:type="xsd:double"&gt;1648.44&lt;/D&gt;&lt;D xsi:type="xsd:double"&gt;1666.5&lt;/D&gt;&lt;D xsi:type="xsd:double"&gt;1702.77&lt;/D&gt;&lt;D xsi:type="xsd:double"&gt;1696.67&lt;/D&gt;&lt;D xsi:type="xsd:double"&gt;1691.34&lt;/D&gt;&lt;D xsi:type="xsd:double"&gt;1699.36&lt;/D&gt;&lt;D xsi:type="xsd:double"&gt;1713.36&lt;/D&gt;&lt;D xsi:type="xsd:double"&gt;1739.98&lt;/D&gt;&lt;D xsi:type="xsd:double"&gt;1733.07&lt;/D&gt;&lt;D xsi:type="xsd:double"&gt;1733.18&lt;/D&gt;&lt;D xsi:type="xsd:double"&gt;1721.36&lt;/D&gt;&lt;D xsi:type="xsd:double"&gt;1735.16&lt;/D&gt;&lt;D xsi:type="xsd:double"&gt;1735.44&lt;/D&gt;&lt;D xsi:type="xsd:double"&gt;1730.44&lt;/D&gt;&lt;D xsi:type="xsd:double"&gt;1684.44&lt;/D&gt;&lt;D xsi:type="xsd:double"&gt;1732.14&lt;/D&gt;&lt;D xsi:type="xsd:double"&gt;1702.87&lt;/D&gt;&lt;D xsi:type="xsd:double"&gt;1674&lt;/D&gt;&lt;D xsi:type="xsd:double"&gt;1510.87&lt;/D&gt;&lt;D xsi:type="xsd:double"&gt;1471.46&lt;/D&gt;&lt;D xsi:type="xsd:double"&gt;1261.7&lt;/D&gt;&lt;D xsi:type="xsd:double"&gt;1283.22&lt;/D&gt;&lt;D xsi:type="xsd:double"&gt;1459.49&lt;/D&gt;&lt;D xsi:type="xsd:double"&gt;1325.13&lt;/D&gt;&lt;D xsi:type="xsd:double"&gt;1430.04&lt;/D&gt;&lt;D xsi:type="xsd:double"&gt;1442.54&lt;/D&gt;&lt;D xsi:type="xsd:double"&gt;1421.29&lt;/D&gt;&lt;D xsi:type="xsd:double"&gt;1431.26&lt;/D&gt;&lt;D xsi:type="xsd:double"&gt;1458.28&lt;/D&gt;&lt;D xsi:type="xsd:double"&gt;1453.77&lt;/D&gt;&lt;D xsi:type="xsd:double"&gt;1477.8&lt;/D&gt;&lt;D xsi:type="xsd:double"&gt;1563.67&lt;/D&gt;&lt;D xsi:type="xsd:double"&gt;1612.48&lt;/D&gt;&lt;D xsi:type="xsd:double"&gt;1570.68&lt;/D&gt;&lt;D xsi:type="xsd:double"&gt;1582.8&lt;/D&gt;&lt;D xsi:type="xsd:double"&gt;1577.37&lt;/D&gt;&lt;D xsi:type="xsd:d</t>
        </r>
      </text>
    </comment>
    <comment ref="A14" authorId="0" shapeId="0" xr:uid="{00000000-0006-0000-0000-00000E000000}">
      <text>
        <r>
          <rPr>
            <sz val="11"/>
            <color theme="1"/>
            <rFont val="맑은 고딕"/>
            <family val="2"/>
            <charset val="129"/>
            <scheme val="minor"/>
          </rPr>
          <t>ouble"&gt;1552.33&lt;/D&gt;&lt;D xsi:type="xsd:double"&gt;1535.2&lt;/D&gt;&lt;D xsi:type="xsd:double"&gt;1573.85&lt;/D&gt;&lt;D xsi:type="xsd:double"&gt;1572.96&lt;/D&gt;&lt;D xsi:type="xsd:double"&gt;1496.06&lt;/D&gt;&lt;D xsi:type="xsd:double"&gt;1546.74&lt;/D&gt;&lt;D xsi:type="xsd:double"&gt;1623.38&lt;/D&gt;&lt;D xsi:type="xsd:double"&gt;1604.06&lt;/D&gt;&lt;D xsi:type="xsd:double"&gt;1604.87&lt;/D&gt;&lt;D xsi:type="xsd:double"&gt;1616.6&lt;/D&gt;&lt;D xsi:type="xsd:double"&gt;1636.64&lt;/D&gt;&lt;D xsi:type="xsd:double"&gt;1646.42&lt;/D&gt;&lt;D xsi:type="xsd:double"&gt;1634.23&lt;/D&gt;&lt;D xsi:type="xsd:double"&gt;1609.22&lt;/D&gt;&lt;D xsi:type="xsd:double"&gt;1647.38&lt;/D&gt;&lt;D xsi:type="xsd:double"&gt;1617.69&lt;/D&gt;&lt;D xsi:type="xsd:double"&gt;1625.32&lt;/D&gt;&lt;D xsi:type="xsd:double"&gt;1579.33&lt;/D&gt;&lt;D xsi:type="xsd:double"&gt;1658.49&lt;/D&gt;&lt;D xsi:type="xsd:double"&gt;1703.22&lt;/D&gt;&lt;D xsi:type="xsd:double"&gt;1727.39&lt;/D&gt;&lt;D xsi:type="xsd:double"&gt;1786.52&lt;/D&gt;&lt;D xsi:type="xsd:double"&gt;1775.94&lt;/D&gt;&lt;D xsi:type="xsd:double"&gt;1782.01&lt;/D&gt;&lt;D xsi:type="xsd:double"&gt;1793.24&lt;/D&gt;&lt;D xsi:type="xsd:double"&gt;1778.41&lt;/D&gt;&lt;D xsi:type="xsd:double"&gt;1804.68&lt;/D&gt;&lt;D xsi:type="xsd:double"&gt;1854.94&lt;/D&gt;&lt;D xsi:type="xsd:double"&gt;1856.61&lt;/D&gt;&lt;D xsi:type="xsd:double"&gt;1856.64&lt;/D&gt;&lt;D xsi:type="xsd:double"&gt;1808.78&lt;/D&gt;&lt;D xsi:type="xsd:double"&gt;1890.95&lt;/D&gt;&lt;D xsi:type="xsd:double"&gt;1933.88&lt;/D&gt;&lt;D xsi:type="xsd:double"&gt;1928.95&lt;/D&gt;&lt;D xsi:type="xsd:double"&gt;1864.49&lt;/D&gt;&lt;D xsi:type="xsd:double"&gt;1896.18&lt;/D&gt;&lt;D xsi:type="xsd:double"&gt;1951.06&lt;/D&gt;&lt;D xsi:type="xsd:double"&gt;2012.21&lt;/D&gt;&lt;D xsi:type="xsd:double"&gt;1984.16&lt;/D&gt;&lt;D xsi:type="xsd:double"&gt;1971.62&lt;/D&gt;&lt;D xsi:type="xsd:double"&gt;1959.47&lt;/D&gt;&lt;D xsi:type="xsd:double"&gt;1960.87&lt;/D&gt;&lt;D xsi:type="xsd:double"&gt;1914.98&lt;/D&gt;&lt;D xsi:type="xsd:double"&gt;1898.24&lt;/D&gt;&lt;D xsi:type="xsd:double"&gt;1933.05&lt;/D&gt;&lt;D xsi:type="xsd:double"&gt;1883.42&lt;/D&gt;&lt;D xsi:type="xsd:double"&gt;1904.69&lt;/D&gt;&lt;D xsi:type="xsd:double"&gt;1947.44&lt;/D&gt;&lt;D xsi:type="xsd:double"&gt;1959.19&lt;/D&gt;&lt;D xsi:type="xsd:double"&gt;1954.02&lt;/D&gt;&lt;D xsi:type="xsd:double"&gt;1946.56&lt;/D&gt;&lt;D xsi:type="xsd:double"&gt;1962.65&lt;/D&gt;&lt;D xsi:type="xsd:double"&gt;1956.31&lt;/D&gt;&lt;D xsi:type="xsd:double"&gt;1912.38&lt;/D&gt;&lt;D xsi:type="xsd:double"&gt;1932.19&lt;/D&gt;&lt;D xsi:type="xsd:double"&gt;1904.41&lt;/D&gt;&lt;D xsi:type="xsd:double"&gt;1901.08&lt;/D&gt;&lt;D xsi:type="xsd:double"&gt;1929.34&lt;/D&gt;&lt;D xsi:type="xsd:double"&gt;1956.39&lt;/D&gt;&lt;D xsi:type="xsd:double"&gt;1880.68&lt;/D&gt;&lt;D xsi:type="xsd:double"&gt;1928.77&lt;/D&gt;&lt;D xsi:type="xsd:double"&gt;2015.45&lt;/D&gt;&lt;D xsi:type="xsd:double"&gt;2091.65&lt;/D&gt;&lt;D xsi:type="xsd:double"&gt;2100.17&lt;/D&gt;&lt;D xsi:type="xsd:double"&gt;2090.75&lt;/D&gt;&lt;D xsi:type="xsd:double"&gt;1986.31&lt;/D&gt;&lt;D xsi:type="xsd:double"&gt;1961.85&lt;/D&gt;&lt;D xsi:type="xsd:double"&gt;2023.93&lt;/D&gt;&lt;D xsi:type="xsd:double"&gt;2002.23&lt;/D&gt;&lt;D xsi:type="xsd:double"&gt;2001.18&lt;/D&gt;&lt;D xsi:type="xsd:double"&gt;2041.42&lt;/D&gt;&lt;D xsi:type="xsd:double"&gt;2040.6&lt;/D&gt;&lt;D xsi:type="xsd:double"&gt;2044.53&lt;/D&gt;&lt;D xsi:type="xsd:double"&gt;1984.98&lt;/D&gt;&lt;D xsi:type="xsd:double"&gt;1957.86&lt;/D&gt;&lt;D xsi:type="xsd:double"&gt;1975.48&lt;/D&gt;&lt;D xsi:type="xsd:double"&gt;1984.47&lt;/D&gt;&lt;D xsi:type="xsd:double"&gt;1986.78&lt;/D&gt;&lt;D xsi:type="xsd:double"&gt;1992.33&lt;/D&gt;&lt;D xsi:type="xsd:double"&gt;1995.68&lt;/D&gt;&lt;D xsi:type="xsd:double"&gt;1977.66&lt;/D&gt;&lt;D xsi:type="xsd:double"&gt;1927.18&lt;/D&gt;&lt;D xsi:type="xsd:double"&gt;1876.89&lt;/D&gt;&lt;D xsi:type="xsd:double"&gt;1930.56&lt;/D&gt;&lt;D xsi:type="xsd:double"&gt;1962.61&lt;/D&gt;&lt;D xsi:type="xsd:double"&gt;1924.31&lt;/D&gt;&lt;D xsi:type="xsd:double"&gt;1876.24&lt;/D&gt;&lt;D xsi:type="xsd:double"&gt;1844.94&lt;/D&gt;&lt;D xsi:type="xsd:double"&gt;1799.54&lt;/D&gt;&lt;D xsi:type="xsd:double"&gt;1909.27&lt;/D&gt;&lt;D xsi:type="xsd:double"&gt;1981.47&lt;/D&gt;&lt;D xsi:type="xsd:double"&gt;1944.27&lt;/D&gt;&lt;D xsi:type="xsd:double"&gt;1896.79&lt;/D&gt;&lt;D xsi:type="xsd:double"&gt;1896.31&lt;/D&gt;&lt;D xsi:type="xsd:double"&gt;1905.15&lt;/D&gt;&lt;D xsi:type="xsd:double"&gt;1899.62&lt;/D&gt;&lt;D xsi:type="xsd:double"&gt;1915.91&lt;/D&gt;&lt;D xsi:type="xsd:double"&gt;1864.2&lt;/D&gt;&lt;D xsi:type="xsd:double"&gt;1877.37&lt;/D&gt;&lt;D xsi:type="xsd:double"&gt;1887.3&lt;/D&gt;&lt;D xsi:type="xsd:double"&gt;1933.14&lt;/D&gt;&lt;D xsi:type="xsd:double"&gt;1943.09&lt;/D&gt;&lt;D xsi:type="xsd:double"&gt;1835.9&lt;/D&gt;&lt;D xsi:type="xsd:double"&gt;1866.72&lt;/D&gt;&lt;D xsi:type="xsd:double"&gt;1845.04&lt;/D&gt;&lt;D xsi:type="xsd:double"&gt;1887.43&lt;/D&gt;&lt;D xsi:type="xsd:double"&gt;1892.5&lt;/D&gt;&lt;D xsi:type="xsd:double"&gt;1955.97&lt;/D&gt;&lt;D xsi:type="xsd:double"&gt;1940.31&lt;/D&gt;&lt;D xsi:type="xsd:double"&gt;1947.17&lt;/D&gt;&lt;D xsi:type="xsd:double"&gt;1973.18&lt;/D&gt;&lt;D xsi:type="xsd:double"&gt;1994.52&lt;/D&gt;&lt;D xsi:type="xsd:double"&gt;1979.59&lt;/D&gt;&lt;D xsi:type="xsd:double"&gt;1930.17&lt;/D&gt;&lt;D xsi:type="xsd:double"&gt;1965.53&lt;/D&gt;&lt;D xsi:type="xsd:double"&gt;1938.56&lt;/D&gt;&lt;D xsi:type="xsd:double"&gt;1916.12&lt;/D&gt;&lt;D xsi:type="xsd:double"&gt;1835.94&lt;/D&gt;&lt;D xsi:type="xsd:double"&gt;1906.8&lt;/D&gt;&lt;D xsi:type="xsd:double"&gt;1898.19&lt;/D&gt;&lt;D xsi:type="xsd:double"&gt;1881.98&lt;/D&gt;&lt;D xsi:type="xsd:double"&gt;1899.05&lt;/D&gt;&lt;D xsi:type="xsd:double"&gt;1915.4&lt;/D&gt;&lt;D xsi:type="xsd:double"&gt;1977.76&lt;/D&gt;&lt;D xsi:type="xsd:double"&gt;1967.03&lt;/D&gt;&lt;D xsi:type="xsd:double"&gt;2018&lt;/D&gt;&lt;D xsi:type="xsd:double"&gt;1953.98&lt;/D&gt;&lt;D xsi:type="xsd:double"&gt;1961.56&lt;/D&gt;&lt;D xsi:type="xsd:double"&gt;1950.21&lt;/D&gt;&lt;D xsi:type="xsd:double"&gt;1897.94&lt;/D&gt;&lt;D xsi:type="xsd:double"&gt;1891.71&lt;/D&gt;&lt;D xsi:type="xsd:double"&gt;1875.76&lt;/D&gt;&lt;D xsi:type="xsd:double"&gt;1903.08&lt;/D&gt;&lt;D xsi:type="xsd:double"&gt;1926.87&lt;/D&gt;&lt;D xsi:type="xsd:double"&gt;1982.66&lt;/D&gt;&lt;D xsi:type="xsd:double"&gt;1970.26&lt;/D&gt;&lt;D xsi:type="xsd:double"&gt;1986.96&lt;/D&gt;&lt;D xsi:type="xsd:double"&gt;1991.93&lt;/D&gt;&lt;D xsi:type="xsd:double"&gt;1988.4&lt;/D&gt;&lt;D xsi:type="xsd:double"&gt;2019.52&lt;/D&gt;&lt;D xsi:type="xsd:double"&gt;2031.58&lt;/D&gt;&lt;D xsi:type="xsd:double"&gt;1959.42&lt;/D&gt;&lt;D xsi:type="xsd:double"&gt;1955.32&lt;/D&gt;&lt;D xsi:type="xsd:double"&gt;2003.5&lt;/D&gt;&lt;D xsi:type="xsd:double"&gt;1965.44&lt;/D&gt;&lt;D xsi:type="xsd:double"&gt;2018.72&lt;/D&gt;&lt;D xsi:type="xsd:double"&gt;2035.06&lt;/D&gt;&lt;D xsi:type="xsd:double"&gt;2057.48&lt;/D&gt;&lt;D xsi:type="xsd:double"&gt;2075.53&lt;/D&gt;&lt;D xsi:type="xsd:double"&gt;2096.39&lt;/D&gt;&lt;D xsi:type="xsd:double"&gt;2161.69&lt;/D&gt;&lt;D xsi:type="xsd:double"&gt;2145.84&lt;/D&gt;&lt;D xsi:type="xsd:double"&gt;2182.7&lt;/D&gt;&lt;D xsi:type="xsd:double"&gt;2224.32&lt;/D&gt;&lt;D xsi:type="xsd:double"&gt;2300.36&lt;/D&gt;&lt;D xsi:type="xsd:double"&gt;2264.73&lt;/D&gt;&lt;D xsi:type="xsd:double"&gt;2288.6&lt;/D&gt;&lt;D xsi:type="xsd:double"&gt;2254.9&lt;/D&gt;&lt;D xsi:type="xsd:double"&gt;2239.1&lt;/D&gt;&lt;D xsi:type="xsd:double"&gt;2262.2&lt;/D&gt;&lt;D xsi:type="xsd:double"&gt;2290.61&lt;/D&gt;&lt;D xsi:type="xsd:double"&gt;2274.63&lt;/D&gt;&lt;D xsi:type="xsd:double"&gt;2303.51&lt;/D&gt;&lt;D xsi:type="xsd:double"&gt;2237.29&lt;/D&gt;&lt;D xsi:type="xsd:double"&gt;2266.4&lt;/D&gt;&lt;D xsi:type="xsd:double"&gt;2349.75&lt;/D&gt;&lt;D xsi:type="xsd:double"&gt;2359.02&lt;/D&gt;&lt;D xsi:type="xsd:double"&gt;2428.38&lt;/D&gt;&lt;D xsi:type="xsd:double"&gt;2376.27&lt;/D&gt;&lt;D xsi:type="xsd:double"&gt;2323.39&lt;/D&gt;&lt;D xsi:type="xsd:double"&gt;2264.08&lt;/D&gt;&lt;D xsi:type="xsd:double"&gt;2308.75&lt;/D&gt;&lt;D xsi:type="xsd:double"&gt;2255.65&lt;/D&gt;&lt;D xsi:type="xsd:double"&gt;2254.65&lt;/D&gt;&lt;D xsi:type="xsd:double"&gt;2322.39&lt;/D&gt;&lt;D xsi:type="xsd:double"&gt;2336.72&lt;/D&gt;&lt;D xsi:type="xsd:double"&gt;2391.05&lt;/D&gt;&lt;D xsi:type="xsd:double"&gt;2390.94&lt;/D&gt;&lt;D xsi:type="xsd:double"&gt;2382.52&lt;/D&gt;&lt;D xsi:type="xsd:double"&gt;2324.47&lt;/D&gt;&lt;D xsi:type="xsd:double"&gt;2332.28&lt;/D&gt;&lt;D xsi:type="xsd:double"&gt;2336.43&lt;/D&gt;&lt;D xsi:type="xsd:double"&gt;2366.39&lt;/D&gt;&lt;D xsi:type="xsd:double"&gt;2393.54&lt;/D&gt;&lt;D xsi:type="xsd:double"&gt;2494.23&lt;/D&gt;&lt;D xsi:type="xsd:double"&gt;2510.03&lt;/D&gt;&lt;D xsi:type="xsd:double"&gt;2497.65&lt;/D&gt;&lt;D xsi:type="xsd:double"&gt;2539.68&lt;/D&gt;&lt;D xsi:type="xsd:double"&gt;2557.88&lt;/D&gt;&lt;D xsi:type="xsd:double"&gt;2624.73&lt;/D&gt;&lt;D xsi:type="xsd:double"&gt;2660.71&lt;/D&gt;&lt;D xsi:type="xsd:double"&gt;2709.42&lt;/D&gt;&lt;D xsi:type="xsd:double"&gt;2726.8&lt;/D&gt;&lt;D xsi:type="xsd:double"&gt;2670.8&lt;/D&gt;&lt;D xsi:type="xsd:double"&gt;2813.22&lt;/D&gt;&lt;D xsi:type="xsd:double"&gt;2768.62&lt;/D&gt;&lt;D xsi:type="xsd:double"&gt;2702.62&lt;/D&gt;&lt;D xsi:type="xsd:double"&gt;2759.64&lt;/D&gt;&lt;D xsi:type="xsd:double"&gt;2626.32&lt;/D&gt;&lt;D xsi:type="xsd:double"&gt;2686.48&lt;/D&gt;&lt;D xsi:type="xsd:double"&gt;2728.53&lt;/D&gt;&lt;D xsi:type="xsd:double"&gt;2728.21&lt;/D&gt;&lt;D xsi:type="xsd:double"&gt;2745.62&lt;/D&gt;&lt;D xsi:type="xsd:double"&gt;2742.54&lt;/D&gt;&lt;D xsi:type="xsd:double"&gt;2772.49&lt;/D&gt;&lt;D xsi:type="xsd:double"&gt;2755.03&lt;/D&gt;&lt;D xsi:type="xsd:double"&gt;2746.61&lt;/D&gt;&lt;D xsi:type="xsd:double"&gt;2724.69&lt;/D&gt;&lt;D xsi:type="xsd:double"&gt;2809.63&lt;/D&gt;&lt;D xsi:type="xsd:double"&gt;2884.18&lt;/D&gt;&lt;D xsi:type="xsd:double"&gt;2894.56&lt;/D&gt;&lt;D xsi:type="xsd:double"&gt;2860.83&lt;/D&gt;&lt;D xsi:type="xsd:double"&gt;2699.54&lt;/D&gt;&lt;D xsi:type="xsd:double"&gt;2537.6&lt;/D&gt;&lt;D xsi:type="xsd:double"&gt;2483.3&lt;/D&gt;&lt;D xsi:type="xsd:double"&gt;2678.6&lt;/D&gt;&lt;D xsi:type="xsd:double"&gt;2684.72&lt;/D&gt;&lt;D xsi:type="xsd:double"&gt;2712.63&lt;/D&gt;&lt;D xsi:type="xsd:double"&gt;2597.42&lt;/D&gt;&lt;D xsi:type="xsd:double"&gt;2571.14&lt;/D&gt;&lt;D xsi:type="xsd:double"&gt;2642.35&lt;/D&gt;&lt;D xsi:type="xsd:double"&gt;2740.94&lt;/D&gt;&lt;D xsi:type="xsd:double"&gt;2694.07&lt;/D&gt;&lt;D xsi:type="xsd:double"&gt;2706.2&lt;/D&gt;&lt;D xsi:type="xsd:double"&gt;2688.98&lt;/D&gt;&lt;D xsi:type="xsd:double"&gt;2618.32&lt;/D&gt;&lt;D xsi:type="xsd:double"&gt;2644.26&lt;/D&gt;&lt;D xsi:type="xsd:double"&gt;2742.15&lt;/D&gt;&lt;D xsi:type="xsd:double"&gt;2711.64&lt;/D&gt;&lt;D xsi:type="xsd:double"&gt;2696.53&lt;/D&gt;&lt;D xsi:type="xsd:double"&gt;2680.71&lt;/D&gt;&lt;D xsi:type="xsd:double"&gt;2727.22&lt;/D&gt;&lt;D xsi:type="xsd:double"&gt;2746.56&lt;/D&gt;&lt;D xsi:type="xsd:double"&gt;2701.99&lt;/D&gt;&lt;D xsi:type="xsd:double"&gt;2801.68&lt;/D&gt;&lt;D xsi:type="xsd:double"&gt;2784.92&lt;/D&gt;&lt;D xsi:type="xsd:double"&gt;2714.12&lt;/D&gt;&lt;D xsi:type="xsd:double"&gt;2679.42&lt;/D&gt;&lt;D xsi:type="xsd:double"&gt;2751.04&lt;/D&gt;&lt;D xsi:type="xsd:double"&gt;2788.66&lt;/D&gt;&lt;D xsi:type="xsd:double"&gt;2737.23&lt;/D&gt;&lt;D xsi:type="xsd:double"&gt;2759.21&lt;/D&gt;&lt;D xsi:type="xsd:double"&gt;2736.53&lt;/D&gt;&lt;D xsi:type="xsd:double"&gt;2682.09&lt;/D&gt;&lt;D xsi:type="xsd:double"&gt;2708.59&lt;/D&gt;&lt;D xsi:type="xsd:double"&gt;2715.85&lt;/D&gt;&lt;D xsi:type="xsd:double"&gt;2804.16&lt;/D&gt;&lt;D xsi:type="xsd:double"&gt;2757.25&lt;/D&gt;&lt;D xsi:type="xsd:double"&gt;2482.06&lt;/D&gt;&lt;D xsi:type="xsd:double"&gt;2466.91&lt;/D&gt;&lt;D xsi:type="xsd:double"&gt;2559.15&lt;/D&gt;&lt;D xsi:type="xsd:double"&gt;2628.03&lt;/D&gt;&lt;D xsi:type="xsd:double"&gt;2687.78&lt;/D&gt;&lt;D xsi:type="xsd:double"&gt;2733.49&lt;/D&gt;&lt;D xsi:type="xsd:double"&gt;2740.45&lt;/D&gt;&lt;D xsi:type="xsd:double"&gt;2735.52&lt;/D&gt;&lt;D xsi:type="xsd:double"&gt;2801.57&lt;/D&gt;&lt;D xsi:type="xsd:double"&gt;2769.33&lt;/D&gt;&lt;D xsi:type="xsd:double"&gt;2756.47&lt;/D&gt;&lt;D xsi:type="xsd:double"&gt;2771.26&lt;/D&gt;&lt;D xsi:type="xsd:double"&gt;2840.54&lt;/D&gt;&lt;D xsi:type="xsd:double"&gt;2827.95&lt;/D&gt;&lt;D xsi:type="xsd:double"&gt;2823.24&lt;/D&gt;&lt;D xsi:type="xsd:double"&gt;2834.48&lt;/D&gt;&lt;D xsi:type="xsd:double"&gt;2951.86&lt;/D&gt;&lt;D xsi:type="xsd:double"&gt;2948.65&lt;/D&gt;&lt;D xsi:type="xsd:double"&gt;3024.21&lt;/D&gt;&lt;D xsi:type="xsd:double"&gt;3107.68&lt;/D&gt;&lt;D xsi:type="xsd:double"&gt;3100.87&lt;/D&gt;&lt;D xsi:type="xsd:double"&gt;3075.18&lt;/D&gt;&lt;D xsi:type="xsd:double"&gt;3105.31&lt;/D&gt;&lt;D xsi:type="xsd:double"&gt;3160.49&lt;/D&gt;&lt;D xsi:type="xsd:double"&gt;3147.68&lt;/D&gt;&lt;D xsi:type="xsd:double"&gt;3187.02&lt;/D&gt;&lt;D xsi:type="xsd:double"&gt;3129.17&lt;/D&gt;&lt;D xsi:type="xsd:double"&gt;3197.59&lt;/D&gt;&lt;D xsi:type="xsd:double"&gt;3170.44&lt;/D&gt;&lt;D xsi:type="xsd:double"&gt;3269.45&lt;/D&gt;&lt;D xsi:type="xsd:double"&gt;3331.83&lt;/D&gt;&lt;D xsi:type="xsd:double"&gt;3298.85&lt;/D&gt;&lt;D xsi:type="xsd:double"&gt;3359.81&lt;/D&gt;&lt;D xsi:type="xsd:double"&gt;3297.73&lt;/D&gt;&lt;D xsi:type="xsd:double"&gt;3378.44&lt;/D&gt;&lt;D xsi:type="xsd:double"&gt;3362.56&lt;/D&gt;&lt;D xsi:type="xsd:double"&gt;3423.83&lt;/D&gt;&lt;D xsi:type="xsd:double"&gt;3383.66&lt;/D&gt;&lt;D xsi:type="xsd:double"&gt;3423.06&lt;/D&gt;&lt;D xsi:type="xsd:double"&gt;3408.97&lt;/D&gt;&lt;D xsi:type="xsd:double"&gt;3514.11&lt;/D&gt;&lt;D xsi:type="xsd:double"&gt;3658.68&lt;/D&gt;&lt;D xsi:type="xsd:double"&gt;3629.7&lt;/D&gt;&lt;D xsi:type="xsd:double"&gt;3566.32&lt;/D&gt;&lt;D xsi:type="xsd:double"&gt;3699&lt;/D&gt;&lt;D xsi:type="xsd:double"&gt;3818.85&lt;/D&gt;&lt;D xsi:type="xsd:double"&gt;3808.48&lt;/D&gt;&lt;/FQL&gt;&lt;FQL&gt;&lt;Q&gt;SP50_USA^P_PRICE(1/4/2019,NOW,W)&lt;/Q&gt;&lt;R&gt;0&lt;/R&gt;&lt;C&gt;0&lt;/C&gt;&lt;/FQL&gt;&lt;/Schema&gt;</t>
        </r>
      </text>
    </comment>
  </commentList>
</comments>
</file>

<file path=xl/sharedStrings.xml><?xml version="1.0" encoding="utf-8"?>
<sst xmlns="http://schemas.openxmlformats.org/spreadsheetml/2006/main" count="456" uniqueCount="420">
  <si>
    <t>DATE</t>
  </si>
  <si>
    <t>USD/KRW</t>
  </si>
  <si>
    <t>USD/EUR</t>
  </si>
  <si>
    <t>USD/HKD</t>
  </si>
  <si>
    <t>USD/TWD</t>
  </si>
  <si>
    <t>USD/JPY</t>
  </si>
  <si>
    <t>This sheet contains FactSet XML data for use with this workbook's =FDS codes.  Modifying the worksheet's contents may damage the workbook's =FDS functionality.</t>
  </si>
  <si>
    <t>HMM</t>
  </si>
  <si>
    <t>Maersk</t>
  </si>
  <si>
    <t>Hapag-Lloyd</t>
  </si>
  <si>
    <t>COSCO Shipping</t>
  </si>
  <si>
    <t>ZIM</t>
  </si>
  <si>
    <t>Evergreen</t>
  </si>
  <si>
    <t>Yang Ming</t>
  </si>
  <si>
    <t>Wan Hai</t>
  </si>
  <si>
    <t>팬오션</t>
  </si>
  <si>
    <t>대한해운</t>
  </si>
  <si>
    <t>Star Bulk</t>
  </si>
  <si>
    <t>Golden Ocean</t>
  </si>
  <si>
    <t>Genco Shipping</t>
  </si>
  <si>
    <t>Diana Shipping</t>
  </si>
  <si>
    <t>Safe Bulkers</t>
  </si>
  <si>
    <t>KSS해운</t>
  </si>
  <si>
    <t>BW LPG</t>
  </si>
  <si>
    <t>Dorian LPG</t>
  </si>
  <si>
    <t>Navigator Holdings</t>
  </si>
  <si>
    <t>Frontline</t>
  </si>
  <si>
    <t>DHT Holdings</t>
  </si>
  <si>
    <t>Teekay Tankers</t>
  </si>
  <si>
    <t>Intl Seaways</t>
  </si>
  <si>
    <t>Scorpio Tankers</t>
  </si>
  <si>
    <t>Torm</t>
  </si>
  <si>
    <t>NYK Line</t>
  </si>
  <si>
    <t>MOL</t>
  </si>
  <si>
    <t>K-Line</t>
  </si>
  <si>
    <t>한국 KOSPI</t>
  </si>
  <si>
    <t>미국 S&amp;P 500</t>
  </si>
  <si>
    <t>유럽 STOXX 600</t>
  </si>
  <si>
    <t>홍콩 HSI</t>
  </si>
  <si>
    <t>대만 TAIEX</t>
  </si>
  <si>
    <t>일본 TOPIX</t>
  </si>
  <si>
    <t>CCFI</t>
  </si>
  <si>
    <t xml:space="preserve">BDI </t>
  </si>
  <si>
    <t>BDTI</t>
  </si>
  <si>
    <t>BCTI</t>
  </si>
  <si>
    <t>Brent</t>
  </si>
  <si>
    <t>DXY</t>
  </si>
  <si>
    <t>2026-02-20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</si>
  <si>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</si>
  <si>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</si>
  <si>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</si>
  <si>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</si>
  <si>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</si>
  <si>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</si>
  <si>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</si>
  <si>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</si>
  <si>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</si>
  <si>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</si>
  <si>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</si>
  <si>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</si>
  <si>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</si>
  <si>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</si>
  <si>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</si>
  <si>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</si>
  <si>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</si>
  <si>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</si>
  <si>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</si>
  <si>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</si>
  <si>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</si>
  <si>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</si>
  <si>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</si>
  <si>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</si>
  <si>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</si>
  <si>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</si>
  <si>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</si>
  <si>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</si>
  <si>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</si>
  <si>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</si>
  <si>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</si>
  <si>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</si>
  <si>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</si>
  <si>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</si>
  <si>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</si>
  <si>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</si>
  <si>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</si>
  <si>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</si>
  <si>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</si>
  <si>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</si>
  <si>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</si>
  <si>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</si>
  <si>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</si>
  <si>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</si>
  <si>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2025-04-11</t>
  </si>
  <si>
    <t>2025-04-04</t>
  </si>
  <si>
    <t>2025-03-28</t>
  </si>
  <si>
    <t>2025-03-21</t>
  </si>
  <si>
    <t>2025-03-14</t>
  </si>
  <si>
    <t>2025-03-07</t>
  </si>
  <si>
    <t>2025-02-28</t>
  </si>
  <si>
    <t>2025-02-21</t>
  </si>
  <si>
    <t>2025-02-14</t>
  </si>
  <si>
    <t>2025-02-07</t>
  </si>
  <si>
    <t>2025-01-31</t>
  </si>
  <si>
    <t>2025-01-24</t>
  </si>
  <si>
    <t>2025-01-17</t>
  </si>
  <si>
    <t>2025-01-10</t>
  </si>
  <si>
    <t>2025-01-03</t>
  </si>
  <si>
    <t>2024-12-27</t>
  </si>
  <si>
    <t>2024-12-20</t>
  </si>
  <si>
    <t>2024-12-13</t>
  </si>
  <si>
    <t>2024-12-06</t>
  </si>
  <si>
    <t>2024-11-29</t>
  </si>
  <si>
    <t>2024-11-22</t>
  </si>
  <si>
    <t>2024-11-15</t>
  </si>
  <si>
    <t>2024-11-08</t>
  </si>
  <si>
    <t>2024-11-01</t>
  </si>
  <si>
    <t>2024-10-25</t>
  </si>
  <si>
    <t>2024-10-18</t>
  </si>
  <si>
    <t>2024-10-11</t>
  </si>
  <si>
    <t>2024-10-04</t>
  </si>
  <si>
    <t>2024-09-27</t>
  </si>
  <si>
    <t>2024-09-20</t>
  </si>
  <si>
    <t>2024-09-13</t>
  </si>
  <si>
    <t>2024-09-06</t>
  </si>
  <si>
    <t>2024-08-30</t>
  </si>
  <si>
    <t>2024-08-23</t>
  </si>
  <si>
    <t>2024-08-16</t>
  </si>
  <si>
    <t>2024-08-09</t>
  </si>
  <si>
    <t>2024-08-02</t>
  </si>
  <si>
    <t>2024-07-26</t>
  </si>
  <si>
    <t>2024-07-19</t>
  </si>
  <si>
    <t>2024-07-12</t>
  </si>
  <si>
    <t>2024-07-05</t>
  </si>
  <si>
    <t>2024-06-28</t>
  </si>
  <si>
    <t>2024-06-21</t>
  </si>
  <si>
    <t>2024-06-14</t>
  </si>
  <si>
    <t>2024-06-07</t>
  </si>
  <si>
    <t>2024-05-31</t>
  </si>
  <si>
    <t>2024-05-24</t>
  </si>
  <si>
    <t>2024-05-17</t>
  </si>
  <si>
    <t>2024-05-10</t>
  </si>
  <si>
    <t>2024-05-03</t>
  </si>
  <si>
    <t>2024-04-26</t>
  </si>
  <si>
    <t>2024-04-19</t>
  </si>
  <si>
    <t>2024-04-12</t>
  </si>
  <si>
    <t>2024-04-05</t>
  </si>
  <si>
    <t>2024-03-29</t>
  </si>
  <si>
    <t>2024-03-22</t>
  </si>
  <si>
    <t>2024-03-15</t>
  </si>
  <si>
    <t>2024-03-08</t>
  </si>
  <si>
    <t>2024-03-01</t>
  </si>
  <si>
    <t>2024-02-23</t>
  </si>
  <si>
    <t>2024-02-16</t>
  </si>
  <si>
    <t>2024-02-09</t>
  </si>
  <si>
    <t>2024-02-02</t>
  </si>
  <si>
    <t>2024-01-26</t>
  </si>
  <si>
    <t>2024-01-19</t>
  </si>
  <si>
    <t>2024-01-12</t>
  </si>
  <si>
    <t>2024-01-05</t>
  </si>
  <si>
    <t>2023-12-29</t>
  </si>
  <si>
    <t>2023-12-22</t>
  </si>
  <si>
    <t>2023-12-15</t>
  </si>
  <si>
    <t>2023-12-08</t>
  </si>
  <si>
    <t>2023-12-01</t>
  </si>
  <si>
    <t>2023-11-24</t>
  </si>
  <si>
    <t>2023-11-17</t>
  </si>
  <si>
    <t>2023-11-10</t>
  </si>
  <si>
    <t>2023-11-03</t>
  </si>
  <si>
    <t>2023-10-27</t>
  </si>
  <si>
    <t>2023-10-20</t>
  </si>
  <si>
    <t>2023-10-13</t>
  </si>
  <si>
    <t>2023-10-06</t>
  </si>
  <si>
    <t>2023-09-29</t>
  </si>
  <si>
    <t>2023-09-22</t>
  </si>
  <si>
    <t>2023-09-15</t>
  </si>
  <si>
    <t>2023-09-08</t>
  </si>
  <si>
    <t>2023-09-01</t>
  </si>
  <si>
    <t>2023-08-25</t>
  </si>
  <si>
    <t>2023-08-18</t>
  </si>
  <si>
    <t>2023-08-11</t>
  </si>
  <si>
    <t>2023-08-04</t>
  </si>
  <si>
    <t>2023-07-28</t>
  </si>
  <si>
    <t>2023-07-21</t>
  </si>
  <si>
    <t>2023-07-14</t>
  </si>
  <si>
    <t>2023-07-07</t>
  </si>
  <si>
    <t>2023-06-30</t>
  </si>
  <si>
    <t>2023-06-23</t>
  </si>
  <si>
    <t>2023-06-16</t>
  </si>
  <si>
    <t>2023-06-09</t>
  </si>
  <si>
    <t>2023-06-02</t>
  </si>
  <si>
    <t>2023-05-26</t>
  </si>
  <si>
    <t>2023-05-19</t>
  </si>
  <si>
    <t>2023-05-12</t>
  </si>
  <si>
    <t>2023-05-05</t>
  </si>
  <si>
    <t>2023-04-28</t>
  </si>
  <si>
    <t>2023-04-21</t>
  </si>
  <si>
    <t>2023-04-14</t>
  </si>
  <si>
    <t>2023-04-07</t>
  </si>
  <si>
    <t>2023-03-31</t>
  </si>
  <si>
    <t>2023-03-24</t>
  </si>
  <si>
    <t>2023-03-17</t>
  </si>
  <si>
    <t>2023-03-10</t>
  </si>
  <si>
    <t>2023-03-03</t>
  </si>
  <si>
    <t>2023-02-24</t>
  </si>
  <si>
    <t>2023-02-17</t>
  </si>
  <si>
    <t>2023-02-10</t>
  </si>
  <si>
    <t>2023-02-03</t>
  </si>
  <si>
    <t>2023-01-27</t>
  </si>
  <si>
    <t>2023-01-20</t>
  </si>
  <si>
    <t>2023-01-13</t>
  </si>
  <si>
    <t>2023-01-06</t>
  </si>
  <si>
    <t>2022-12-30</t>
  </si>
  <si>
    <t>2022-12-23</t>
  </si>
  <si>
    <t>2022-12-16</t>
  </si>
  <si>
    <t>2022-12-09</t>
  </si>
  <si>
    <t>2022-12-02</t>
  </si>
  <si>
    <t>2022-11-25</t>
  </si>
  <si>
    <t>2022-11-18</t>
  </si>
  <si>
    <t>2022-11-11</t>
  </si>
  <si>
    <t>2022-11-04</t>
  </si>
  <si>
    <t>2022-10-28</t>
  </si>
  <si>
    <t>2022-10-21</t>
  </si>
  <si>
    <t>2022-10-14</t>
  </si>
  <si>
    <t>2022-10-07</t>
  </si>
  <si>
    <t>2022-09-30</t>
  </si>
  <si>
    <t>2022-09-23</t>
  </si>
  <si>
    <t>2022-09-16</t>
  </si>
  <si>
    <t>2022-09-09</t>
  </si>
  <si>
    <t>2022-09-02</t>
  </si>
  <si>
    <t>2022-08-26</t>
  </si>
  <si>
    <t>2022-08-19</t>
  </si>
  <si>
    <t>2022-08-12</t>
  </si>
  <si>
    <t>2022-08-05</t>
  </si>
  <si>
    <t>2022-07-29</t>
  </si>
  <si>
    <t>2022-07-22</t>
  </si>
  <si>
    <t>2022-07-15</t>
  </si>
  <si>
    <t>2022-07-08</t>
  </si>
  <si>
    <t>2022-07-01</t>
  </si>
  <si>
    <t>2022-06-24</t>
  </si>
  <si>
    <t>2022-06-17</t>
  </si>
  <si>
    <t>2022-06-10</t>
  </si>
  <si>
    <t>2022-06-03</t>
  </si>
  <si>
    <t>2022-05-27</t>
  </si>
  <si>
    <t>2022-05-20</t>
  </si>
  <si>
    <t>2022-05-13</t>
  </si>
  <si>
    <t>2022-05-06</t>
  </si>
  <si>
    <t>2022-04-29</t>
  </si>
  <si>
    <t>2022-04-22</t>
  </si>
  <si>
    <t>2022-04-15</t>
  </si>
  <si>
    <t>2022-04-08</t>
  </si>
  <si>
    <t>2022-04-01</t>
  </si>
  <si>
    <t>2022-03-25</t>
  </si>
  <si>
    <t>2022-03-18</t>
  </si>
  <si>
    <t>2022-03-11</t>
  </si>
  <si>
    <t>2022-03-04</t>
  </si>
  <si>
    <t>2022-02-25</t>
  </si>
  <si>
    <t>2022-02-18</t>
  </si>
  <si>
    <t>2022-02-11</t>
  </si>
  <si>
    <t>2022-02-04</t>
  </si>
  <si>
    <t>2022-01-28</t>
  </si>
  <si>
    <t>2022-01-21</t>
  </si>
  <si>
    <t>2022-01-14</t>
  </si>
  <si>
    <t>2022-01-07</t>
  </si>
  <si>
    <t>2021-12-31</t>
  </si>
  <si>
    <t>2021-12-24</t>
  </si>
  <si>
    <t>2021-12-17</t>
  </si>
  <si>
    <t>2021-12-10</t>
  </si>
  <si>
    <t>2021-12-03</t>
  </si>
  <si>
    <t>2021-11-26</t>
  </si>
  <si>
    <t>2021-11-19</t>
  </si>
  <si>
    <t>2021-11-12</t>
  </si>
  <si>
    <t>2021-11-05</t>
  </si>
  <si>
    <t>2021-10-29</t>
  </si>
  <si>
    <t>2021-10-22</t>
  </si>
  <si>
    <t>2021-10-15</t>
  </si>
  <si>
    <t>2021-10-08</t>
  </si>
  <si>
    <t>2021-10-01</t>
  </si>
  <si>
    <t>2021-09-24</t>
  </si>
  <si>
    <t>2021-09-17</t>
  </si>
  <si>
    <t>2021-09-10</t>
  </si>
  <si>
    <t>2021-09-03</t>
  </si>
  <si>
    <t>2021-08-27</t>
  </si>
  <si>
    <t>2021-08-20</t>
  </si>
  <si>
    <t>2021-08-13</t>
  </si>
  <si>
    <t>2021-08-06</t>
  </si>
  <si>
    <t>2021-07-30</t>
  </si>
  <si>
    <t>2021-07-23</t>
  </si>
  <si>
    <t>2021-07-16</t>
  </si>
  <si>
    <t>2021-07-09</t>
  </si>
  <si>
    <t>2021-07-02</t>
  </si>
  <si>
    <t>2021-06-25</t>
  </si>
  <si>
    <t>2021-06-18</t>
  </si>
  <si>
    <t>2021-06-11</t>
  </si>
  <si>
    <t>2021-06-04</t>
  </si>
  <si>
    <t>2021-05-28</t>
  </si>
  <si>
    <t>2021-05-21</t>
  </si>
  <si>
    <t>2021-05-14</t>
  </si>
  <si>
    <t>2021-05-07</t>
  </si>
  <si>
    <t>2021-04-30</t>
  </si>
  <si>
    <t>2021-04-23</t>
  </si>
  <si>
    <t>2021-04-16</t>
  </si>
  <si>
    <t>2021-04-09</t>
  </si>
  <si>
    <t>2021-04-02</t>
  </si>
  <si>
    <t>2021-03-26</t>
  </si>
  <si>
    <t>2021-03-19</t>
  </si>
  <si>
    <t>2021-03-12</t>
  </si>
  <si>
    <t>2021-03-05</t>
  </si>
  <si>
    <t>2021-02-26</t>
  </si>
  <si>
    <t>2021-02-19</t>
  </si>
  <si>
    <t>2021-02-12</t>
  </si>
  <si>
    <t>2021-02-05</t>
  </si>
  <si>
    <t>2021-01-29</t>
  </si>
  <si>
    <t>2021-01-22</t>
  </si>
  <si>
    <t>2021-01-15</t>
  </si>
  <si>
    <t>2021-01-08</t>
  </si>
  <si>
    <t>2021-01-01</t>
  </si>
  <si>
    <t>2020-12-25</t>
  </si>
  <si>
    <t>2020-12-18</t>
  </si>
  <si>
    <t>2020-12-11</t>
  </si>
  <si>
    <t>2020-12-04</t>
  </si>
  <si>
    <t>2020-11-27</t>
  </si>
  <si>
    <t>2020-11-20</t>
  </si>
  <si>
    <t>2020-11-13</t>
  </si>
  <si>
    <t>2020-11-06</t>
  </si>
  <si>
    <t>2020-10-30</t>
  </si>
  <si>
    <t>2020-10-23</t>
  </si>
  <si>
    <t>2020-10-16</t>
  </si>
  <si>
    <t>2020-10-09</t>
  </si>
  <si>
    <t>2020-10-02</t>
  </si>
  <si>
    <t>2020-09-25</t>
  </si>
  <si>
    <t>2020-09-18</t>
  </si>
  <si>
    <t>2020-09-11</t>
  </si>
  <si>
    <t>2020-09-04</t>
  </si>
  <si>
    <t>2020-08-28</t>
  </si>
  <si>
    <t>2020-08-21</t>
  </si>
  <si>
    <t>2020-08-14</t>
  </si>
  <si>
    <t>2020-08-07</t>
  </si>
  <si>
    <t>2020-07-31</t>
  </si>
  <si>
    <t>2020-07-24</t>
  </si>
  <si>
    <t>2020-07-17</t>
  </si>
  <si>
    <t>2020-07-10</t>
  </si>
  <si>
    <t>2020-07-03</t>
  </si>
  <si>
    <t>2020-06-26</t>
  </si>
  <si>
    <t>2020-06-19</t>
  </si>
  <si>
    <t>2020-06-12</t>
  </si>
  <si>
    <t>2020-06-05</t>
  </si>
  <si>
    <t>2020-05-29</t>
  </si>
  <si>
    <t>2020-05-22</t>
  </si>
  <si>
    <t>2020-05-15</t>
  </si>
  <si>
    <t>2020-05-08</t>
  </si>
  <si>
    <t>2020-05-01</t>
  </si>
  <si>
    <t>2020-04-24</t>
  </si>
  <si>
    <t>2020-04-17</t>
  </si>
  <si>
    <t>2020-04-10</t>
  </si>
  <si>
    <t>2020-04-03</t>
  </si>
  <si>
    <t>2020-03-27</t>
  </si>
  <si>
    <t>2020-03-20</t>
  </si>
  <si>
    <t>2020-03-13</t>
  </si>
  <si>
    <t>2020-03-06</t>
  </si>
  <si>
    <t>2020-02-28</t>
  </si>
  <si>
    <t>2020-02-21</t>
  </si>
  <si>
    <t>2020-02-14</t>
  </si>
  <si>
    <t>2020-02-07</t>
  </si>
  <si>
    <t>2020-01-31</t>
  </si>
  <si>
    <t>2020-01-24</t>
  </si>
  <si>
    <t>2020-01-17</t>
  </si>
  <si>
    <t>2020-01-10</t>
  </si>
  <si>
    <t>2020-01-03</t>
  </si>
  <si>
    <t>2019-12-27</t>
  </si>
  <si>
    <t>2019-12-20</t>
  </si>
  <si>
    <t>2019-12-13</t>
  </si>
  <si>
    <t>2019-12-06</t>
  </si>
  <si>
    <t>2019-11-29</t>
  </si>
  <si>
    <t>2019-11-22</t>
  </si>
  <si>
    <t>2019-11-15</t>
  </si>
  <si>
    <t>2019-11-08</t>
  </si>
  <si>
    <t>2019-11-01</t>
  </si>
  <si>
    <t>2019-10-25</t>
  </si>
  <si>
    <t>2019-10-18</t>
  </si>
  <si>
    <t>2019-10-11</t>
  </si>
  <si>
    <t>2019-10-04</t>
  </si>
  <si>
    <t>2019-09-27</t>
  </si>
  <si>
    <t>2019-09-20</t>
  </si>
  <si>
    <t>2019-09-13</t>
  </si>
  <si>
    <t>2019-09-06</t>
  </si>
  <si>
    <t>2019-08-30</t>
  </si>
  <si>
    <t>2019-08-23</t>
  </si>
  <si>
    <t>2019-08-16</t>
  </si>
  <si>
    <t>2019-08-09</t>
  </si>
  <si>
    <t>2019-08-02</t>
  </si>
  <si>
    <t>2019-07-26</t>
  </si>
  <si>
    <t>2019-07-19</t>
  </si>
  <si>
    <t>2019-07-12</t>
  </si>
  <si>
    <t>2019-07-05</t>
  </si>
  <si>
    <t>2019-06-28</t>
  </si>
  <si>
    <t>2019-06-21</t>
  </si>
  <si>
    <t>2019-06-14</t>
  </si>
  <si>
    <t>2019-06-07</t>
  </si>
  <si>
    <t>2019-05-31</t>
  </si>
  <si>
    <t>2019-05-24</t>
  </si>
  <si>
    <t>2019-05-17</t>
  </si>
  <si>
    <t>2019-05-10</t>
  </si>
  <si>
    <t>2019-05-03</t>
  </si>
  <si>
    <t>2019-04-26</t>
  </si>
  <si>
    <t>2019-04-19</t>
  </si>
  <si>
    <t>2019-04-12</t>
  </si>
  <si>
    <t>2019-04-05</t>
  </si>
  <si>
    <t>2019-03-29</t>
  </si>
  <si>
    <t>2019-03-22</t>
  </si>
  <si>
    <t>2019-03-15</t>
  </si>
  <si>
    <t>2019-03-08</t>
  </si>
  <si>
    <t>2019-03-01</t>
  </si>
  <si>
    <t>2019-02-22</t>
  </si>
  <si>
    <t>2019-02-15</t>
  </si>
  <si>
    <t>2019-02-08</t>
  </si>
  <si>
    <t>2019-02-01</t>
  </si>
  <si>
    <t>2019-01-25</t>
  </si>
  <si>
    <t>2019-01-18</t>
  </si>
  <si>
    <t>2019-01-11</t>
  </si>
  <si>
    <t>2019-01-04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</si>
</sst>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/>
    </xf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6.5" x14ac:dyDescent="0.3"/>
  <sheetData>
    <row r="1" spans="1:2" x14ac:dyDescent="0.3">
      <c r="B1" t="s">
        <v>6</v>
      </c>
    </row>
    <row r="2" spans="1:2" x14ac:dyDescent="0.3"/>
    <row r="3" spans="1:2" x14ac:dyDescent="0.3"/>
    <row r="4" spans="1:2" x14ac:dyDescent="0.3"/>
    <row r="5" spans="1:2" x14ac:dyDescent="0.3"/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74"/>
  <sheetViews>
    <sheetView workbookViewId="0">
      <selection activeCell="B1" sqref="B1"/>
    </sheetView>
  </sheetViews>
  <sheetFormatPr defaultRowHeight="16.5" x14ac:dyDescent="0.3"/>
  <cols>
    <col min="1" max="1" width="9" style="2" customWidth="1"/>
    <col min="3" max="3" width="11.75" style="6" bestFit="1" customWidth="1"/>
    <col min="4" max="4" width="16.625" style="6" bestFit="1" customWidth="1"/>
    <col min="6" max="7" width="10.5" style="6" bestFit="1" customWidth="1"/>
    <col min="12" max="12" width="13.625" style="6" bestFit="1" customWidth="1"/>
    <col min="13" max="13" width="14.875" style="6" bestFit="1" customWidth="1"/>
    <col min="14" max="14" width="14.125" style="6" bestFit="1" customWidth="1"/>
    <col min="15" max="15" width="12.125" style="6" bestFit="1" customWidth="1"/>
    <col min="18" max="18" width="11.125" style="6" bestFit="1" customWidth="1"/>
    <col min="19" max="19" width="17.375" style="6" bestFit="1" customWidth="1"/>
    <col min="21" max="21" width="13" style="6" bestFit="1" customWidth="1"/>
    <col min="22" max="22" width="15" style="2" bestFit="1" customWidth="1"/>
    <col min="23" max="23" width="11.875" style="6" bestFit="1" customWidth="1"/>
    <col min="24" max="24" width="15.375" style="6" bestFit="1" customWidth="1"/>
  </cols>
  <sheetData>
    <row r="1" spans="1:28" x14ac:dyDescent="0.2">
      <c r="A1" s="4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3" t="s">
        <v>27</v>
      </c>
      <c r="V1" s="1" t="s">
        <v>28</v>
      </c>
      <c r="W1" s="4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</row>
    <row r="2" spans="1:28" x14ac:dyDescent="0.3">
      <c r="A2" t="e">
        <f t="array" aca="1" ref="A2:A374" ca="1">_xll.FDS("011200-KR","P_PRICE(1/4/2019,NOW,W)")</f>
        <v>#NAME?</v>
      </c>
      <c r="B2" t="e">
        <f t="array" aca="1" ref="B2:B374" ca="1">_xll.FDS("MAERSK.B-DK","P_PRICE(1/4/2019,NOW,W)")</f>
        <v>#NAME?</v>
      </c>
      <c r="C2" t="e">
        <f t="array" aca="1" ref="C2:C374" ca="1">_xll.FDS("HLAG-DE","P_PRICE(1/4/2019,NOW,W)")</f>
        <v>#NAME?</v>
      </c>
      <c r="D2" t="e">
        <f t="array" aca="1" ref="D2:D374" ca="1">_xll.FDS("1919-HK","P_PRICE(1/4/2019,NOW,W)")</f>
        <v>#NAME?</v>
      </c>
      <c r="E2" t="e">
        <f t="array" aca="1" ref="E2:E374" ca="1">_xll.FDS("ZIM-US","P_PRICE(1/4/2019,NOW,W)")</f>
        <v>#NAME?</v>
      </c>
      <c r="F2" t="e">
        <f t="array" aca="1" ref="F2:F368" ca="1">_xll.FDS("2603-TW","P_PRICE(1/4/2019,NOW,W)")</f>
        <v>#NAME?</v>
      </c>
      <c r="G2" t="e">
        <f t="array" aca="1" ref="G2:G368" ca="1">_xll.FDS("2609-TW","P_PRICE(1/4/2019,NOW,W)")</f>
        <v>#NAME?</v>
      </c>
      <c r="H2" t="e">
        <f t="array" aca="1" ref="H2:H368" ca="1">_xll.FDS("2615-TW","P_PRICE(1/4/2019,NOW,W)")</f>
        <v>#NAME?</v>
      </c>
      <c r="I2" t="e">
        <f t="array" aca="1" ref="I2:I374" ca="1">_xll.FDS("028670-KR","P_PRICE(1/4/2019,NOW,W)")</f>
        <v>#NAME?</v>
      </c>
      <c r="J2" t="e">
        <f t="array" aca="1" ref="J2:J374" ca="1">_xll.FDS("005880-KR","P_PRICE(1/4/2019,NOW,W)")</f>
        <v>#NAME?</v>
      </c>
      <c r="K2" t="e">
        <f t="array" aca="1" ref="K2:K374" ca="1">_xll.FDS("SBLK-US","P_PRICE(1/4/2019,NOW,W)")</f>
        <v>#NAME?</v>
      </c>
      <c r="L2" t="e">
        <f t="array" aca="1" ref="L2:L374" ca="1">_xll.FDS("GOGL-US","P_PRICE(1/4/2019,NOW,W)")</f>
        <v>#NAME?</v>
      </c>
      <c r="M2" t="e">
        <f t="array" aca="1" ref="M2:M374" ca="1">_xll.FDS("GNK-US","P_PRICE(1/4/2019,NOW,W)")</f>
        <v>#NAME?</v>
      </c>
      <c r="N2" t="e">
        <f t="array" aca="1" ref="N2:N374" ca="1">_xll.FDS("DSX-US","P_PRICE(1/4/2019,NOW,W)")</f>
        <v>#NAME?</v>
      </c>
      <c r="O2" t="e">
        <f t="array" aca="1" ref="O2:O374" ca="1">_xll.FDS("SB-US","P_PRICE(1/4/2019,NOW,W)")</f>
        <v>#NAME?</v>
      </c>
      <c r="P2" t="e">
        <f t="array" aca="1" ref="P2:P374" ca="1">_xll.FDS("044450-KR","P_PRICE(1/4/2019,NOW,W)")</f>
        <v>#NAME?</v>
      </c>
      <c r="Q2" t="e">
        <f t="array" aca="1" ref="Q2:Q374" ca="1">_xll.FDS("BWLP-US","P_PRICE(1/4/2019,NOW,W)")</f>
        <v>#NAME?</v>
      </c>
      <c r="R2" t="e">
        <f t="array" aca="1" ref="R2:R374" ca="1">_xll.FDS("LPG-US","P_PRICE(1/4/2019,NOW,W)")</f>
        <v>#NAME?</v>
      </c>
      <c r="S2" t="e">
        <f t="array" aca="1" ref="S2:S374" ca="1">_xll.FDS("NVGS-US","P_PRICE(1/4/2019,NOW,W)")</f>
        <v>#NAME?</v>
      </c>
      <c r="T2" t="e">
        <f t="array" aca="1" ref="T2:T374" ca="1">_xll.FDS("FRO-US","P_PRICE(1/4/2019,NOW,W)")</f>
        <v>#NAME?</v>
      </c>
      <c r="U2" t="e">
        <f t="array" aca="1" ref="U2:U374" ca="1">_xll.FDS("DHT-US","P_PRICE(1/4/2019,NOW,W)")</f>
        <v>#NAME?</v>
      </c>
      <c r="V2" t="e">
        <f t="array" aca="1" ref="V2:V374" ca="1">_xll.FDS("TNK-NYS","P_PRICE(1/4/2019,NOW,W)")</f>
        <v>#NAME?</v>
      </c>
      <c r="W2" t="e">
        <f t="array" aca="1" ref="W2:W374" ca="1">_xll.FDS("INSW-US","P_PRICE(1/4/2019,NOW,W)")</f>
        <v>#NAME?</v>
      </c>
      <c r="X2" t="e">
        <f t="array" aca="1" ref="X2:X374" ca="1">_xll.FDS("STNG-US","P_PRICE(1/4/2019,NOW,W)")</f>
        <v>#NAME?</v>
      </c>
      <c r="Y2" t="e">
        <f t="array" aca="1" ref="Y2:Y374" ca="1">_xll.FDS("TRMD-US","P_PRICE(1/4/2019,NOW,W)")</f>
        <v>#NAME?</v>
      </c>
      <c r="Z2" t="e">
        <f t="array" aca="1" ref="Z2:Z373" ca="1">_xll.FDS("9101-JP","P_PRICE(1/4/2019,NOW,W)")</f>
        <v>#NAME?</v>
      </c>
      <c r="AA2" t="e">
        <f t="array" aca="1" ref="AA2:AA373" ca="1">_xll.FDS("9104-TKS","P_PRICE(1/4/2019,NOW,W)")</f>
        <v>#NAME?</v>
      </c>
      <c r="AB2" t="e">
        <f t="array" aca="1" ref="AB2:AB373" ca="1">_xll.FDS("9107-TKS","P_PRICE(1/4/2019,NOW,W)")</f>
        <v>#NAME?</v>
      </c>
    </row>
    <row r="3" spans="1:28" x14ac:dyDescent="0.2">
      <c r="A3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  <c r="O3" t="e">
        <f ca="1"/>
        <v>#NAME?</v>
      </c>
      <c r="P3" t="e">
        <f ca="1"/>
        <v>#NAME?</v>
      </c>
      <c r="Q3" t="e">
        <f ca="1"/>
        <v>#NAME?</v>
      </c>
      <c r="R3" t="e">
        <f ca="1"/>
        <v>#NAME?</v>
      </c>
      <c r="S3" t="e">
        <f ca="1"/>
        <v>#NAME?</v>
      </c>
      <c r="T3" t="e">
        <f ca="1"/>
        <v>#NAME?</v>
      </c>
      <c r="U3" t="e">
        <f ca="1"/>
        <v>#NAME?</v>
      </c>
      <c r="V3" s="5" t="e">
        <f ca="1"/>
        <v>#NAME?</v>
      </c>
      <c r="W3" t="e">
        <f ca="1"/>
        <v>#NAME?</v>
      </c>
      <c r="X3" t="e">
        <f ca="1"/>
        <v>#NAME?</v>
      </c>
      <c r="Y3" t="e">
        <f ca="1"/>
        <v>#NAME?</v>
      </c>
      <c r="Z3" t="e">
        <f ca="1"/>
        <v>#NAME?</v>
      </c>
      <c r="AA3" t="e">
        <f ca="1"/>
        <v>#NAME?</v>
      </c>
      <c r="AB3" t="e">
        <f ca="1"/>
        <v>#NAME?</v>
      </c>
    </row>
    <row r="4" spans="1:28" x14ac:dyDescent="0.2">
      <c r="A4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  <c r="M4" t="e">
        <f ca="1"/>
        <v>#NAME?</v>
      </c>
      <c r="N4" t="e">
        <f ca="1"/>
        <v>#NAME?</v>
      </c>
      <c r="O4" t="e">
        <f ca="1"/>
        <v>#NAME?</v>
      </c>
      <c r="P4" t="e">
        <f ca="1"/>
        <v>#NAME?</v>
      </c>
      <c r="Q4" t="e">
        <f ca="1"/>
        <v>#NAME?</v>
      </c>
      <c r="R4" t="e">
        <f ca="1"/>
        <v>#NAME?</v>
      </c>
      <c r="S4" t="e">
        <f ca="1"/>
        <v>#NAME?</v>
      </c>
      <c r="T4" t="e">
        <f ca="1"/>
        <v>#NAME?</v>
      </c>
      <c r="U4" t="e">
        <f ca="1"/>
        <v>#NAME?</v>
      </c>
      <c r="V4" s="5" t="e">
        <f ca="1"/>
        <v>#NAME?</v>
      </c>
      <c r="W4" t="e">
        <f ca="1"/>
        <v>#NAME?</v>
      </c>
      <c r="X4" t="e">
        <f ca="1"/>
        <v>#NAME?</v>
      </c>
      <c r="Y4" t="e">
        <f ca="1"/>
        <v>#NAME?</v>
      </c>
      <c r="Z4" t="e">
        <f ca="1"/>
        <v>#NAME?</v>
      </c>
      <c r="AA4" t="e">
        <f ca="1"/>
        <v>#NAME?</v>
      </c>
      <c r="AB4" t="e">
        <f ca="1"/>
        <v>#NAME?</v>
      </c>
    </row>
    <row r="5" spans="1:28" ht="14.25" customHeight="1" x14ac:dyDescent="0.2">
      <c r="A5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ca="1"/>
        <v>#NAME?</v>
      </c>
      <c r="K5" t="e">
        <f ca="1"/>
        <v>#NAME?</v>
      </c>
      <c r="L5" t="e">
        <f ca="1"/>
        <v>#NAME?</v>
      </c>
      <c r="M5" t="e">
        <f ca="1"/>
        <v>#NAME?</v>
      </c>
      <c r="N5" t="e">
        <f ca="1"/>
        <v>#NAME?</v>
      </c>
      <c r="O5" t="e">
        <f ca="1"/>
        <v>#NAME?</v>
      </c>
      <c r="P5" t="e">
        <f ca="1"/>
        <v>#NAME?</v>
      </c>
      <c r="Q5" t="e">
        <f ca="1"/>
        <v>#NAME?</v>
      </c>
      <c r="R5" t="e">
        <f ca="1"/>
        <v>#NAME?</v>
      </c>
      <c r="S5" t="e">
        <f ca="1"/>
        <v>#NAME?</v>
      </c>
      <c r="T5" t="e">
        <f ca="1"/>
        <v>#NAME?</v>
      </c>
      <c r="U5" t="e">
        <f ca="1"/>
        <v>#NAME?</v>
      </c>
      <c r="V5" s="5" t="e">
        <f ca="1"/>
        <v>#NAME?</v>
      </c>
      <c r="W5" t="e">
        <f ca="1"/>
        <v>#NAME?</v>
      </c>
      <c r="X5" t="e">
        <f ca="1"/>
        <v>#NAME?</v>
      </c>
      <c r="Y5" t="e">
        <f ca="1"/>
        <v>#NAME?</v>
      </c>
      <c r="Z5" t="e">
        <f ca="1"/>
        <v>#NAME?</v>
      </c>
      <c r="AA5" t="e">
        <f ca="1"/>
        <v>#NAME?</v>
      </c>
      <c r="AB5" t="e">
        <f ca="1"/>
        <v>#NAME?</v>
      </c>
    </row>
    <row r="6" spans="1:28" x14ac:dyDescent="0.2">
      <c r="A6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/>
        <v>#NAME?</v>
      </c>
      <c r="L6" t="e">
        <f ca="1"/>
        <v>#NAME?</v>
      </c>
      <c r="M6" t="e">
        <f ca="1"/>
        <v>#NAME?</v>
      </c>
      <c r="N6" t="e">
        <f ca="1"/>
        <v>#NAME?</v>
      </c>
      <c r="O6" t="e">
        <f ca="1"/>
        <v>#NAME?</v>
      </c>
      <c r="P6" t="e">
        <f ca="1"/>
        <v>#NAME?</v>
      </c>
      <c r="Q6" t="e">
        <f ca="1"/>
        <v>#NAME?</v>
      </c>
      <c r="R6" t="e">
        <f ca="1"/>
        <v>#NAME?</v>
      </c>
      <c r="S6" t="e">
        <f ca="1"/>
        <v>#NAME?</v>
      </c>
      <c r="T6" t="e">
        <f ca="1"/>
        <v>#NAME?</v>
      </c>
      <c r="U6" t="e">
        <f ca="1"/>
        <v>#NAME?</v>
      </c>
      <c r="V6" s="5" t="e">
        <f ca="1"/>
        <v>#NAME?</v>
      </c>
      <c r="W6" t="e">
        <f ca="1"/>
        <v>#NAME?</v>
      </c>
      <c r="X6" t="e">
        <f ca="1"/>
        <v>#NAME?</v>
      </c>
      <c r="Y6" t="e">
        <f ca="1"/>
        <v>#NAME?</v>
      </c>
      <c r="Z6" t="e">
        <f ca="1"/>
        <v>#NAME?</v>
      </c>
      <c r="AA6" t="e">
        <f ca="1"/>
        <v>#NAME?</v>
      </c>
      <c r="AB6" t="e">
        <f ca="1"/>
        <v>#NAME?</v>
      </c>
    </row>
    <row r="7" spans="1:28" x14ac:dyDescent="0.2">
      <c r="A7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L7" t="e">
        <f ca="1"/>
        <v>#NAME?</v>
      </c>
      <c r="M7" t="e">
        <f ca="1"/>
        <v>#NAME?</v>
      </c>
      <c r="N7" t="e">
        <f ca="1"/>
        <v>#NAME?</v>
      </c>
      <c r="O7" t="e">
        <f ca="1"/>
        <v>#NAME?</v>
      </c>
      <c r="P7" t="e">
        <f ca="1"/>
        <v>#NAME?</v>
      </c>
      <c r="Q7" t="e">
        <f ca="1"/>
        <v>#NAME?</v>
      </c>
      <c r="R7" t="e">
        <f ca="1"/>
        <v>#NAME?</v>
      </c>
      <c r="S7" t="e">
        <f ca="1"/>
        <v>#NAME?</v>
      </c>
      <c r="T7" t="e">
        <f ca="1"/>
        <v>#NAME?</v>
      </c>
      <c r="U7" t="e">
        <f ca="1"/>
        <v>#NAME?</v>
      </c>
      <c r="V7" s="5" t="e">
        <f ca="1"/>
        <v>#NAME?</v>
      </c>
      <c r="W7" t="e">
        <f ca="1"/>
        <v>#NAME?</v>
      </c>
      <c r="X7" t="e">
        <f ca="1"/>
        <v>#NAME?</v>
      </c>
      <c r="Y7" t="e">
        <f ca="1"/>
        <v>#NAME?</v>
      </c>
      <c r="Z7" t="e">
        <f ca="1"/>
        <v>#NAME?</v>
      </c>
      <c r="AA7" t="e">
        <f ca="1"/>
        <v>#NAME?</v>
      </c>
      <c r="AB7" t="e">
        <f ca="1"/>
        <v>#NAME?</v>
      </c>
    </row>
    <row r="8" spans="1:28" x14ac:dyDescent="0.2">
      <c r="A8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L8" t="e">
        <f ca="1"/>
        <v>#NAME?</v>
      </c>
      <c r="M8" t="e">
        <f ca="1"/>
        <v>#NAME?</v>
      </c>
      <c r="N8" t="e">
        <f ca="1"/>
        <v>#NAME?</v>
      </c>
      <c r="O8" t="e">
        <f ca="1"/>
        <v>#NAME?</v>
      </c>
      <c r="P8" t="e">
        <f ca="1"/>
        <v>#NAME?</v>
      </c>
      <c r="Q8" t="e">
        <f ca="1"/>
        <v>#NAME?</v>
      </c>
      <c r="R8" t="e">
        <f ca="1"/>
        <v>#NAME?</v>
      </c>
      <c r="S8" t="e">
        <f ca="1"/>
        <v>#NAME?</v>
      </c>
      <c r="T8" t="e">
        <f ca="1"/>
        <v>#NAME?</v>
      </c>
      <c r="U8" t="e">
        <f ca="1"/>
        <v>#NAME?</v>
      </c>
      <c r="V8" s="5" t="e">
        <f ca="1"/>
        <v>#NAME?</v>
      </c>
      <c r="W8" t="e">
        <f ca="1"/>
        <v>#NAME?</v>
      </c>
      <c r="X8" t="e">
        <f ca="1"/>
        <v>#NAME?</v>
      </c>
      <c r="Y8" t="e">
        <f ca="1"/>
        <v>#NAME?</v>
      </c>
      <c r="Z8" t="e">
        <f ca="1"/>
        <v>#NAME?</v>
      </c>
      <c r="AA8" t="e">
        <f ca="1"/>
        <v>#NAME?</v>
      </c>
      <c r="AB8" t="e">
        <f ca="1"/>
        <v>#NAME?</v>
      </c>
    </row>
    <row r="9" spans="1:28" x14ac:dyDescent="0.2">
      <c r="A9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L9" t="e">
        <f ca="1"/>
        <v>#NAME?</v>
      </c>
      <c r="M9" t="e">
        <f ca="1"/>
        <v>#NAME?</v>
      </c>
      <c r="N9" t="e">
        <f ca="1"/>
        <v>#NAME?</v>
      </c>
      <c r="O9" t="e">
        <f ca="1"/>
        <v>#NAME?</v>
      </c>
      <c r="P9" t="e">
        <f ca="1"/>
        <v>#NAME?</v>
      </c>
      <c r="Q9" t="e">
        <f ca="1"/>
        <v>#NAME?</v>
      </c>
      <c r="R9" t="e">
        <f ca="1"/>
        <v>#NAME?</v>
      </c>
      <c r="S9" t="e">
        <f ca="1"/>
        <v>#NAME?</v>
      </c>
      <c r="T9" t="e">
        <f ca="1"/>
        <v>#NAME?</v>
      </c>
      <c r="U9" t="e">
        <f ca="1"/>
        <v>#NAME?</v>
      </c>
      <c r="V9" s="5" t="e">
        <f ca="1"/>
        <v>#NAME?</v>
      </c>
      <c r="W9" t="e">
        <f ca="1"/>
        <v>#NAME?</v>
      </c>
      <c r="X9" t="e">
        <f ca="1"/>
        <v>#NAME?</v>
      </c>
      <c r="Y9" t="e">
        <f ca="1"/>
        <v>#NAME?</v>
      </c>
      <c r="Z9" t="e">
        <f ca="1"/>
        <v>#NAME?</v>
      </c>
      <c r="AA9" t="e">
        <f ca="1"/>
        <v>#NAME?</v>
      </c>
      <c r="AB9" t="e">
        <f ca="1"/>
        <v>#NAME?</v>
      </c>
    </row>
    <row r="10" spans="1:28" x14ac:dyDescent="0.2">
      <c r="A10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L10" t="e">
        <f ca="1"/>
        <v>#NAME?</v>
      </c>
      <c r="M10" t="e">
        <f ca="1"/>
        <v>#NAME?</v>
      </c>
      <c r="N10" t="e">
        <f ca="1"/>
        <v>#NAME?</v>
      </c>
      <c r="O10" t="e">
        <f ca="1"/>
        <v>#NAME?</v>
      </c>
      <c r="P10" t="e">
        <f ca="1"/>
        <v>#NAME?</v>
      </c>
      <c r="Q10" t="e">
        <f ca="1"/>
        <v>#NAME?</v>
      </c>
      <c r="R10" t="e">
        <f ca="1"/>
        <v>#NAME?</v>
      </c>
      <c r="S10" t="e">
        <f ca="1"/>
        <v>#NAME?</v>
      </c>
      <c r="T10" t="e">
        <f ca="1"/>
        <v>#NAME?</v>
      </c>
      <c r="U10" t="e">
        <f ca="1"/>
        <v>#NAME?</v>
      </c>
      <c r="V10" s="5" t="e">
        <f ca="1"/>
        <v>#NAME?</v>
      </c>
      <c r="W10" t="e">
        <f ca="1"/>
        <v>#NAME?</v>
      </c>
      <c r="X10" t="e">
        <f ca="1"/>
        <v>#NAME?</v>
      </c>
      <c r="Y10" t="e">
        <f ca="1"/>
        <v>#NAME?</v>
      </c>
      <c r="Z10" t="e">
        <f ca="1"/>
        <v>#NAME?</v>
      </c>
      <c r="AA10" t="e">
        <f ca="1"/>
        <v>#NAME?</v>
      </c>
      <c r="AB10" t="e">
        <f ca="1"/>
        <v>#NAME?</v>
      </c>
    </row>
    <row r="11" spans="1:28" x14ac:dyDescent="0.2">
      <c r="A11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L11" t="e">
        <f ca="1"/>
        <v>#NAME?</v>
      </c>
      <c r="M11" t="e">
        <f ca="1"/>
        <v>#NAME?</v>
      </c>
      <c r="N11" t="e">
        <f ca="1"/>
        <v>#NAME?</v>
      </c>
      <c r="O11" t="e">
        <f ca="1"/>
        <v>#NAME?</v>
      </c>
      <c r="P11" t="e">
        <f ca="1"/>
        <v>#NAME?</v>
      </c>
      <c r="Q11" t="e">
        <f ca="1"/>
        <v>#NAME?</v>
      </c>
      <c r="R11" t="e">
        <f ca="1"/>
        <v>#NAME?</v>
      </c>
      <c r="S11" t="e">
        <f ca="1"/>
        <v>#NAME?</v>
      </c>
      <c r="T11" t="e">
        <f ca="1"/>
        <v>#NAME?</v>
      </c>
      <c r="U11" t="e">
        <f ca="1"/>
        <v>#NAME?</v>
      </c>
      <c r="V11" s="5" t="e">
        <f ca="1"/>
        <v>#NAME?</v>
      </c>
      <c r="W11" t="e">
        <f ca="1"/>
        <v>#NAME?</v>
      </c>
      <c r="X11" t="e">
        <f ca="1"/>
        <v>#NAME?</v>
      </c>
      <c r="Y11" t="e">
        <f ca="1"/>
        <v>#NAME?</v>
      </c>
      <c r="Z11" t="e">
        <f ca="1"/>
        <v>#NAME?</v>
      </c>
      <c r="AA11" t="e">
        <f ca="1"/>
        <v>#NAME?</v>
      </c>
      <c r="AB11" t="e">
        <f ca="1"/>
        <v>#NAME?</v>
      </c>
    </row>
    <row r="12" spans="1:28" x14ac:dyDescent="0.2">
      <c r="A1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L12" t="e">
        <f ca="1"/>
        <v>#NAME?</v>
      </c>
      <c r="M12" t="e">
        <f ca="1"/>
        <v>#NAME?</v>
      </c>
      <c r="N12" t="e">
        <f ca="1"/>
        <v>#NAME?</v>
      </c>
      <c r="O12" t="e">
        <f ca="1"/>
        <v>#NAME?</v>
      </c>
      <c r="P12" t="e">
        <f ca="1"/>
        <v>#NAME?</v>
      </c>
      <c r="Q12" t="e">
        <f ca="1"/>
        <v>#NAME?</v>
      </c>
      <c r="R12" t="e">
        <f ca="1"/>
        <v>#NAME?</v>
      </c>
      <c r="S12" t="e">
        <f ca="1"/>
        <v>#NAME?</v>
      </c>
      <c r="T12" t="e">
        <f ca="1"/>
        <v>#NAME?</v>
      </c>
      <c r="U12" t="e">
        <f ca="1"/>
        <v>#NAME?</v>
      </c>
      <c r="V12" s="5" t="e">
        <f ca="1"/>
        <v>#NAME?</v>
      </c>
      <c r="W12" t="e">
        <f ca="1"/>
        <v>#NAME?</v>
      </c>
      <c r="X12" t="e">
        <f ca="1"/>
        <v>#NAME?</v>
      </c>
      <c r="Y12" t="e">
        <f ca="1"/>
        <v>#NAME?</v>
      </c>
      <c r="Z12" t="e">
        <f ca="1"/>
        <v>#NAME?</v>
      </c>
      <c r="AA12" t="e">
        <f ca="1"/>
        <v>#NAME?</v>
      </c>
      <c r="AB12" t="e">
        <f ca="1"/>
        <v>#NAME?</v>
      </c>
    </row>
    <row r="13" spans="1:28" x14ac:dyDescent="0.2">
      <c r="A13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L13" t="e">
        <f ca="1"/>
        <v>#NAME?</v>
      </c>
      <c r="M13" t="e">
        <f ca="1"/>
        <v>#NAME?</v>
      </c>
      <c r="N13" t="e">
        <f ca="1"/>
        <v>#NAME?</v>
      </c>
      <c r="O13" t="e">
        <f ca="1"/>
        <v>#NAME?</v>
      </c>
      <c r="P13" t="e">
        <f ca="1"/>
        <v>#NAME?</v>
      </c>
      <c r="Q13" t="e">
        <f ca="1"/>
        <v>#NAME?</v>
      </c>
      <c r="R13" t="e">
        <f ca="1"/>
        <v>#NAME?</v>
      </c>
      <c r="S13" t="e">
        <f ca="1"/>
        <v>#NAME?</v>
      </c>
      <c r="T13" t="e">
        <f ca="1"/>
        <v>#NAME?</v>
      </c>
      <c r="U13" t="e">
        <f ca="1"/>
        <v>#NAME?</v>
      </c>
      <c r="V13" s="5" t="e">
        <f ca="1"/>
        <v>#NAME?</v>
      </c>
      <c r="W13" t="e">
        <f ca="1"/>
        <v>#NAME?</v>
      </c>
      <c r="X13" t="e">
        <f ca="1"/>
        <v>#NAME?</v>
      </c>
      <c r="Y13" t="e">
        <f ca="1"/>
        <v>#NAME?</v>
      </c>
      <c r="Z13" t="e">
        <f ca="1"/>
        <v>#NAME?</v>
      </c>
      <c r="AA13" t="e">
        <f ca="1"/>
        <v>#NAME?</v>
      </c>
      <c r="AB13" t="e">
        <f ca="1"/>
        <v>#NAME?</v>
      </c>
    </row>
    <row r="14" spans="1:28" x14ac:dyDescent="0.2">
      <c r="A14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L14" t="e">
        <f ca="1"/>
        <v>#NAME?</v>
      </c>
      <c r="M14" t="e">
        <f ca="1"/>
        <v>#NAME?</v>
      </c>
      <c r="N14" t="e">
        <f ca="1"/>
        <v>#NAME?</v>
      </c>
      <c r="O14" t="e">
        <f ca="1"/>
        <v>#NAME?</v>
      </c>
      <c r="P14" t="e">
        <f ca="1"/>
        <v>#NAME?</v>
      </c>
      <c r="Q14" t="e">
        <f ca="1"/>
        <v>#NAME?</v>
      </c>
      <c r="R14" t="e">
        <f ca="1"/>
        <v>#NAME?</v>
      </c>
      <c r="S14" t="e">
        <f ca="1"/>
        <v>#NAME?</v>
      </c>
      <c r="T14" t="e">
        <f ca="1"/>
        <v>#NAME?</v>
      </c>
      <c r="U14" t="e">
        <f ca="1"/>
        <v>#NAME?</v>
      </c>
      <c r="V14" s="5" t="e">
        <f ca="1"/>
        <v>#NAME?</v>
      </c>
      <c r="W14" t="e">
        <f ca="1"/>
        <v>#NAME?</v>
      </c>
      <c r="X14" t="e">
        <f ca="1"/>
        <v>#NAME?</v>
      </c>
      <c r="Y14" t="e">
        <f ca="1"/>
        <v>#NAME?</v>
      </c>
      <c r="Z14" t="e">
        <f ca="1"/>
        <v>#NAME?</v>
      </c>
      <c r="AA14" t="e">
        <f ca="1"/>
        <v>#NAME?</v>
      </c>
      <c r="AB14" t="e">
        <f ca="1"/>
        <v>#NAME?</v>
      </c>
    </row>
    <row r="15" spans="1:28" x14ac:dyDescent="0.2">
      <c r="A15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L15" t="e">
        <f ca="1"/>
        <v>#NAME?</v>
      </c>
      <c r="M15" t="e">
        <f ca="1"/>
        <v>#NAME?</v>
      </c>
      <c r="N15" t="e">
        <f ca="1"/>
        <v>#NAME?</v>
      </c>
      <c r="O15" t="e">
        <f ca="1"/>
        <v>#NAME?</v>
      </c>
      <c r="P15" t="e">
        <f ca="1"/>
        <v>#NAME?</v>
      </c>
      <c r="Q15" t="e">
        <f ca="1"/>
        <v>#NAME?</v>
      </c>
      <c r="R15" t="e">
        <f ca="1"/>
        <v>#NAME?</v>
      </c>
      <c r="S15" t="e">
        <f ca="1"/>
        <v>#NAME?</v>
      </c>
      <c r="T15" t="e">
        <f ca="1"/>
        <v>#NAME?</v>
      </c>
      <c r="U15" t="e">
        <f ca="1"/>
        <v>#NAME?</v>
      </c>
      <c r="V15" s="5" t="e">
        <f ca="1"/>
        <v>#NAME?</v>
      </c>
      <c r="W15" t="e">
        <f ca="1"/>
        <v>#NAME?</v>
      </c>
      <c r="X15" t="e">
        <f ca="1"/>
        <v>#NAME?</v>
      </c>
      <c r="Y15" t="e">
        <f ca="1"/>
        <v>#NAME?</v>
      </c>
      <c r="Z15" t="e">
        <f ca="1"/>
        <v>#NAME?</v>
      </c>
      <c r="AA15" t="e">
        <f ca="1"/>
        <v>#NAME?</v>
      </c>
      <c r="AB15" t="e">
        <f ca="1"/>
        <v>#NAME?</v>
      </c>
    </row>
    <row r="16" spans="1:28" x14ac:dyDescent="0.2">
      <c r="A16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L16" t="e">
        <f ca="1"/>
        <v>#NAME?</v>
      </c>
      <c r="M16" t="e">
        <f ca="1"/>
        <v>#NAME?</v>
      </c>
      <c r="N16" t="e">
        <f ca="1"/>
        <v>#NAME?</v>
      </c>
      <c r="O16" t="e">
        <f ca="1"/>
        <v>#NAME?</v>
      </c>
      <c r="P16" t="e">
        <f ca="1"/>
        <v>#NAME?</v>
      </c>
      <c r="Q16" t="e">
        <f ca="1"/>
        <v>#NAME?</v>
      </c>
      <c r="R16" t="e">
        <f ca="1"/>
        <v>#NAME?</v>
      </c>
      <c r="S16" t="e">
        <f ca="1"/>
        <v>#NAME?</v>
      </c>
      <c r="T16" t="e">
        <f ca="1"/>
        <v>#NAME?</v>
      </c>
      <c r="U16" t="e">
        <f ca="1"/>
        <v>#NAME?</v>
      </c>
      <c r="V16" s="5" t="e">
        <f ca="1"/>
        <v>#NAME?</v>
      </c>
      <c r="W16" t="e">
        <f ca="1"/>
        <v>#NAME?</v>
      </c>
      <c r="X16" t="e">
        <f ca="1"/>
        <v>#NAME?</v>
      </c>
      <c r="Y16" t="e">
        <f ca="1"/>
        <v>#NAME?</v>
      </c>
      <c r="Z16" t="e">
        <f ca="1"/>
        <v>#NAME?</v>
      </c>
      <c r="AA16" t="e">
        <f ca="1"/>
        <v>#NAME?</v>
      </c>
      <c r="AB16" t="e">
        <f ca="1"/>
        <v>#NAME?</v>
      </c>
    </row>
    <row r="17" spans="1:28" x14ac:dyDescent="0.2">
      <c r="A17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  <c r="O17" t="e">
        <f ca="1"/>
        <v>#NAME?</v>
      </c>
      <c r="P17" t="e">
        <f ca="1"/>
        <v>#NAME?</v>
      </c>
      <c r="Q17" t="e">
        <f ca="1"/>
        <v>#NAME?</v>
      </c>
      <c r="R17" t="e">
        <f ca="1"/>
        <v>#NAME?</v>
      </c>
      <c r="S17" t="e">
        <f ca="1"/>
        <v>#NAME?</v>
      </c>
      <c r="T17" t="e">
        <f ca="1"/>
        <v>#NAME?</v>
      </c>
      <c r="U17" t="e">
        <f ca="1"/>
        <v>#NAME?</v>
      </c>
      <c r="V17" s="5" t="e">
        <f ca="1"/>
        <v>#NAME?</v>
      </c>
      <c r="W17" t="e">
        <f ca="1"/>
        <v>#NAME?</v>
      </c>
      <c r="X17" t="e">
        <f ca="1"/>
        <v>#NAME?</v>
      </c>
      <c r="Y17" t="e">
        <f ca="1"/>
        <v>#NAME?</v>
      </c>
      <c r="Z17" t="e">
        <f ca="1"/>
        <v>#NAME?</v>
      </c>
      <c r="AA17" t="e">
        <f ca="1"/>
        <v>#NAME?</v>
      </c>
      <c r="AB17" t="e">
        <f ca="1"/>
        <v>#NAME?</v>
      </c>
    </row>
    <row r="18" spans="1:28" x14ac:dyDescent="0.2">
      <c r="A18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L18" t="e">
        <f ca="1"/>
        <v>#NAME?</v>
      </c>
      <c r="M18" t="e">
        <f ca="1"/>
        <v>#NAME?</v>
      </c>
      <c r="N18" t="e">
        <f ca="1"/>
        <v>#NAME?</v>
      </c>
      <c r="O18" t="e">
        <f ca="1"/>
        <v>#NAME?</v>
      </c>
      <c r="P18" t="e">
        <f ca="1"/>
        <v>#NAME?</v>
      </c>
      <c r="Q18" t="e">
        <f ca="1"/>
        <v>#NAME?</v>
      </c>
      <c r="R18" t="e">
        <f ca="1"/>
        <v>#NAME?</v>
      </c>
      <c r="S18" t="e">
        <f ca="1"/>
        <v>#NAME?</v>
      </c>
      <c r="T18" t="e">
        <f ca="1"/>
        <v>#NAME?</v>
      </c>
      <c r="U18" t="e">
        <f ca="1"/>
        <v>#NAME?</v>
      </c>
      <c r="V18" s="5" t="e">
        <f ca="1"/>
        <v>#NAME?</v>
      </c>
      <c r="W18" t="e">
        <f ca="1"/>
        <v>#NAME?</v>
      </c>
      <c r="X18" t="e">
        <f ca="1"/>
        <v>#NAME?</v>
      </c>
      <c r="Y18" t="e">
        <f ca="1"/>
        <v>#NAME?</v>
      </c>
      <c r="Z18" t="e">
        <f ca="1"/>
        <v>#NAME?</v>
      </c>
      <c r="AA18" t="e">
        <f ca="1"/>
        <v>#NAME?</v>
      </c>
      <c r="AB18" t="e">
        <f ca="1"/>
        <v>#NAME?</v>
      </c>
    </row>
    <row r="19" spans="1:28" x14ac:dyDescent="0.2">
      <c r="A19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L19" t="e">
        <f ca="1"/>
        <v>#NAME?</v>
      </c>
      <c r="M19" t="e">
        <f ca="1"/>
        <v>#NAME?</v>
      </c>
      <c r="N19" t="e">
        <f ca="1"/>
        <v>#NAME?</v>
      </c>
      <c r="O19" t="e">
        <f ca="1"/>
        <v>#NAME?</v>
      </c>
      <c r="P19" t="e">
        <f ca="1"/>
        <v>#NAME?</v>
      </c>
      <c r="Q19" t="e">
        <f ca="1"/>
        <v>#NAME?</v>
      </c>
      <c r="R19" t="e">
        <f ca="1"/>
        <v>#NAME?</v>
      </c>
      <c r="S19" t="e">
        <f ca="1"/>
        <v>#NAME?</v>
      </c>
      <c r="T19" t="e">
        <f ca="1"/>
        <v>#NAME?</v>
      </c>
      <c r="U19" t="e">
        <f ca="1"/>
        <v>#NAME?</v>
      </c>
      <c r="V19" s="5" t="e">
        <f ca="1"/>
        <v>#NAME?</v>
      </c>
      <c r="W19" t="e">
        <f ca="1"/>
        <v>#NAME?</v>
      </c>
      <c r="X19" t="e">
        <f ca="1"/>
        <v>#NAME?</v>
      </c>
      <c r="Y19" t="e">
        <f ca="1"/>
        <v>#NAME?</v>
      </c>
      <c r="Z19" t="e">
        <f ca="1"/>
        <v>#NAME?</v>
      </c>
      <c r="AA19" t="e">
        <f ca="1"/>
        <v>#NAME?</v>
      </c>
      <c r="AB19" t="e">
        <f ca="1"/>
        <v>#NAME?</v>
      </c>
    </row>
    <row r="20" spans="1:28" x14ac:dyDescent="0.2">
      <c r="A20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L20" t="e">
        <f ca="1"/>
        <v>#NAME?</v>
      </c>
      <c r="M20" t="e">
        <f ca="1"/>
        <v>#NAME?</v>
      </c>
      <c r="N20" t="e">
        <f ca="1"/>
        <v>#NAME?</v>
      </c>
      <c r="O20" t="e">
        <f ca="1"/>
        <v>#NAME?</v>
      </c>
      <c r="P20" t="e">
        <f ca="1"/>
        <v>#NAME?</v>
      </c>
      <c r="Q20" t="e">
        <f ca="1"/>
        <v>#NAME?</v>
      </c>
      <c r="R20" t="e">
        <f ca="1"/>
        <v>#NAME?</v>
      </c>
      <c r="S20" t="e">
        <f ca="1"/>
        <v>#NAME?</v>
      </c>
      <c r="T20" t="e">
        <f ca="1"/>
        <v>#NAME?</v>
      </c>
      <c r="U20" t="e">
        <f ca="1"/>
        <v>#NAME?</v>
      </c>
      <c r="V20" s="5" t="e">
        <f ca="1"/>
        <v>#NAME?</v>
      </c>
      <c r="W20" t="e">
        <f ca="1"/>
        <v>#NAME?</v>
      </c>
      <c r="X20" t="e">
        <f ca="1"/>
        <v>#NAME?</v>
      </c>
      <c r="Y20" t="e">
        <f ca="1"/>
        <v>#NAME?</v>
      </c>
      <c r="Z20" t="e">
        <f ca="1"/>
        <v>#NAME?</v>
      </c>
      <c r="AA20" t="e">
        <f ca="1"/>
        <v>#NAME?</v>
      </c>
      <c r="AB20" t="e">
        <f ca="1"/>
        <v>#NAME?</v>
      </c>
    </row>
    <row r="21" spans="1:28" x14ac:dyDescent="0.2">
      <c r="A21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L21" t="e">
        <f ca="1"/>
        <v>#NAME?</v>
      </c>
      <c r="M21" t="e">
        <f ca="1"/>
        <v>#NAME?</v>
      </c>
      <c r="N21" t="e">
        <f ca="1"/>
        <v>#NAME?</v>
      </c>
      <c r="O21" t="e">
        <f ca="1"/>
        <v>#NAME?</v>
      </c>
      <c r="P21" t="e">
        <f ca="1"/>
        <v>#NAME?</v>
      </c>
      <c r="Q21" t="e">
        <f ca="1"/>
        <v>#NAME?</v>
      </c>
      <c r="R21" t="e">
        <f ca="1"/>
        <v>#NAME?</v>
      </c>
      <c r="S21" t="e">
        <f ca="1"/>
        <v>#NAME?</v>
      </c>
      <c r="T21" t="e">
        <f ca="1"/>
        <v>#NAME?</v>
      </c>
      <c r="U21" t="e">
        <f ca="1"/>
        <v>#NAME?</v>
      </c>
      <c r="V21" s="5" t="e">
        <f ca="1"/>
        <v>#NAME?</v>
      </c>
      <c r="W21" t="e">
        <f ca="1"/>
        <v>#NAME?</v>
      </c>
      <c r="X21" t="e">
        <f ca="1"/>
        <v>#NAME?</v>
      </c>
      <c r="Y21" t="e">
        <f ca="1"/>
        <v>#NAME?</v>
      </c>
      <c r="Z21" t="e">
        <f ca="1"/>
        <v>#NAME?</v>
      </c>
      <c r="AA21" t="e">
        <f ca="1"/>
        <v>#NAME?</v>
      </c>
      <c r="AB21" t="e">
        <f ca="1"/>
        <v>#NAME?</v>
      </c>
    </row>
    <row r="22" spans="1:28" x14ac:dyDescent="0.2">
      <c r="A2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L22" t="e">
        <f ca="1"/>
        <v>#NAME?</v>
      </c>
      <c r="M22" t="e">
        <f ca="1"/>
        <v>#NAME?</v>
      </c>
      <c r="N22" t="e">
        <f ca="1"/>
        <v>#NAME?</v>
      </c>
      <c r="O22" t="e">
        <f ca="1"/>
        <v>#NAME?</v>
      </c>
      <c r="P22" t="e">
        <f ca="1"/>
        <v>#NAME?</v>
      </c>
      <c r="Q22" t="e">
        <f ca="1"/>
        <v>#NAME?</v>
      </c>
      <c r="R22" t="e">
        <f ca="1"/>
        <v>#NAME?</v>
      </c>
      <c r="S22" t="e">
        <f ca="1"/>
        <v>#NAME?</v>
      </c>
      <c r="T22" t="e">
        <f ca="1"/>
        <v>#NAME?</v>
      </c>
      <c r="U22" t="e">
        <f ca="1"/>
        <v>#NAME?</v>
      </c>
      <c r="V22" s="5" t="e">
        <f ca="1"/>
        <v>#NAME?</v>
      </c>
      <c r="W22" t="e">
        <f ca="1"/>
        <v>#NAME?</v>
      </c>
      <c r="X22" t="e">
        <f ca="1"/>
        <v>#NAME?</v>
      </c>
      <c r="Y22" t="e">
        <f ca="1"/>
        <v>#NAME?</v>
      </c>
      <c r="Z22" t="e">
        <f ca="1"/>
        <v>#NAME?</v>
      </c>
      <c r="AA22" t="e">
        <f ca="1"/>
        <v>#NAME?</v>
      </c>
      <c r="AB22" t="e">
        <f ca="1"/>
        <v>#NAME?</v>
      </c>
    </row>
    <row r="23" spans="1:28" x14ac:dyDescent="0.2">
      <c r="A23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  <c r="G23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/>
        <v>#NAME?</v>
      </c>
      <c r="L23" t="e">
        <f ca="1"/>
        <v>#NAME?</v>
      </c>
      <c r="M23" t="e">
        <f ca="1"/>
        <v>#NAME?</v>
      </c>
      <c r="N23" t="e">
        <f ca="1"/>
        <v>#NAME?</v>
      </c>
      <c r="O23" t="e">
        <f ca="1"/>
        <v>#NAME?</v>
      </c>
      <c r="P23" t="e">
        <f ca="1"/>
        <v>#NAME?</v>
      </c>
      <c r="Q23" t="e">
        <f ca="1"/>
        <v>#NAME?</v>
      </c>
      <c r="R23" t="e">
        <f ca="1"/>
        <v>#NAME?</v>
      </c>
      <c r="S23" t="e">
        <f ca="1"/>
        <v>#NAME?</v>
      </c>
      <c r="T23" t="e">
        <f ca="1"/>
        <v>#NAME?</v>
      </c>
      <c r="U23" t="e">
        <f ca="1"/>
        <v>#NAME?</v>
      </c>
      <c r="V23" s="5" t="e">
        <f ca="1"/>
        <v>#NAME?</v>
      </c>
      <c r="W23" t="e">
        <f ca="1"/>
        <v>#NAME?</v>
      </c>
      <c r="X23" t="e">
        <f ca="1"/>
        <v>#NAME?</v>
      </c>
      <c r="Y23" t="e">
        <f ca="1"/>
        <v>#NAME?</v>
      </c>
      <c r="Z23" t="e">
        <f ca="1"/>
        <v>#NAME?</v>
      </c>
      <c r="AA23" t="e">
        <f ca="1"/>
        <v>#NAME?</v>
      </c>
      <c r="AB23" t="e">
        <f ca="1"/>
        <v>#NAME?</v>
      </c>
    </row>
    <row r="24" spans="1:28" x14ac:dyDescent="0.2">
      <c r="A24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  <c r="G24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  <c r="K24" t="e">
        <f ca="1"/>
        <v>#NAME?</v>
      </c>
      <c r="L24" t="e">
        <f ca="1"/>
        <v>#NAME?</v>
      </c>
      <c r="M24" t="e">
        <f ca="1"/>
        <v>#NAME?</v>
      </c>
      <c r="N24" t="e">
        <f ca="1"/>
        <v>#NAME?</v>
      </c>
      <c r="O24" t="e">
        <f ca="1"/>
        <v>#NAME?</v>
      </c>
      <c r="P24" t="e">
        <f ca="1"/>
        <v>#NAME?</v>
      </c>
      <c r="Q24" t="e">
        <f ca="1"/>
        <v>#NAME?</v>
      </c>
      <c r="R24" t="e">
        <f ca="1"/>
        <v>#NAME?</v>
      </c>
      <c r="S24" t="e">
        <f ca="1"/>
        <v>#NAME?</v>
      </c>
      <c r="T24" t="e">
        <f ca="1"/>
        <v>#NAME?</v>
      </c>
      <c r="U24" t="e">
        <f ca="1"/>
        <v>#NAME?</v>
      </c>
      <c r="V24" s="5" t="e">
        <f ca="1"/>
        <v>#NAME?</v>
      </c>
      <c r="W24" t="e">
        <f ca="1"/>
        <v>#NAME?</v>
      </c>
      <c r="X24" t="e">
        <f ca="1"/>
        <v>#NAME?</v>
      </c>
      <c r="Y24" t="e">
        <f ca="1"/>
        <v>#NAME?</v>
      </c>
      <c r="Z24" t="e">
        <f ca="1"/>
        <v>#NAME?</v>
      </c>
      <c r="AA24" t="e">
        <f ca="1"/>
        <v>#NAME?</v>
      </c>
      <c r="AB24" t="e">
        <f ca="1"/>
        <v>#NAME?</v>
      </c>
    </row>
    <row r="25" spans="1:28" x14ac:dyDescent="0.2">
      <c r="A25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  <c r="G25" t="e">
        <f ca="1"/>
        <v>#NAME?</v>
      </c>
      <c r="H25" t="e">
        <f ca="1"/>
        <v>#NAME?</v>
      </c>
      <c r="I25" t="e">
        <f ca="1"/>
        <v>#NAME?</v>
      </c>
      <c r="J25" t="e">
        <f ca="1"/>
        <v>#NAME?</v>
      </c>
      <c r="K25" t="e">
        <f ca="1"/>
        <v>#NAME?</v>
      </c>
      <c r="L25" t="e">
        <f ca="1"/>
        <v>#NAME?</v>
      </c>
      <c r="M25" t="e">
        <f ca="1"/>
        <v>#NAME?</v>
      </c>
      <c r="N25" t="e">
        <f ca="1"/>
        <v>#NAME?</v>
      </c>
      <c r="O25" t="e">
        <f ca="1"/>
        <v>#NAME?</v>
      </c>
      <c r="P25" t="e">
        <f ca="1"/>
        <v>#NAME?</v>
      </c>
      <c r="Q25" t="e">
        <f ca="1"/>
        <v>#NAME?</v>
      </c>
      <c r="R25" t="e">
        <f ca="1"/>
        <v>#NAME?</v>
      </c>
      <c r="S25" t="e">
        <f ca="1"/>
        <v>#NAME?</v>
      </c>
      <c r="T25" t="e">
        <f ca="1"/>
        <v>#NAME?</v>
      </c>
      <c r="U25" t="e">
        <f ca="1"/>
        <v>#NAME?</v>
      </c>
      <c r="V25" s="5" t="e">
        <f ca="1"/>
        <v>#NAME?</v>
      </c>
      <c r="W25" t="e">
        <f ca="1"/>
        <v>#NAME?</v>
      </c>
      <c r="X25" t="e">
        <f ca="1"/>
        <v>#NAME?</v>
      </c>
      <c r="Y25" t="e">
        <f ca="1"/>
        <v>#NAME?</v>
      </c>
      <c r="Z25" t="e">
        <f ca="1"/>
        <v>#NAME?</v>
      </c>
      <c r="AA25" t="e">
        <f ca="1"/>
        <v>#NAME?</v>
      </c>
      <c r="AB25" t="e">
        <f ca="1"/>
        <v>#NAME?</v>
      </c>
    </row>
    <row r="26" spans="1:28" x14ac:dyDescent="0.2">
      <c r="A26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  <c r="G26" t="e">
        <f ca="1"/>
        <v>#NAME?</v>
      </c>
      <c r="H26" t="e">
        <f ca="1"/>
        <v>#NAME?</v>
      </c>
      <c r="I26" t="e">
        <f ca="1"/>
        <v>#NAME?</v>
      </c>
      <c r="J26" t="e">
        <f ca="1"/>
        <v>#NAME?</v>
      </c>
      <c r="K26" t="e">
        <f ca="1"/>
        <v>#NAME?</v>
      </c>
      <c r="L26" t="e">
        <f ca="1"/>
        <v>#NAME?</v>
      </c>
      <c r="M26" t="e">
        <f ca="1"/>
        <v>#NAME?</v>
      </c>
      <c r="N26" t="e">
        <f ca="1"/>
        <v>#NAME?</v>
      </c>
      <c r="O26" t="e">
        <f ca="1"/>
        <v>#NAME?</v>
      </c>
      <c r="P26" t="e">
        <f ca="1"/>
        <v>#NAME?</v>
      </c>
      <c r="Q26" t="e">
        <f ca="1"/>
        <v>#NAME?</v>
      </c>
      <c r="R26" t="e">
        <f ca="1"/>
        <v>#NAME?</v>
      </c>
      <c r="S26" t="e">
        <f ca="1"/>
        <v>#NAME?</v>
      </c>
      <c r="T26" t="e">
        <f ca="1"/>
        <v>#NAME?</v>
      </c>
      <c r="U26" t="e">
        <f ca="1"/>
        <v>#NAME?</v>
      </c>
      <c r="V26" s="5" t="e">
        <f ca="1"/>
        <v>#NAME?</v>
      </c>
      <c r="W26" t="e">
        <f ca="1"/>
        <v>#NAME?</v>
      </c>
      <c r="X26" t="e">
        <f ca="1"/>
        <v>#NAME?</v>
      </c>
      <c r="Y26" t="e">
        <f ca="1"/>
        <v>#NAME?</v>
      </c>
      <c r="Z26" t="e">
        <f ca="1"/>
        <v>#NAME?</v>
      </c>
      <c r="AA26" t="e">
        <f ca="1"/>
        <v>#NAME?</v>
      </c>
      <c r="AB26" t="e">
        <f ca="1"/>
        <v>#NAME?</v>
      </c>
    </row>
    <row r="27" spans="1:28" x14ac:dyDescent="0.2">
      <c r="A27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  <c r="G27" t="e">
        <f ca="1"/>
        <v>#NAME?</v>
      </c>
      <c r="H27" t="e">
        <f ca="1"/>
        <v>#NAME?</v>
      </c>
      <c r="I27" t="e">
        <f ca="1"/>
        <v>#NAME?</v>
      </c>
      <c r="J27" t="e">
        <f ca="1"/>
        <v>#NAME?</v>
      </c>
      <c r="K27" t="e">
        <f ca="1"/>
        <v>#NAME?</v>
      </c>
      <c r="L27" t="e">
        <f ca="1"/>
        <v>#NAME?</v>
      </c>
      <c r="M27" t="e">
        <f ca="1"/>
        <v>#NAME?</v>
      </c>
      <c r="N27" t="e">
        <f ca="1"/>
        <v>#NAME?</v>
      </c>
      <c r="O27" t="e">
        <f ca="1"/>
        <v>#NAME?</v>
      </c>
      <c r="P27" t="e">
        <f ca="1"/>
        <v>#NAME?</v>
      </c>
      <c r="Q27" t="e">
        <f ca="1"/>
        <v>#NAME?</v>
      </c>
      <c r="R27" t="e">
        <f ca="1"/>
        <v>#NAME?</v>
      </c>
      <c r="S27" t="e">
        <f ca="1"/>
        <v>#NAME?</v>
      </c>
      <c r="T27" t="e">
        <f ca="1"/>
        <v>#NAME?</v>
      </c>
      <c r="U27" t="e">
        <f ca="1"/>
        <v>#NAME?</v>
      </c>
      <c r="V27" s="5" t="e">
        <f ca="1"/>
        <v>#NAME?</v>
      </c>
      <c r="W27" t="e">
        <f ca="1"/>
        <v>#NAME?</v>
      </c>
      <c r="X27" t="e">
        <f ca="1"/>
        <v>#NAME?</v>
      </c>
      <c r="Y27" t="e">
        <f ca="1"/>
        <v>#NAME?</v>
      </c>
      <c r="Z27" t="e">
        <f ca="1"/>
        <v>#NAME?</v>
      </c>
      <c r="AA27" t="e">
        <f ca="1"/>
        <v>#NAME?</v>
      </c>
      <c r="AB27" t="e">
        <f ca="1"/>
        <v>#NAME?</v>
      </c>
    </row>
    <row r="28" spans="1:28" x14ac:dyDescent="0.2">
      <c r="A28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  <c r="G28" t="e">
        <f ca="1"/>
        <v>#NAME?</v>
      </c>
      <c r="H28" t="e">
        <f ca="1"/>
        <v>#NAME?</v>
      </c>
      <c r="I28" t="e">
        <f ca="1"/>
        <v>#NAME?</v>
      </c>
      <c r="J28" t="e">
        <f ca="1"/>
        <v>#NAME?</v>
      </c>
      <c r="K28" t="e">
        <f ca="1"/>
        <v>#NAME?</v>
      </c>
      <c r="L28" t="e">
        <f ca="1"/>
        <v>#NAME?</v>
      </c>
      <c r="M28" t="e">
        <f ca="1"/>
        <v>#NAME?</v>
      </c>
      <c r="N28" t="e">
        <f ca="1"/>
        <v>#NAME?</v>
      </c>
      <c r="O28" t="e">
        <f ca="1"/>
        <v>#NAME?</v>
      </c>
      <c r="P28" t="e">
        <f ca="1"/>
        <v>#NAME?</v>
      </c>
      <c r="Q28" t="e">
        <f ca="1"/>
        <v>#NAME?</v>
      </c>
      <c r="R28" t="e">
        <f ca="1"/>
        <v>#NAME?</v>
      </c>
      <c r="S28" t="e">
        <f ca="1"/>
        <v>#NAME?</v>
      </c>
      <c r="T28" t="e">
        <f ca="1"/>
        <v>#NAME?</v>
      </c>
      <c r="U28" t="e">
        <f ca="1"/>
        <v>#NAME?</v>
      </c>
      <c r="V28" s="5" t="e">
        <f ca="1"/>
        <v>#NAME?</v>
      </c>
      <c r="W28" t="e">
        <f ca="1"/>
        <v>#NAME?</v>
      </c>
      <c r="X28" t="e">
        <f ca="1"/>
        <v>#NAME?</v>
      </c>
      <c r="Y28" t="e">
        <f ca="1"/>
        <v>#NAME?</v>
      </c>
      <c r="Z28" t="e">
        <f ca="1"/>
        <v>#NAME?</v>
      </c>
      <c r="AA28" t="e">
        <f ca="1"/>
        <v>#NAME?</v>
      </c>
      <c r="AB28" t="e">
        <f ca="1"/>
        <v>#NAME?</v>
      </c>
    </row>
    <row r="29" spans="1:28" x14ac:dyDescent="0.2">
      <c r="A29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  <c r="G29" t="e">
        <f ca="1"/>
        <v>#NAME?</v>
      </c>
      <c r="H29" t="e">
        <f ca="1"/>
        <v>#NAME?</v>
      </c>
      <c r="I29" t="e">
        <f ca="1"/>
        <v>#NAME?</v>
      </c>
      <c r="J29" t="e">
        <f ca="1"/>
        <v>#NAME?</v>
      </c>
      <c r="K29" t="e">
        <f ca="1"/>
        <v>#NAME?</v>
      </c>
      <c r="L29" t="e">
        <f ca="1"/>
        <v>#NAME?</v>
      </c>
      <c r="M29" t="e">
        <f ca="1"/>
        <v>#NAME?</v>
      </c>
      <c r="N29" t="e">
        <f ca="1"/>
        <v>#NAME?</v>
      </c>
      <c r="O29" t="e">
        <f ca="1"/>
        <v>#NAME?</v>
      </c>
      <c r="P29" t="e">
        <f ca="1"/>
        <v>#NAME?</v>
      </c>
      <c r="Q29" t="e">
        <f ca="1"/>
        <v>#NAME?</v>
      </c>
      <c r="R29" t="e">
        <f ca="1"/>
        <v>#NAME?</v>
      </c>
      <c r="S29" t="e">
        <f ca="1"/>
        <v>#NAME?</v>
      </c>
      <c r="T29" t="e">
        <f ca="1"/>
        <v>#NAME?</v>
      </c>
      <c r="U29" t="e">
        <f ca="1"/>
        <v>#NAME?</v>
      </c>
      <c r="V29" s="5" t="e">
        <f ca="1"/>
        <v>#NAME?</v>
      </c>
      <c r="W29" t="e">
        <f ca="1"/>
        <v>#NAME?</v>
      </c>
      <c r="X29" t="e">
        <f ca="1"/>
        <v>#NAME?</v>
      </c>
      <c r="Y29" t="e">
        <f ca="1"/>
        <v>#NAME?</v>
      </c>
      <c r="Z29" t="e">
        <f ca="1"/>
        <v>#NAME?</v>
      </c>
      <c r="AA29" t="e">
        <f ca="1"/>
        <v>#NAME?</v>
      </c>
      <c r="AB29" t="e">
        <f ca="1"/>
        <v>#NAME?</v>
      </c>
    </row>
    <row r="30" spans="1:28" x14ac:dyDescent="0.2">
      <c r="A30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  <c r="G30" t="e">
        <f ca="1"/>
        <v>#NAME?</v>
      </c>
      <c r="H30" t="e">
        <f ca="1"/>
        <v>#NAME?</v>
      </c>
      <c r="I30" t="e">
        <f ca="1"/>
        <v>#NAME?</v>
      </c>
      <c r="J30" t="e">
        <f ca="1"/>
        <v>#NAME?</v>
      </c>
      <c r="K30" t="e">
        <f ca="1"/>
        <v>#NAME?</v>
      </c>
      <c r="L30" t="e">
        <f ca="1"/>
        <v>#NAME?</v>
      </c>
      <c r="M30" t="e">
        <f ca="1"/>
        <v>#NAME?</v>
      </c>
      <c r="N30" t="e">
        <f ca="1"/>
        <v>#NAME?</v>
      </c>
      <c r="O30" t="e">
        <f ca="1"/>
        <v>#NAME?</v>
      </c>
      <c r="P30" t="e">
        <f ca="1"/>
        <v>#NAME?</v>
      </c>
      <c r="Q30" t="e">
        <f ca="1"/>
        <v>#NAME?</v>
      </c>
      <c r="R30" t="e">
        <f ca="1"/>
        <v>#NAME?</v>
      </c>
      <c r="S30" t="e">
        <f ca="1"/>
        <v>#NAME?</v>
      </c>
      <c r="T30" t="e">
        <f ca="1"/>
        <v>#NAME?</v>
      </c>
      <c r="U30" t="e">
        <f ca="1"/>
        <v>#NAME?</v>
      </c>
      <c r="V30" s="5" t="e">
        <f ca="1"/>
        <v>#NAME?</v>
      </c>
      <c r="W30" t="e">
        <f ca="1"/>
        <v>#NAME?</v>
      </c>
      <c r="X30" t="e">
        <f ca="1"/>
        <v>#NAME?</v>
      </c>
      <c r="Y30" t="e">
        <f ca="1"/>
        <v>#NAME?</v>
      </c>
      <c r="Z30" t="e">
        <f ca="1"/>
        <v>#NAME?</v>
      </c>
      <c r="AA30" t="e">
        <f ca="1"/>
        <v>#NAME?</v>
      </c>
      <c r="AB30" t="e">
        <f ca="1"/>
        <v>#NAME?</v>
      </c>
    </row>
    <row r="31" spans="1:28" x14ac:dyDescent="0.2">
      <c r="A31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  <c r="G31" t="e">
        <f ca="1"/>
        <v>#NAME?</v>
      </c>
      <c r="H31" t="e">
        <f ca="1"/>
        <v>#NAME?</v>
      </c>
      <c r="I31" t="e">
        <f ca="1"/>
        <v>#NAME?</v>
      </c>
      <c r="J31" t="e">
        <f ca="1"/>
        <v>#NAME?</v>
      </c>
      <c r="K31" t="e">
        <f ca="1"/>
        <v>#NAME?</v>
      </c>
      <c r="L31" t="e">
        <f ca="1"/>
        <v>#NAME?</v>
      </c>
      <c r="M31" t="e">
        <f ca="1"/>
        <v>#NAME?</v>
      </c>
      <c r="N31" t="e">
        <f ca="1"/>
        <v>#NAME?</v>
      </c>
      <c r="O31" t="e">
        <f ca="1"/>
        <v>#NAME?</v>
      </c>
      <c r="P31" t="e">
        <f ca="1"/>
        <v>#NAME?</v>
      </c>
      <c r="Q31" t="e">
        <f ca="1"/>
        <v>#NAME?</v>
      </c>
      <c r="R31" t="e">
        <f ca="1"/>
        <v>#NAME?</v>
      </c>
      <c r="S31" t="e">
        <f ca="1"/>
        <v>#NAME?</v>
      </c>
      <c r="T31" t="e">
        <f ca="1"/>
        <v>#NAME?</v>
      </c>
      <c r="U31" t="e">
        <f ca="1"/>
        <v>#NAME?</v>
      </c>
      <c r="V31" s="5" t="e">
        <f ca="1"/>
        <v>#NAME?</v>
      </c>
      <c r="W31" t="e">
        <f ca="1"/>
        <v>#NAME?</v>
      </c>
      <c r="X31" t="e">
        <f ca="1"/>
        <v>#NAME?</v>
      </c>
      <c r="Y31" t="e">
        <f ca="1"/>
        <v>#NAME?</v>
      </c>
      <c r="Z31" t="e">
        <f ca="1"/>
        <v>#NAME?</v>
      </c>
      <c r="AA31" t="e">
        <f ca="1"/>
        <v>#NAME?</v>
      </c>
      <c r="AB31" t="e">
        <f ca="1"/>
        <v>#NAME?</v>
      </c>
    </row>
    <row r="32" spans="1:28" x14ac:dyDescent="0.2">
      <c r="A3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  <c r="G32" t="e">
        <f ca="1"/>
        <v>#NAME?</v>
      </c>
      <c r="H32" t="e">
        <f ca="1"/>
        <v>#NAME?</v>
      </c>
      <c r="I32" t="e">
        <f ca="1"/>
        <v>#NAME?</v>
      </c>
      <c r="J32" t="e">
        <f ca="1"/>
        <v>#NAME?</v>
      </c>
      <c r="K32" t="e">
        <f ca="1"/>
        <v>#NAME?</v>
      </c>
      <c r="L32" t="e">
        <f ca="1"/>
        <v>#NAME?</v>
      </c>
      <c r="M32" t="e">
        <f ca="1"/>
        <v>#NAME?</v>
      </c>
      <c r="N32" t="e">
        <f ca="1"/>
        <v>#NAME?</v>
      </c>
      <c r="O32" t="e">
        <f ca="1"/>
        <v>#NAME?</v>
      </c>
      <c r="P32" t="e">
        <f ca="1"/>
        <v>#NAME?</v>
      </c>
      <c r="Q32" t="e">
        <f ca="1"/>
        <v>#NAME?</v>
      </c>
      <c r="R32" t="e">
        <f ca="1"/>
        <v>#NAME?</v>
      </c>
      <c r="S32" t="e">
        <f ca="1"/>
        <v>#NAME?</v>
      </c>
      <c r="T32" t="e">
        <f ca="1"/>
        <v>#NAME?</v>
      </c>
      <c r="U32" t="e">
        <f ca="1"/>
        <v>#NAME?</v>
      </c>
      <c r="V32" s="5" t="e">
        <f ca="1"/>
        <v>#NAME?</v>
      </c>
      <c r="W32" t="e">
        <f ca="1"/>
        <v>#NAME?</v>
      </c>
      <c r="X32" t="e">
        <f ca="1"/>
        <v>#NAME?</v>
      </c>
      <c r="Y32" t="e">
        <f ca="1"/>
        <v>#NAME?</v>
      </c>
      <c r="Z32" t="e">
        <f ca="1"/>
        <v>#NAME?</v>
      </c>
      <c r="AA32" t="e">
        <f ca="1"/>
        <v>#NAME?</v>
      </c>
      <c r="AB32" t="e">
        <f ca="1"/>
        <v>#NAME?</v>
      </c>
    </row>
    <row r="33" spans="1:28" x14ac:dyDescent="0.2">
      <c r="A33" t="e">
        <f ca="1"/>
        <v>#NAME?</v>
      </c>
      <c r="B33" t="e">
        <f ca="1"/>
        <v>#NAME?</v>
      </c>
      <c r="C33" t="e">
        <f ca="1"/>
        <v>#NAME?</v>
      </c>
      <c r="D33" t="e">
        <f ca="1"/>
        <v>#NAME?</v>
      </c>
      <c r="E33" t="e">
        <f ca="1"/>
        <v>#NAME?</v>
      </c>
      <c r="F33" t="e">
        <f ca="1"/>
        <v>#NAME?</v>
      </c>
      <c r="G33" t="e">
        <f ca="1"/>
        <v>#NAME?</v>
      </c>
      <c r="H33" t="e">
        <f ca="1"/>
        <v>#NAME?</v>
      </c>
      <c r="I33" t="e">
        <f ca="1"/>
        <v>#NAME?</v>
      </c>
      <c r="J33" t="e">
        <f ca="1"/>
        <v>#NAME?</v>
      </c>
      <c r="K33" t="e">
        <f ca="1"/>
        <v>#NAME?</v>
      </c>
      <c r="L33" t="e">
        <f ca="1"/>
        <v>#NAME?</v>
      </c>
      <c r="M33" t="e">
        <f ca="1"/>
        <v>#NAME?</v>
      </c>
      <c r="N33" t="e">
        <f ca="1"/>
        <v>#NAME?</v>
      </c>
      <c r="O33" t="e">
        <f ca="1"/>
        <v>#NAME?</v>
      </c>
      <c r="P33" t="e">
        <f ca="1"/>
        <v>#NAME?</v>
      </c>
      <c r="Q33" t="e">
        <f ca="1"/>
        <v>#NAME?</v>
      </c>
      <c r="R33" t="e">
        <f ca="1"/>
        <v>#NAME?</v>
      </c>
      <c r="S33" t="e">
        <f ca="1"/>
        <v>#NAME?</v>
      </c>
      <c r="T33" t="e">
        <f ca="1"/>
        <v>#NAME?</v>
      </c>
      <c r="U33" t="e">
        <f ca="1"/>
        <v>#NAME?</v>
      </c>
      <c r="V33" s="5" t="e">
        <f ca="1"/>
        <v>#NAME?</v>
      </c>
      <c r="W33" t="e">
        <f ca="1"/>
        <v>#NAME?</v>
      </c>
      <c r="X33" t="e">
        <f ca="1"/>
        <v>#NAME?</v>
      </c>
      <c r="Y33" t="e">
        <f ca="1"/>
        <v>#NAME?</v>
      </c>
      <c r="Z33" t="e">
        <f ca="1"/>
        <v>#NAME?</v>
      </c>
      <c r="AA33" t="e">
        <f ca="1"/>
        <v>#NAME?</v>
      </c>
      <c r="AB33" t="e">
        <f ca="1"/>
        <v>#NAME?</v>
      </c>
    </row>
    <row r="34" spans="1:28" x14ac:dyDescent="0.2">
      <c r="A34" t="e">
        <f ca="1"/>
        <v>#NAME?</v>
      </c>
      <c r="B34" t="e">
        <f ca="1"/>
        <v>#NAME?</v>
      </c>
      <c r="C34" t="e">
        <f ca="1"/>
        <v>#NAME?</v>
      </c>
      <c r="D34" t="e">
        <f ca="1"/>
        <v>#NAME?</v>
      </c>
      <c r="E34" t="e">
        <f ca="1"/>
        <v>#NAME?</v>
      </c>
      <c r="F34" t="e">
        <f ca="1"/>
        <v>#NAME?</v>
      </c>
      <c r="G34" t="e">
        <f ca="1"/>
        <v>#NAME?</v>
      </c>
      <c r="H34" t="e">
        <f ca="1"/>
        <v>#NAME?</v>
      </c>
      <c r="I34" t="e">
        <f ca="1"/>
        <v>#NAME?</v>
      </c>
      <c r="J34" t="e">
        <f ca="1"/>
        <v>#NAME?</v>
      </c>
      <c r="K34" t="e">
        <f ca="1"/>
        <v>#NAME?</v>
      </c>
      <c r="L34" t="e">
        <f ca="1"/>
        <v>#NAME?</v>
      </c>
      <c r="M34" t="e">
        <f ca="1"/>
        <v>#NAME?</v>
      </c>
      <c r="N34" t="e">
        <f ca="1"/>
        <v>#NAME?</v>
      </c>
      <c r="O34" t="e">
        <f ca="1"/>
        <v>#NAME?</v>
      </c>
      <c r="P34" t="e">
        <f ca="1"/>
        <v>#NAME?</v>
      </c>
      <c r="Q34" t="e">
        <f ca="1"/>
        <v>#NAME?</v>
      </c>
      <c r="R34" t="e">
        <f ca="1"/>
        <v>#NAME?</v>
      </c>
      <c r="S34" t="e">
        <f ca="1"/>
        <v>#NAME?</v>
      </c>
      <c r="T34" t="e">
        <f ca="1"/>
        <v>#NAME?</v>
      </c>
      <c r="U34" t="e">
        <f ca="1"/>
        <v>#NAME?</v>
      </c>
      <c r="V34" s="5" t="e">
        <f ca="1"/>
        <v>#NAME?</v>
      </c>
      <c r="W34" t="e">
        <f ca="1"/>
        <v>#NAME?</v>
      </c>
      <c r="X34" t="e">
        <f ca="1"/>
        <v>#NAME?</v>
      </c>
      <c r="Y34" t="e">
        <f ca="1"/>
        <v>#NAME?</v>
      </c>
      <c r="Z34" t="e">
        <f ca="1"/>
        <v>#NAME?</v>
      </c>
      <c r="AA34" t="e">
        <f ca="1"/>
        <v>#NAME?</v>
      </c>
      <c r="AB34" t="e">
        <f ca="1"/>
        <v>#NAME?</v>
      </c>
    </row>
    <row r="35" spans="1:28" x14ac:dyDescent="0.2">
      <c r="A35" t="e">
        <f ca="1"/>
        <v>#NAME?</v>
      </c>
      <c r="B35" t="e">
        <f ca="1"/>
        <v>#NAME?</v>
      </c>
      <c r="C35" t="e">
        <f ca="1"/>
        <v>#NAME?</v>
      </c>
      <c r="D35" t="e">
        <f ca="1"/>
        <v>#NAME?</v>
      </c>
      <c r="E35" t="e">
        <f ca="1"/>
        <v>#NAME?</v>
      </c>
      <c r="F35" t="e">
        <f ca="1"/>
        <v>#NAME?</v>
      </c>
      <c r="G35" t="e">
        <f ca="1"/>
        <v>#NAME?</v>
      </c>
      <c r="H35" t="e">
        <f ca="1"/>
        <v>#NAME?</v>
      </c>
      <c r="I35" t="e">
        <f ca="1"/>
        <v>#NAME?</v>
      </c>
      <c r="J35" t="e">
        <f ca="1"/>
        <v>#NAME?</v>
      </c>
      <c r="K35" t="e">
        <f ca="1"/>
        <v>#NAME?</v>
      </c>
      <c r="L35" t="e">
        <f ca="1"/>
        <v>#NAME?</v>
      </c>
      <c r="M35" t="e">
        <f ca="1"/>
        <v>#NAME?</v>
      </c>
      <c r="N35" t="e">
        <f ca="1"/>
        <v>#NAME?</v>
      </c>
      <c r="O35" t="e">
        <f ca="1"/>
        <v>#NAME?</v>
      </c>
      <c r="P35" t="e">
        <f ca="1"/>
        <v>#NAME?</v>
      </c>
      <c r="Q35" t="e">
        <f ca="1"/>
        <v>#NAME?</v>
      </c>
      <c r="R35" t="e">
        <f ca="1"/>
        <v>#NAME?</v>
      </c>
      <c r="S35" t="e">
        <f ca="1"/>
        <v>#NAME?</v>
      </c>
      <c r="T35" t="e">
        <f ca="1"/>
        <v>#NAME?</v>
      </c>
      <c r="U35" t="e">
        <f ca="1"/>
        <v>#NAME?</v>
      </c>
      <c r="V35" s="5" t="e">
        <f ca="1"/>
        <v>#NAME?</v>
      </c>
      <c r="W35" t="e">
        <f ca="1"/>
        <v>#NAME?</v>
      </c>
      <c r="X35" t="e">
        <f ca="1"/>
        <v>#NAME?</v>
      </c>
      <c r="Y35" t="e">
        <f ca="1"/>
        <v>#NAME?</v>
      </c>
      <c r="Z35" t="e">
        <f ca="1"/>
        <v>#NAME?</v>
      </c>
      <c r="AA35" t="e">
        <f ca="1"/>
        <v>#NAME?</v>
      </c>
      <c r="AB35" t="e">
        <f ca="1"/>
        <v>#NAME?</v>
      </c>
    </row>
    <row r="36" spans="1:28" x14ac:dyDescent="0.2">
      <c r="A36" t="e">
        <f ca="1"/>
        <v>#NAME?</v>
      </c>
      <c r="B36" t="e">
        <f ca="1"/>
        <v>#NAME?</v>
      </c>
      <c r="C36" t="e">
        <f ca="1"/>
        <v>#NAME?</v>
      </c>
      <c r="D36" t="e">
        <f ca="1"/>
        <v>#NAME?</v>
      </c>
      <c r="E36" t="e">
        <f ca="1"/>
        <v>#NAME?</v>
      </c>
      <c r="F36" t="e">
        <f ca="1"/>
        <v>#NAME?</v>
      </c>
      <c r="G36" t="e">
        <f ca="1"/>
        <v>#NAME?</v>
      </c>
      <c r="H36" t="e">
        <f ca="1"/>
        <v>#NAME?</v>
      </c>
      <c r="I36" t="e">
        <f ca="1"/>
        <v>#NAME?</v>
      </c>
      <c r="J36" t="e">
        <f ca="1"/>
        <v>#NAME?</v>
      </c>
      <c r="K36" t="e">
        <f ca="1"/>
        <v>#NAME?</v>
      </c>
      <c r="L36" t="e">
        <f ca="1"/>
        <v>#NAME?</v>
      </c>
      <c r="M36" t="e">
        <f ca="1"/>
        <v>#NAME?</v>
      </c>
      <c r="N36" t="e">
        <f ca="1"/>
        <v>#NAME?</v>
      </c>
      <c r="O36" t="e">
        <f ca="1"/>
        <v>#NAME?</v>
      </c>
      <c r="P36" t="e">
        <f ca="1"/>
        <v>#NAME?</v>
      </c>
      <c r="Q36" t="e">
        <f ca="1"/>
        <v>#NAME?</v>
      </c>
      <c r="R36" t="e">
        <f ca="1"/>
        <v>#NAME?</v>
      </c>
      <c r="S36" t="e">
        <f ca="1"/>
        <v>#NAME?</v>
      </c>
      <c r="T36" t="e">
        <f ca="1"/>
        <v>#NAME?</v>
      </c>
      <c r="U36" t="e">
        <f ca="1"/>
        <v>#NAME?</v>
      </c>
      <c r="V36" s="5" t="e">
        <f ca="1"/>
        <v>#NAME?</v>
      </c>
      <c r="W36" t="e">
        <f ca="1"/>
        <v>#NAME?</v>
      </c>
      <c r="X36" t="e">
        <f ca="1"/>
        <v>#NAME?</v>
      </c>
      <c r="Y36" t="e">
        <f ca="1"/>
        <v>#NAME?</v>
      </c>
      <c r="Z36" t="e">
        <f ca="1"/>
        <v>#NAME?</v>
      </c>
      <c r="AA36" t="e">
        <f ca="1"/>
        <v>#NAME?</v>
      </c>
      <c r="AB36" t="e">
        <f ca="1"/>
        <v>#NAME?</v>
      </c>
    </row>
    <row r="37" spans="1:28" x14ac:dyDescent="0.2">
      <c r="A37" t="e">
        <f ca="1"/>
        <v>#NAME?</v>
      </c>
      <c r="B37" t="e">
        <f ca="1"/>
        <v>#NAME?</v>
      </c>
      <c r="C37" t="e">
        <f ca="1"/>
        <v>#NAME?</v>
      </c>
      <c r="D37" t="e">
        <f ca="1"/>
        <v>#NAME?</v>
      </c>
      <c r="E37" t="e">
        <f ca="1"/>
        <v>#NAME?</v>
      </c>
      <c r="F37" t="e">
        <f ca="1"/>
        <v>#NAME?</v>
      </c>
      <c r="G37" t="e">
        <f ca="1"/>
        <v>#NAME?</v>
      </c>
      <c r="H37" t="e">
        <f ca="1"/>
        <v>#NAME?</v>
      </c>
      <c r="I37" t="e">
        <f ca="1"/>
        <v>#NAME?</v>
      </c>
      <c r="J37" t="e">
        <f ca="1"/>
        <v>#NAME?</v>
      </c>
      <c r="K37" t="e">
        <f ca="1"/>
        <v>#NAME?</v>
      </c>
      <c r="L37" t="e">
        <f ca="1"/>
        <v>#NAME?</v>
      </c>
      <c r="M37" t="e">
        <f ca="1"/>
        <v>#NAME?</v>
      </c>
      <c r="N37" t="e">
        <f ca="1"/>
        <v>#NAME?</v>
      </c>
      <c r="O37" t="e">
        <f ca="1"/>
        <v>#NAME?</v>
      </c>
      <c r="P37" t="e">
        <f ca="1"/>
        <v>#NAME?</v>
      </c>
      <c r="Q37" t="e">
        <f ca="1"/>
        <v>#NAME?</v>
      </c>
      <c r="R37" t="e">
        <f ca="1"/>
        <v>#NAME?</v>
      </c>
      <c r="S37" t="e">
        <f ca="1"/>
        <v>#NAME?</v>
      </c>
      <c r="T37" t="e">
        <f ca="1"/>
        <v>#NAME?</v>
      </c>
      <c r="U37" t="e">
        <f ca="1"/>
        <v>#NAME?</v>
      </c>
      <c r="V37" s="5" t="e">
        <f ca="1"/>
        <v>#NAME?</v>
      </c>
      <c r="W37" t="e">
        <f ca="1"/>
        <v>#NAME?</v>
      </c>
      <c r="X37" t="e">
        <f ca="1"/>
        <v>#NAME?</v>
      </c>
      <c r="Y37" t="e">
        <f ca="1"/>
        <v>#NAME?</v>
      </c>
      <c r="Z37" t="e">
        <f ca="1"/>
        <v>#NAME?</v>
      </c>
      <c r="AA37" t="e">
        <f ca="1"/>
        <v>#NAME?</v>
      </c>
      <c r="AB37" t="e">
        <f ca="1"/>
        <v>#NAME?</v>
      </c>
    </row>
    <row r="38" spans="1:28" x14ac:dyDescent="0.2">
      <c r="A38" t="e">
        <f ca="1"/>
        <v>#NAME?</v>
      </c>
      <c r="B38" t="e">
        <f ca="1"/>
        <v>#NAME?</v>
      </c>
      <c r="C38" t="e">
        <f ca="1"/>
        <v>#NAME?</v>
      </c>
      <c r="D38" t="e">
        <f ca="1"/>
        <v>#NAME?</v>
      </c>
      <c r="E38" t="e">
        <f ca="1"/>
        <v>#NAME?</v>
      </c>
      <c r="F38" t="e">
        <f ca="1"/>
        <v>#NAME?</v>
      </c>
      <c r="G38" t="e">
        <f ca="1"/>
        <v>#NAME?</v>
      </c>
      <c r="H38" t="e">
        <f ca="1"/>
        <v>#NAME?</v>
      </c>
      <c r="I38" t="e">
        <f ca="1"/>
        <v>#NAME?</v>
      </c>
      <c r="J38" t="e">
        <f ca="1"/>
        <v>#NAME?</v>
      </c>
      <c r="K38" t="e">
        <f ca="1"/>
        <v>#NAME?</v>
      </c>
      <c r="L38" t="e">
        <f ca="1"/>
        <v>#NAME?</v>
      </c>
      <c r="M38" t="e">
        <f ca="1"/>
        <v>#NAME?</v>
      </c>
      <c r="N38" t="e">
        <f ca="1"/>
        <v>#NAME?</v>
      </c>
      <c r="O38" t="e">
        <f ca="1"/>
        <v>#NAME?</v>
      </c>
      <c r="P38" t="e">
        <f ca="1"/>
        <v>#NAME?</v>
      </c>
      <c r="Q38" t="e">
        <f ca="1"/>
        <v>#NAME?</v>
      </c>
      <c r="R38" t="e">
        <f ca="1"/>
        <v>#NAME?</v>
      </c>
      <c r="S38" t="e">
        <f ca="1"/>
        <v>#NAME?</v>
      </c>
      <c r="T38" t="e">
        <f ca="1"/>
        <v>#NAME?</v>
      </c>
      <c r="U38" t="e">
        <f ca="1"/>
        <v>#NAME?</v>
      </c>
      <c r="V38" s="5" t="e">
        <f ca="1"/>
        <v>#NAME?</v>
      </c>
      <c r="W38" t="e">
        <f ca="1"/>
        <v>#NAME?</v>
      </c>
      <c r="X38" t="e">
        <f ca="1"/>
        <v>#NAME?</v>
      </c>
      <c r="Y38" t="e">
        <f ca="1"/>
        <v>#NAME?</v>
      </c>
      <c r="Z38" t="e">
        <f ca="1"/>
        <v>#NAME?</v>
      </c>
      <c r="AA38" t="e">
        <f ca="1"/>
        <v>#NAME?</v>
      </c>
      <c r="AB38" t="e">
        <f ca="1"/>
        <v>#NAME?</v>
      </c>
    </row>
    <row r="39" spans="1:28" x14ac:dyDescent="0.2">
      <c r="A39" t="e">
        <f ca="1"/>
        <v>#NAME?</v>
      </c>
      <c r="B39" t="e">
        <f ca="1"/>
        <v>#NAME?</v>
      </c>
      <c r="C39" t="e">
        <f ca="1"/>
        <v>#NAME?</v>
      </c>
      <c r="D39" t="e">
        <f ca="1"/>
        <v>#NAME?</v>
      </c>
      <c r="E39" t="e">
        <f ca="1"/>
        <v>#NAME?</v>
      </c>
      <c r="F39" t="e">
        <f ca="1"/>
        <v>#NAME?</v>
      </c>
      <c r="G39" t="e">
        <f ca="1"/>
        <v>#NAME?</v>
      </c>
      <c r="H39" t="e">
        <f ca="1"/>
        <v>#NAME?</v>
      </c>
      <c r="I39" t="e">
        <f ca="1"/>
        <v>#NAME?</v>
      </c>
      <c r="J39" t="e">
        <f ca="1"/>
        <v>#NAME?</v>
      </c>
      <c r="K39" t="e">
        <f ca="1"/>
        <v>#NAME?</v>
      </c>
      <c r="L39" t="e">
        <f ca="1"/>
        <v>#NAME?</v>
      </c>
      <c r="M39" t="e">
        <f ca="1"/>
        <v>#NAME?</v>
      </c>
      <c r="N39" t="e">
        <f ca="1"/>
        <v>#NAME?</v>
      </c>
      <c r="O39" t="e">
        <f ca="1"/>
        <v>#NAME?</v>
      </c>
      <c r="P39" t="e">
        <f ca="1"/>
        <v>#NAME?</v>
      </c>
      <c r="Q39" t="e">
        <f ca="1"/>
        <v>#NAME?</v>
      </c>
      <c r="R39" t="e">
        <f ca="1"/>
        <v>#NAME?</v>
      </c>
      <c r="S39" t="e">
        <f ca="1"/>
        <v>#NAME?</v>
      </c>
      <c r="T39" t="e">
        <f ca="1"/>
        <v>#NAME?</v>
      </c>
      <c r="U39" t="e">
        <f ca="1"/>
        <v>#NAME?</v>
      </c>
      <c r="V39" s="5" t="e">
        <f ca="1"/>
        <v>#NAME?</v>
      </c>
      <c r="W39" t="e">
        <f ca="1"/>
        <v>#NAME?</v>
      </c>
      <c r="X39" t="e">
        <f ca="1"/>
        <v>#NAME?</v>
      </c>
      <c r="Y39" t="e">
        <f ca="1"/>
        <v>#NAME?</v>
      </c>
      <c r="Z39" t="e">
        <f ca="1"/>
        <v>#NAME?</v>
      </c>
      <c r="AA39" t="e">
        <f ca="1"/>
        <v>#NAME?</v>
      </c>
      <c r="AB39" t="e">
        <f ca="1"/>
        <v>#NAME?</v>
      </c>
    </row>
    <row r="40" spans="1:28" x14ac:dyDescent="0.2">
      <c r="A40" t="e">
        <f ca="1"/>
        <v>#NAME?</v>
      </c>
      <c r="B40" t="e">
        <f ca="1"/>
        <v>#NAME?</v>
      </c>
      <c r="C40" t="e">
        <f ca="1"/>
        <v>#NAME?</v>
      </c>
      <c r="D40" t="e">
        <f ca="1"/>
        <v>#NAME?</v>
      </c>
      <c r="E40" t="e">
        <f ca="1"/>
        <v>#NAME?</v>
      </c>
      <c r="F40" t="e">
        <f ca="1"/>
        <v>#NAME?</v>
      </c>
      <c r="G40" t="e">
        <f ca="1"/>
        <v>#NAME?</v>
      </c>
      <c r="H40" t="e">
        <f ca="1"/>
        <v>#NAME?</v>
      </c>
      <c r="I40" t="e">
        <f ca="1"/>
        <v>#NAME?</v>
      </c>
      <c r="J40" t="e">
        <f ca="1"/>
        <v>#NAME?</v>
      </c>
      <c r="K40" t="e">
        <f ca="1"/>
        <v>#NAME?</v>
      </c>
      <c r="L40" t="e">
        <f ca="1"/>
        <v>#NAME?</v>
      </c>
      <c r="M40" t="e">
        <f ca="1"/>
        <v>#NAME?</v>
      </c>
      <c r="N40" t="e">
        <f ca="1"/>
        <v>#NAME?</v>
      </c>
      <c r="O40" t="e">
        <f ca="1"/>
        <v>#NAME?</v>
      </c>
      <c r="P40" t="e">
        <f ca="1"/>
        <v>#NAME?</v>
      </c>
      <c r="Q40" t="e">
        <f ca="1"/>
        <v>#NAME?</v>
      </c>
      <c r="R40" t="e">
        <f ca="1"/>
        <v>#NAME?</v>
      </c>
      <c r="S40" t="e">
        <f ca="1"/>
        <v>#NAME?</v>
      </c>
      <c r="T40" t="e">
        <f ca="1"/>
        <v>#NAME?</v>
      </c>
      <c r="U40" t="e">
        <f ca="1"/>
        <v>#NAME?</v>
      </c>
      <c r="V40" s="5" t="e">
        <f ca="1"/>
        <v>#NAME?</v>
      </c>
      <c r="W40" t="e">
        <f ca="1"/>
        <v>#NAME?</v>
      </c>
      <c r="X40" t="e">
        <f ca="1"/>
        <v>#NAME?</v>
      </c>
      <c r="Y40" t="e">
        <f ca="1"/>
        <v>#NAME?</v>
      </c>
      <c r="Z40" t="e">
        <f ca="1"/>
        <v>#NAME?</v>
      </c>
      <c r="AA40" t="e">
        <f ca="1"/>
        <v>#NAME?</v>
      </c>
      <c r="AB40" t="e">
        <f ca="1"/>
        <v>#NAME?</v>
      </c>
    </row>
    <row r="41" spans="1:28" x14ac:dyDescent="0.2">
      <c r="A41" t="e">
        <f ca="1"/>
        <v>#NAME?</v>
      </c>
      <c r="B41" t="e">
        <f ca="1"/>
        <v>#NAME?</v>
      </c>
      <c r="C41" t="e">
        <f ca="1"/>
        <v>#NAME?</v>
      </c>
      <c r="D41" t="e">
        <f ca="1"/>
        <v>#NAME?</v>
      </c>
      <c r="E41" t="e">
        <f ca="1"/>
        <v>#NAME?</v>
      </c>
      <c r="F41" t="e">
        <f ca="1"/>
        <v>#NAME?</v>
      </c>
      <c r="G41" t="e">
        <f ca="1"/>
        <v>#NAME?</v>
      </c>
      <c r="H41" t="e">
        <f ca="1"/>
        <v>#NAME?</v>
      </c>
      <c r="I41" t="e">
        <f ca="1"/>
        <v>#NAME?</v>
      </c>
      <c r="J41" t="e">
        <f ca="1"/>
        <v>#NAME?</v>
      </c>
      <c r="K41" t="e">
        <f ca="1"/>
        <v>#NAME?</v>
      </c>
      <c r="L41" t="e">
        <f ca="1"/>
        <v>#NAME?</v>
      </c>
      <c r="M41" t="e">
        <f ca="1"/>
        <v>#NAME?</v>
      </c>
      <c r="N41" t="e">
        <f ca="1"/>
        <v>#NAME?</v>
      </c>
      <c r="O41" t="e">
        <f ca="1"/>
        <v>#NAME?</v>
      </c>
      <c r="P41" t="e">
        <f ca="1"/>
        <v>#NAME?</v>
      </c>
      <c r="Q41" t="e">
        <f ca="1"/>
        <v>#NAME?</v>
      </c>
      <c r="R41" t="e">
        <f ca="1"/>
        <v>#NAME?</v>
      </c>
      <c r="S41" t="e">
        <f ca="1"/>
        <v>#NAME?</v>
      </c>
      <c r="T41" t="e">
        <f ca="1"/>
        <v>#NAME?</v>
      </c>
      <c r="U41" t="e">
        <f ca="1"/>
        <v>#NAME?</v>
      </c>
      <c r="V41" s="5" t="e">
        <f ca="1"/>
        <v>#NAME?</v>
      </c>
      <c r="W41" t="e">
        <f ca="1"/>
        <v>#NAME?</v>
      </c>
      <c r="X41" t="e">
        <f ca="1"/>
        <v>#NAME?</v>
      </c>
      <c r="Y41" t="e">
        <f ca="1"/>
        <v>#NAME?</v>
      </c>
      <c r="Z41" t="e">
        <f ca="1"/>
        <v>#NAME?</v>
      </c>
      <c r="AA41" t="e">
        <f ca="1"/>
        <v>#NAME?</v>
      </c>
      <c r="AB41" t="e">
        <f ca="1"/>
        <v>#NAME?</v>
      </c>
    </row>
    <row r="42" spans="1:28" x14ac:dyDescent="0.2">
      <c r="A42" t="e">
        <f ca="1"/>
        <v>#NAME?</v>
      </c>
      <c r="B42" t="e">
        <f ca="1"/>
        <v>#NAME?</v>
      </c>
      <c r="C42" t="e">
        <f ca="1"/>
        <v>#NAME?</v>
      </c>
      <c r="D42" t="e">
        <f ca="1"/>
        <v>#NAME?</v>
      </c>
      <c r="E42" t="e">
        <f ca="1"/>
        <v>#NAME?</v>
      </c>
      <c r="F42" t="e">
        <f ca="1"/>
        <v>#NAME?</v>
      </c>
      <c r="G42" t="e">
        <f ca="1"/>
        <v>#NAME?</v>
      </c>
      <c r="H42" t="e">
        <f ca="1"/>
        <v>#NAME?</v>
      </c>
      <c r="I42" t="e">
        <f ca="1"/>
        <v>#NAME?</v>
      </c>
      <c r="J42" t="e">
        <f ca="1"/>
        <v>#NAME?</v>
      </c>
      <c r="K42" t="e">
        <f ca="1"/>
        <v>#NAME?</v>
      </c>
      <c r="L42" t="e">
        <f ca="1"/>
        <v>#NAME?</v>
      </c>
      <c r="M42" t="e">
        <f ca="1"/>
        <v>#NAME?</v>
      </c>
      <c r="N42" t="e">
        <f ca="1"/>
        <v>#NAME?</v>
      </c>
      <c r="O42" t="e">
        <f ca="1"/>
        <v>#NAME?</v>
      </c>
      <c r="P42" t="e">
        <f ca="1"/>
        <v>#NAME?</v>
      </c>
      <c r="Q42" t="e">
        <f ca="1"/>
        <v>#NAME?</v>
      </c>
      <c r="R42" t="e">
        <f ca="1"/>
        <v>#NAME?</v>
      </c>
      <c r="S42" t="e">
        <f ca="1"/>
        <v>#NAME?</v>
      </c>
      <c r="T42" t="e">
        <f ca="1"/>
        <v>#NAME?</v>
      </c>
      <c r="U42" t="e">
        <f ca="1"/>
        <v>#NAME?</v>
      </c>
      <c r="V42" s="5" t="e">
        <f ca="1"/>
        <v>#NAME?</v>
      </c>
      <c r="W42" t="e">
        <f ca="1"/>
        <v>#NAME?</v>
      </c>
      <c r="X42" t="e">
        <f ca="1"/>
        <v>#NAME?</v>
      </c>
      <c r="Y42" t="e">
        <f ca="1"/>
        <v>#NAME?</v>
      </c>
      <c r="Z42" t="e">
        <f ca="1"/>
        <v>#NAME?</v>
      </c>
      <c r="AA42" t="e">
        <f ca="1"/>
        <v>#NAME?</v>
      </c>
      <c r="AB42" t="e">
        <f ca="1"/>
        <v>#NAME?</v>
      </c>
    </row>
    <row r="43" spans="1:28" x14ac:dyDescent="0.2">
      <c r="A43" t="e">
        <f ca="1"/>
        <v>#NAME?</v>
      </c>
      <c r="B43" t="e">
        <f ca="1"/>
        <v>#NAME?</v>
      </c>
      <c r="C43" t="e">
        <f ca="1"/>
        <v>#NAME?</v>
      </c>
      <c r="D43" t="e">
        <f ca="1"/>
        <v>#NAME?</v>
      </c>
      <c r="E43" t="e">
        <f ca="1"/>
        <v>#NAME?</v>
      </c>
      <c r="F43" t="e">
        <f ca="1"/>
        <v>#NAME?</v>
      </c>
      <c r="G43" t="e">
        <f ca="1"/>
        <v>#NAME?</v>
      </c>
      <c r="H43" t="e">
        <f ca="1"/>
        <v>#NAME?</v>
      </c>
      <c r="I43" t="e">
        <f ca="1"/>
        <v>#NAME?</v>
      </c>
      <c r="J43" t="e">
        <f ca="1"/>
        <v>#NAME?</v>
      </c>
      <c r="K43" t="e">
        <f ca="1"/>
        <v>#NAME?</v>
      </c>
      <c r="L43" t="e">
        <f ca="1"/>
        <v>#NAME?</v>
      </c>
      <c r="M43" t="e">
        <f ca="1"/>
        <v>#NAME?</v>
      </c>
      <c r="N43" t="e">
        <f ca="1"/>
        <v>#NAME?</v>
      </c>
      <c r="O43" t="e">
        <f ca="1"/>
        <v>#NAME?</v>
      </c>
      <c r="P43" t="e">
        <f ca="1"/>
        <v>#NAME?</v>
      </c>
      <c r="Q43" t="e">
        <f ca="1"/>
        <v>#NAME?</v>
      </c>
      <c r="R43" t="e">
        <f ca="1"/>
        <v>#NAME?</v>
      </c>
      <c r="S43" t="e">
        <f ca="1"/>
        <v>#NAME?</v>
      </c>
      <c r="T43" t="e">
        <f ca="1"/>
        <v>#NAME?</v>
      </c>
      <c r="U43" t="e">
        <f ca="1"/>
        <v>#NAME?</v>
      </c>
      <c r="V43" s="5" t="e">
        <f ca="1"/>
        <v>#NAME?</v>
      </c>
      <c r="W43" t="e">
        <f ca="1"/>
        <v>#NAME?</v>
      </c>
      <c r="X43" t="e">
        <f ca="1"/>
        <v>#NAME?</v>
      </c>
      <c r="Y43" t="e">
        <f ca="1"/>
        <v>#NAME?</v>
      </c>
      <c r="Z43" t="e">
        <f ca="1"/>
        <v>#NAME?</v>
      </c>
      <c r="AA43" t="e">
        <f ca="1"/>
        <v>#NAME?</v>
      </c>
      <c r="AB43" t="e">
        <f ca="1"/>
        <v>#NAME?</v>
      </c>
    </row>
    <row r="44" spans="1:28" x14ac:dyDescent="0.2">
      <c r="A44" t="e">
        <f ca="1"/>
        <v>#NAME?</v>
      </c>
      <c r="B44" t="e">
        <f ca="1"/>
        <v>#NAME?</v>
      </c>
      <c r="C44" t="e">
        <f ca="1"/>
        <v>#NAME?</v>
      </c>
      <c r="D44" t="e">
        <f ca="1"/>
        <v>#NAME?</v>
      </c>
      <c r="E44" t="e">
        <f ca="1"/>
        <v>#NAME?</v>
      </c>
      <c r="F44" t="e">
        <f ca="1"/>
        <v>#NAME?</v>
      </c>
      <c r="G44" t="e">
        <f ca="1"/>
        <v>#NAME?</v>
      </c>
      <c r="H44" t="e">
        <f ca="1"/>
        <v>#NAME?</v>
      </c>
      <c r="I44" t="e">
        <f ca="1"/>
        <v>#NAME?</v>
      </c>
      <c r="J44" t="e">
        <f ca="1"/>
        <v>#NAME?</v>
      </c>
      <c r="K44" t="e">
        <f ca="1"/>
        <v>#NAME?</v>
      </c>
      <c r="L44" t="e">
        <f ca="1"/>
        <v>#NAME?</v>
      </c>
      <c r="M44" t="e">
        <f ca="1"/>
        <v>#NAME?</v>
      </c>
      <c r="N44" t="e">
        <f ca="1"/>
        <v>#NAME?</v>
      </c>
      <c r="O44" t="e">
        <f ca="1"/>
        <v>#NAME?</v>
      </c>
      <c r="P44" t="e">
        <f ca="1"/>
        <v>#NAME?</v>
      </c>
      <c r="Q44" t="e">
        <f ca="1"/>
        <v>#NAME?</v>
      </c>
      <c r="R44" t="e">
        <f ca="1"/>
        <v>#NAME?</v>
      </c>
      <c r="S44" t="e">
        <f ca="1"/>
        <v>#NAME?</v>
      </c>
      <c r="T44" t="e">
        <f ca="1"/>
        <v>#NAME?</v>
      </c>
      <c r="U44" t="e">
        <f ca="1"/>
        <v>#NAME?</v>
      </c>
      <c r="V44" s="5" t="e">
        <f ca="1"/>
        <v>#NAME?</v>
      </c>
      <c r="W44" t="e">
        <f ca="1"/>
        <v>#NAME?</v>
      </c>
      <c r="X44" t="e">
        <f ca="1"/>
        <v>#NAME?</v>
      </c>
      <c r="Y44" t="e">
        <f ca="1"/>
        <v>#NAME?</v>
      </c>
      <c r="Z44" t="e">
        <f ca="1"/>
        <v>#NAME?</v>
      </c>
      <c r="AA44" t="e">
        <f ca="1"/>
        <v>#NAME?</v>
      </c>
      <c r="AB44" t="e">
        <f ca="1"/>
        <v>#NAME?</v>
      </c>
    </row>
    <row r="45" spans="1:28" x14ac:dyDescent="0.2">
      <c r="A45" t="e">
        <f ca="1"/>
        <v>#NAME?</v>
      </c>
      <c r="B45" t="e">
        <f ca="1"/>
        <v>#NAME?</v>
      </c>
      <c r="C45" t="e">
        <f ca="1"/>
        <v>#NAME?</v>
      </c>
      <c r="D45" t="e">
        <f ca="1"/>
        <v>#NAME?</v>
      </c>
      <c r="E45" t="e">
        <f ca="1"/>
        <v>#NAME?</v>
      </c>
      <c r="F45" t="e">
        <f ca="1"/>
        <v>#NAME?</v>
      </c>
      <c r="G45" t="e">
        <f ca="1"/>
        <v>#NAME?</v>
      </c>
      <c r="H45" t="e">
        <f ca="1"/>
        <v>#NAME?</v>
      </c>
      <c r="I45" t="e">
        <f ca="1"/>
        <v>#NAME?</v>
      </c>
      <c r="J45" t="e">
        <f ca="1"/>
        <v>#NAME?</v>
      </c>
      <c r="K45" t="e">
        <f ca="1"/>
        <v>#NAME?</v>
      </c>
      <c r="L45" t="e">
        <f ca="1"/>
        <v>#NAME?</v>
      </c>
      <c r="M45" t="e">
        <f ca="1"/>
        <v>#NAME?</v>
      </c>
      <c r="N45" t="e">
        <f ca="1"/>
        <v>#NAME?</v>
      </c>
      <c r="O45" t="e">
        <f ca="1"/>
        <v>#NAME?</v>
      </c>
      <c r="P45" t="e">
        <f ca="1"/>
        <v>#NAME?</v>
      </c>
      <c r="Q45" t="e">
        <f ca="1"/>
        <v>#NAME?</v>
      </c>
      <c r="R45" t="e">
        <f ca="1"/>
        <v>#NAME?</v>
      </c>
      <c r="S45" t="e">
        <f ca="1"/>
        <v>#NAME?</v>
      </c>
      <c r="T45" t="e">
        <f ca="1"/>
        <v>#NAME?</v>
      </c>
      <c r="U45" t="e">
        <f ca="1"/>
        <v>#NAME?</v>
      </c>
      <c r="V45" s="5" t="e">
        <f ca="1"/>
        <v>#NAME?</v>
      </c>
      <c r="W45" t="e">
        <f ca="1"/>
        <v>#NAME?</v>
      </c>
      <c r="X45" t="e">
        <f ca="1"/>
        <v>#NAME?</v>
      </c>
      <c r="Y45" t="e">
        <f ca="1"/>
        <v>#NAME?</v>
      </c>
      <c r="Z45" t="e">
        <f ca="1"/>
        <v>#NAME?</v>
      </c>
      <c r="AA45" t="e">
        <f ca="1"/>
        <v>#NAME?</v>
      </c>
      <c r="AB45" t="e">
        <f ca="1"/>
        <v>#NAME?</v>
      </c>
    </row>
    <row r="46" spans="1:28" x14ac:dyDescent="0.2">
      <c r="A46" t="e">
        <f ca="1"/>
        <v>#NAME?</v>
      </c>
      <c r="B46" t="e">
        <f ca="1"/>
        <v>#NAME?</v>
      </c>
      <c r="C46" t="e">
        <f ca="1"/>
        <v>#NAME?</v>
      </c>
      <c r="D46" t="e">
        <f ca="1"/>
        <v>#NAME?</v>
      </c>
      <c r="E46" t="e">
        <f ca="1"/>
        <v>#NAME?</v>
      </c>
      <c r="F46" t="e">
        <f ca="1"/>
        <v>#NAME?</v>
      </c>
      <c r="G46" t="e">
        <f ca="1"/>
        <v>#NAME?</v>
      </c>
      <c r="H46" t="e">
        <f ca="1"/>
        <v>#NAME?</v>
      </c>
      <c r="I46" t="e">
        <f ca="1"/>
        <v>#NAME?</v>
      </c>
      <c r="J46" t="e">
        <f ca="1"/>
        <v>#NAME?</v>
      </c>
      <c r="K46" t="e">
        <f ca="1"/>
        <v>#NAME?</v>
      </c>
      <c r="L46" t="e">
        <f ca="1"/>
        <v>#NAME?</v>
      </c>
      <c r="M46" t="e">
        <f ca="1"/>
        <v>#NAME?</v>
      </c>
      <c r="N46" t="e">
        <f ca="1"/>
        <v>#NAME?</v>
      </c>
      <c r="O46" t="e">
        <f ca="1"/>
        <v>#NAME?</v>
      </c>
      <c r="P46" t="e">
        <f ca="1"/>
        <v>#NAME?</v>
      </c>
      <c r="Q46" t="e">
        <f ca="1"/>
        <v>#NAME?</v>
      </c>
      <c r="R46" t="e">
        <f ca="1"/>
        <v>#NAME?</v>
      </c>
      <c r="S46" t="e">
        <f ca="1"/>
        <v>#NAME?</v>
      </c>
      <c r="T46" t="e">
        <f ca="1"/>
        <v>#NAME?</v>
      </c>
      <c r="U46" t="e">
        <f ca="1"/>
        <v>#NAME?</v>
      </c>
      <c r="V46" s="5" t="e">
        <f ca="1"/>
        <v>#NAME?</v>
      </c>
      <c r="W46" t="e">
        <f ca="1"/>
        <v>#NAME?</v>
      </c>
      <c r="X46" t="e">
        <f ca="1"/>
        <v>#NAME?</v>
      </c>
      <c r="Y46" t="e">
        <f ca="1"/>
        <v>#NAME?</v>
      </c>
      <c r="Z46" t="e">
        <f ca="1"/>
        <v>#NAME?</v>
      </c>
      <c r="AA46" t="e">
        <f ca="1"/>
        <v>#NAME?</v>
      </c>
      <c r="AB46" t="e">
        <f ca="1"/>
        <v>#NAME?</v>
      </c>
    </row>
    <row r="47" spans="1:28" x14ac:dyDescent="0.2">
      <c r="A47" t="e">
        <f ca="1"/>
        <v>#NAME?</v>
      </c>
      <c r="B47" t="e">
        <f ca="1"/>
        <v>#NAME?</v>
      </c>
      <c r="C47" t="e">
        <f ca="1"/>
        <v>#NAME?</v>
      </c>
      <c r="D47" t="e">
        <f ca="1"/>
        <v>#NAME?</v>
      </c>
      <c r="E47" t="e">
        <f ca="1"/>
        <v>#NAME?</v>
      </c>
      <c r="F47" t="e">
        <f ca="1"/>
        <v>#NAME?</v>
      </c>
      <c r="G47" t="e">
        <f ca="1"/>
        <v>#NAME?</v>
      </c>
      <c r="H47" t="e">
        <f ca="1"/>
        <v>#NAME?</v>
      </c>
      <c r="I47" t="e">
        <f ca="1"/>
        <v>#NAME?</v>
      </c>
      <c r="J47" t="e">
        <f ca="1"/>
        <v>#NAME?</v>
      </c>
      <c r="K47" t="e">
        <f ca="1"/>
        <v>#NAME?</v>
      </c>
      <c r="L47" t="e">
        <f ca="1"/>
        <v>#NAME?</v>
      </c>
      <c r="M47" t="e">
        <f ca="1"/>
        <v>#NAME?</v>
      </c>
      <c r="N47" t="e">
        <f ca="1"/>
        <v>#NAME?</v>
      </c>
      <c r="O47" t="e">
        <f ca="1"/>
        <v>#NAME?</v>
      </c>
      <c r="P47" t="e">
        <f ca="1"/>
        <v>#NAME?</v>
      </c>
      <c r="Q47" t="e">
        <f ca="1"/>
        <v>#NAME?</v>
      </c>
      <c r="R47" t="e">
        <f ca="1"/>
        <v>#NAME?</v>
      </c>
      <c r="S47" t="e">
        <f ca="1"/>
        <v>#NAME?</v>
      </c>
      <c r="T47" t="e">
        <f ca="1"/>
        <v>#NAME?</v>
      </c>
      <c r="U47" t="e">
        <f ca="1"/>
        <v>#NAME?</v>
      </c>
      <c r="V47" s="5" t="e">
        <f ca="1"/>
        <v>#NAME?</v>
      </c>
      <c r="W47" t="e">
        <f ca="1"/>
        <v>#NAME?</v>
      </c>
      <c r="X47" t="e">
        <f ca="1"/>
        <v>#NAME?</v>
      </c>
      <c r="Y47" t="e">
        <f ca="1"/>
        <v>#NAME?</v>
      </c>
      <c r="Z47" t="e">
        <f ca="1"/>
        <v>#NAME?</v>
      </c>
      <c r="AA47" t="e">
        <f ca="1"/>
        <v>#NAME?</v>
      </c>
      <c r="AB47" t="e">
        <f ca="1"/>
        <v>#NAME?</v>
      </c>
    </row>
    <row r="48" spans="1:28" x14ac:dyDescent="0.2">
      <c r="A48" t="e">
        <f ca="1"/>
        <v>#NAME?</v>
      </c>
      <c r="B48" t="e">
        <f ca="1"/>
        <v>#NAME?</v>
      </c>
      <c r="C48" t="e">
        <f ca="1"/>
        <v>#NAME?</v>
      </c>
      <c r="D48" t="e">
        <f ca="1"/>
        <v>#NAME?</v>
      </c>
      <c r="E48" t="e">
        <f ca="1"/>
        <v>#NAME?</v>
      </c>
      <c r="F48" t="e">
        <f ca="1"/>
        <v>#NAME?</v>
      </c>
      <c r="G48" t="e">
        <f ca="1"/>
        <v>#NAME?</v>
      </c>
      <c r="H48" t="e">
        <f ca="1"/>
        <v>#NAME?</v>
      </c>
      <c r="I48" t="e">
        <f ca="1"/>
        <v>#NAME?</v>
      </c>
      <c r="J48" t="e">
        <f ca="1"/>
        <v>#NAME?</v>
      </c>
      <c r="K48" t="e">
        <f ca="1"/>
        <v>#NAME?</v>
      </c>
      <c r="L48" t="e">
        <f ca="1"/>
        <v>#NAME?</v>
      </c>
      <c r="M48" t="e">
        <f ca="1"/>
        <v>#NAME?</v>
      </c>
      <c r="N48" t="e">
        <f ca="1"/>
        <v>#NAME?</v>
      </c>
      <c r="O48" t="e">
        <f ca="1"/>
        <v>#NAME?</v>
      </c>
      <c r="P48" t="e">
        <f ca="1"/>
        <v>#NAME?</v>
      </c>
      <c r="Q48" t="e">
        <f ca="1"/>
        <v>#NAME?</v>
      </c>
      <c r="R48" t="e">
        <f ca="1"/>
        <v>#NAME?</v>
      </c>
      <c r="S48" t="e">
        <f ca="1"/>
        <v>#NAME?</v>
      </c>
      <c r="T48" t="e">
        <f ca="1"/>
        <v>#NAME?</v>
      </c>
      <c r="U48" t="e">
        <f ca="1"/>
        <v>#NAME?</v>
      </c>
      <c r="V48" s="5" t="e">
        <f ca="1"/>
        <v>#NAME?</v>
      </c>
      <c r="W48" t="e">
        <f ca="1"/>
        <v>#NAME?</v>
      </c>
      <c r="X48" t="e">
        <f ca="1"/>
        <v>#NAME?</v>
      </c>
      <c r="Y48" t="e">
        <f ca="1"/>
        <v>#NAME?</v>
      </c>
      <c r="Z48" t="e">
        <f ca="1"/>
        <v>#NAME?</v>
      </c>
      <c r="AA48" t="e">
        <f ca="1"/>
        <v>#NAME?</v>
      </c>
      <c r="AB48" t="e">
        <f ca="1"/>
        <v>#NAME?</v>
      </c>
    </row>
    <row r="49" spans="1:28" x14ac:dyDescent="0.2">
      <c r="A49" t="e">
        <f ca="1"/>
        <v>#NAME?</v>
      </c>
      <c r="B49" t="e">
        <f ca="1"/>
        <v>#NAME?</v>
      </c>
      <c r="C49" t="e">
        <f ca="1"/>
        <v>#NAME?</v>
      </c>
      <c r="D49" t="e">
        <f ca="1"/>
        <v>#NAME?</v>
      </c>
      <c r="E49" t="e">
        <f ca="1"/>
        <v>#NAME?</v>
      </c>
      <c r="F49" t="e">
        <f ca="1"/>
        <v>#NAME?</v>
      </c>
      <c r="G49" t="e">
        <f ca="1"/>
        <v>#NAME?</v>
      </c>
      <c r="H49" t="e">
        <f ca="1"/>
        <v>#NAME?</v>
      </c>
      <c r="I49" t="e">
        <f ca="1"/>
        <v>#NAME?</v>
      </c>
      <c r="J49" t="e">
        <f ca="1"/>
        <v>#NAME?</v>
      </c>
      <c r="K49" t="e">
        <f ca="1"/>
        <v>#NAME?</v>
      </c>
      <c r="L49" t="e">
        <f ca="1"/>
        <v>#NAME?</v>
      </c>
      <c r="M49" t="e">
        <f ca="1"/>
        <v>#NAME?</v>
      </c>
      <c r="N49" t="e">
        <f ca="1"/>
        <v>#NAME?</v>
      </c>
      <c r="O49" t="e">
        <f ca="1"/>
        <v>#NAME?</v>
      </c>
      <c r="P49" t="e">
        <f ca="1"/>
        <v>#NAME?</v>
      </c>
      <c r="Q49" t="e">
        <f ca="1"/>
        <v>#NAME?</v>
      </c>
      <c r="R49" t="e">
        <f ca="1"/>
        <v>#NAME?</v>
      </c>
      <c r="S49" t="e">
        <f ca="1"/>
        <v>#NAME?</v>
      </c>
      <c r="T49" t="e">
        <f ca="1"/>
        <v>#NAME?</v>
      </c>
      <c r="U49" t="e">
        <f ca="1"/>
        <v>#NAME?</v>
      </c>
      <c r="V49" s="5" t="e">
        <f ca="1"/>
        <v>#NAME?</v>
      </c>
      <c r="W49" t="e">
        <f ca="1"/>
        <v>#NAME?</v>
      </c>
      <c r="X49" t="e">
        <f ca="1"/>
        <v>#NAME?</v>
      </c>
      <c r="Y49" t="e">
        <f ca="1"/>
        <v>#NAME?</v>
      </c>
      <c r="Z49" t="e">
        <f ca="1"/>
        <v>#NAME?</v>
      </c>
      <c r="AA49" t="e">
        <f ca="1"/>
        <v>#NAME?</v>
      </c>
      <c r="AB49" t="e">
        <f ca="1"/>
        <v>#NAME?</v>
      </c>
    </row>
    <row r="50" spans="1:28" x14ac:dyDescent="0.2">
      <c r="A50" t="e">
        <f ca="1"/>
        <v>#NAME?</v>
      </c>
      <c r="B50" t="e">
        <f ca="1"/>
        <v>#NAME?</v>
      </c>
      <c r="C50" t="e">
        <f ca="1"/>
        <v>#NAME?</v>
      </c>
      <c r="D50" t="e">
        <f ca="1"/>
        <v>#NAME?</v>
      </c>
      <c r="E50" t="e">
        <f ca="1"/>
        <v>#NAME?</v>
      </c>
      <c r="F50" t="e">
        <f ca="1"/>
        <v>#NAME?</v>
      </c>
      <c r="G50" t="e">
        <f ca="1"/>
        <v>#NAME?</v>
      </c>
      <c r="H50" t="e">
        <f ca="1"/>
        <v>#NAME?</v>
      </c>
      <c r="I50" t="e">
        <f ca="1"/>
        <v>#NAME?</v>
      </c>
      <c r="J50" t="e">
        <f ca="1"/>
        <v>#NAME?</v>
      </c>
      <c r="K50" t="e">
        <f ca="1"/>
        <v>#NAME?</v>
      </c>
      <c r="L50" t="e">
        <f ca="1"/>
        <v>#NAME?</v>
      </c>
      <c r="M50" t="e">
        <f ca="1"/>
        <v>#NAME?</v>
      </c>
      <c r="N50" t="e">
        <f ca="1"/>
        <v>#NAME?</v>
      </c>
      <c r="O50" t="e">
        <f ca="1"/>
        <v>#NAME?</v>
      </c>
      <c r="P50" t="e">
        <f ca="1"/>
        <v>#NAME?</v>
      </c>
      <c r="Q50" t="e">
        <f ca="1"/>
        <v>#NAME?</v>
      </c>
      <c r="R50" t="e">
        <f ca="1"/>
        <v>#NAME?</v>
      </c>
      <c r="S50" t="e">
        <f ca="1"/>
        <v>#NAME?</v>
      </c>
      <c r="T50" t="e">
        <f ca="1"/>
        <v>#NAME?</v>
      </c>
      <c r="U50" t="e">
        <f ca="1"/>
        <v>#NAME?</v>
      </c>
      <c r="V50" s="5" t="e">
        <f ca="1"/>
        <v>#NAME?</v>
      </c>
      <c r="W50" t="e">
        <f ca="1"/>
        <v>#NAME?</v>
      </c>
      <c r="X50" t="e">
        <f ca="1"/>
        <v>#NAME?</v>
      </c>
      <c r="Y50" t="e">
        <f ca="1"/>
        <v>#NAME?</v>
      </c>
      <c r="Z50" t="e">
        <f ca="1"/>
        <v>#NAME?</v>
      </c>
      <c r="AA50" t="e">
        <f ca="1"/>
        <v>#NAME?</v>
      </c>
      <c r="AB50" t="e">
        <f ca="1"/>
        <v>#NAME?</v>
      </c>
    </row>
    <row r="51" spans="1:28" x14ac:dyDescent="0.2">
      <c r="A51" t="e">
        <f ca="1"/>
        <v>#NAME?</v>
      </c>
      <c r="B51" t="e">
        <f ca="1"/>
        <v>#NAME?</v>
      </c>
      <c r="C51" t="e">
        <f ca="1"/>
        <v>#NAME?</v>
      </c>
      <c r="D51" t="e">
        <f ca="1"/>
        <v>#NAME?</v>
      </c>
      <c r="E51" t="e">
        <f ca="1"/>
        <v>#NAME?</v>
      </c>
      <c r="F51" t="e">
        <f ca="1"/>
        <v>#NAME?</v>
      </c>
      <c r="G51" t="e">
        <f ca="1"/>
        <v>#NAME?</v>
      </c>
      <c r="H51" t="e">
        <f ca="1"/>
        <v>#NAME?</v>
      </c>
      <c r="I51" t="e">
        <f ca="1"/>
        <v>#NAME?</v>
      </c>
      <c r="J51" t="e">
        <f ca="1"/>
        <v>#NAME?</v>
      </c>
      <c r="K51" t="e">
        <f ca="1"/>
        <v>#NAME?</v>
      </c>
      <c r="L51" t="e">
        <f ca="1"/>
        <v>#NAME?</v>
      </c>
      <c r="M51" t="e">
        <f ca="1"/>
        <v>#NAME?</v>
      </c>
      <c r="N51" t="e">
        <f ca="1"/>
        <v>#NAME?</v>
      </c>
      <c r="O51" t="e">
        <f ca="1"/>
        <v>#NAME?</v>
      </c>
      <c r="P51" t="e">
        <f ca="1"/>
        <v>#NAME?</v>
      </c>
      <c r="Q51" t="e">
        <f ca="1"/>
        <v>#NAME?</v>
      </c>
      <c r="R51" t="e">
        <f ca="1"/>
        <v>#NAME?</v>
      </c>
      <c r="S51" t="e">
        <f ca="1"/>
        <v>#NAME?</v>
      </c>
      <c r="T51" t="e">
        <f ca="1"/>
        <v>#NAME?</v>
      </c>
      <c r="U51" t="e">
        <f ca="1"/>
        <v>#NAME?</v>
      </c>
      <c r="V51" s="5" t="e">
        <f ca="1"/>
        <v>#NAME?</v>
      </c>
      <c r="W51" t="e">
        <f ca="1"/>
        <v>#NAME?</v>
      </c>
      <c r="X51" t="e">
        <f ca="1"/>
        <v>#NAME?</v>
      </c>
      <c r="Y51" t="e">
        <f ca="1"/>
        <v>#NAME?</v>
      </c>
      <c r="Z51" t="e">
        <f ca="1"/>
        <v>#NAME?</v>
      </c>
      <c r="AA51" t="e">
        <f ca="1"/>
        <v>#NAME?</v>
      </c>
      <c r="AB51" t="e">
        <f ca="1"/>
        <v>#NAME?</v>
      </c>
    </row>
    <row r="52" spans="1:28" x14ac:dyDescent="0.2">
      <c r="A52" t="e">
        <f ca="1"/>
        <v>#NAME?</v>
      </c>
      <c r="B52" t="e">
        <f ca="1"/>
        <v>#NAME?</v>
      </c>
      <c r="C52" t="e">
        <f ca="1"/>
        <v>#NAME?</v>
      </c>
      <c r="D52" t="e">
        <f ca="1"/>
        <v>#NAME?</v>
      </c>
      <c r="E52" t="e">
        <f ca="1"/>
        <v>#NAME?</v>
      </c>
      <c r="F52" t="e">
        <f ca="1"/>
        <v>#NAME?</v>
      </c>
      <c r="G52" t="e">
        <f ca="1"/>
        <v>#NAME?</v>
      </c>
      <c r="H52" t="e">
        <f ca="1"/>
        <v>#NAME?</v>
      </c>
      <c r="I52" t="e">
        <f ca="1"/>
        <v>#NAME?</v>
      </c>
      <c r="J52" t="e">
        <f ca="1"/>
        <v>#NAME?</v>
      </c>
      <c r="K52" t="e">
        <f ca="1"/>
        <v>#NAME?</v>
      </c>
      <c r="L52" t="e">
        <f ca="1"/>
        <v>#NAME?</v>
      </c>
      <c r="M52" t="e">
        <f ca="1"/>
        <v>#NAME?</v>
      </c>
      <c r="N52" t="e">
        <f ca="1"/>
        <v>#NAME?</v>
      </c>
      <c r="O52" t="e">
        <f ca="1"/>
        <v>#NAME?</v>
      </c>
      <c r="P52" t="e">
        <f ca="1"/>
        <v>#NAME?</v>
      </c>
      <c r="Q52" t="e">
        <f ca="1"/>
        <v>#NAME?</v>
      </c>
      <c r="R52" t="e">
        <f ca="1"/>
        <v>#NAME?</v>
      </c>
      <c r="S52" t="e">
        <f ca="1"/>
        <v>#NAME?</v>
      </c>
      <c r="T52" t="e">
        <f ca="1"/>
        <v>#NAME?</v>
      </c>
      <c r="U52" t="e">
        <f ca="1"/>
        <v>#NAME?</v>
      </c>
      <c r="V52" s="5" t="e">
        <f ca="1"/>
        <v>#NAME?</v>
      </c>
      <c r="W52" t="e">
        <f ca="1"/>
        <v>#NAME?</v>
      </c>
      <c r="X52" t="e">
        <f ca="1"/>
        <v>#NAME?</v>
      </c>
      <c r="Y52" t="e">
        <f ca="1"/>
        <v>#NAME?</v>
      </c>
      <c r="Z52" t="e">
        <f ca="1"/>
        <v>#NAME?</v>
      </c>
      <c r="AA52" t="e">
        <f ca="1"/>
        <v>#NAME?</v>
      </c>
      <c r="AB52" t="e">
        <f ca="1"/>
        <v>#NAME?</v>
      </c>
    </row>
    <row r="53" spans="1:28" x14ac:dyDescent="0.2">
      <c r="A53" t="e">
        <f ca="1"/>
        <v>#NAME?</v>
      </c>
      <c r="B53" t="e">
        <f ca="1"/>
        <v>#NAME?</v>
      </c>
      <c r="C53" t="e">
        <f ca="1"/>
        <v>#NAME?</v>
      </c>
      <c r="D53" t="e">
        <f ca="1"/>
        <v>#NAME?</v>
      </c>
      <c r="E53" t="e">
        <f ca="1"/>
        <v>#NAME?</v>
      </c>
      <c r="F53" t="e">
        <f ca="1"/>
        <v>#NAME?</v>
      </c>
      <c r="G53" t="e">
        <f ca="1"/>
        <v>#NAME?</v>
      </c>
      <c r="H53" t="e">
        <f ca="1"/>
        <v>#NAME?</v>
      </c>
      <c r="I53" t="e">
        <f ca="1"/>
        <v>#NAME?</v>
      </c>
      <c r="J53" t="e">
        <f ca="1"/>
        <v>#NAME?</v>
      </c>
      <c r="K53" t="e">
        <f ca="1"/>
        <v>#NAME?</v>
      </c>
      <c r="L53" t="e">
        <f ca="1"/>
        <v>#NAME?</v>
      </c>
      <c r="M53" t="e">
        <f ca="1"/>
        <v>#NAME?</v>
      </c>
      <c r="N53" t="e">
        <f ca="1"/>
        <v>#NAME?</v>
      </c>
      <c r="O53" t="e">
        <f ca="1"/>
        <v>#NAME?</v>
      </c>
      <c r="P53" t="e">
        <f ca="1"/>
        <v>#NAME?</v>
      </c>
      <c r="Q53" t="e">
        <f ca="1"/>
        <v>#NAME?</v>
      </c>
      <c r="R53" t="e">
        <f ca="1"/>
        <v>#NAME?</v>
      </c>
      <c r="S53" t="e">
        <f ca="1"/>
        <v>#NAME?</v>
      </c>
      <c r="T53" t="e">
        <f ca="1"/>
        <v>#NAME?</v>
      </c>
      <c r="U53" t="e">
        <f ca="1"/>
        <v>#NAME?</v>
      </c>
      <c r="V53" s="5" t="e">
        <f ca="1"/>
        <v>#NAME?</v>
      </c>
      <c r="W53" t="e">
        <f ca="1"/>
        <v>#NAME?</v>
      </c>
      <c r="X53" t="e">
        <f ca="1"/>
        <v>#NAME?</v>
      </c>
      <c r="Y53" t="e">
        <f ca="1"/>
        <v>#NAME?</v>
      </c>
      <c r="Z53" t="e">
        <f ca="1"/>
        <v>#NAME?</v>
      </c>
      <c r="AA53" t="e">
        <f ca="1"/>
        <v>#NAME?</v>
      </c>
      <c r="AB53" t="e">
        <f ca="1"/>
        <v>#NAME?</v>
      </c>
    </row>
    <row r="54" spans="1:28" x14ac:dyDescent="0.2">
      <c r="A54" t="e">
        <f ca="1"/>
        <v>#NAME?</v>
      </c>
      <c r="B54" t="e">
        <f ca="1"/>
        <v>#NAME?</v>
      </c>
      <c r="C54" t="e">
        <f ca="1"/>
        <v>#NAME?</v>
      </c>
      <c r="D54" t="e">
        <f ca="1"/>
        <v>#NAME?</v>
      </c>
      <c r="E54" t="e">
        <f ca="1"/>
        <v>#NAME?</v>
      </c>
      <c r="F54" t="e">
        <f ca="1"/>
        <v>#NAME?</v>
      </c>
      <c r="G54" t="e">
        <f ca="1"/>
        <v>#NAME?</v>
      </c>
      <c r="H54" t="e">
        <f ca="1"/>
        <v>#NAME?</v>
      </c>
      <c r="I54" t="e">
        <f ca="1"/>
        <v>#NAME?</v>
      </c>
      <c r="J54" t="e">
        <f ca="1"/>
        <v>#NAME?</v>
      </c>
      <c r="K54" t="e">
        <f ca="1"/>
        <v>#NAME?</v>
      </c>
      <c r="L54" t="e">
        <f ca="1"/>
        <v>#NAME?</v>
      </c>
      <c r="M54" t="e">
        <f ca="1"/>
        <v>#NAME?</v>
      </c>
      <c r="N54" t="e">
        <f ca="1"/>
        <v>#NAME?</v>
      </c>
      <c r="O54" t="e">
        <f ca="1"/>
        <v>#NAME?</v>
      </c>
      <c r="P54" t="e">
        <f ca="1"/>
        <v>#NAME?</v>
      </c>
      <c r="Q54" t="e">
        <f ca="1"/>
        <v>#NAME?</v>
      </c>
      <c r="R54" t="e">
        <f ca="1"/>
        <v>#NAME?</v>
      </c>
      <c r="S54" t="e">
        <f ca="1"/>
        <v>#NAME?</v>
      </c>
      <c r="T54" t="e">
        <f ca="1"/>
        <v>#NAME?</v>
      </c>
      <c r="U54" t="e">
        <f ca="1"/>
        <v>#NAME?</v>
      </c>
      <c r="V54" s="5" t="e">
        <f ca="1"/>
        <v>#NAME?</v>
      </c>
      <c r="W54" t="e">
        <f ca="1"/>
        <v>#NAME?</v>
      </c>
      <c r="X54" t="e">
        <f ca="1"/>
        <v>#NAME?</v>
      </c>
      <c r="Y54" t="e">
        <f ca="1"/>
        <v>#NAME?</v>
      </c>
      <c r="Z54" t="e">
        <f ca="1"/>
        <v>#NAME?</v>
      </c>
      <c r="AA54" t="e">
        <f ca="1"/>
        <v>#NAME?</v>
      </c>
      <c r="AB54" t="e">
        <f ca="1"/>
        <v>#NAME?</v>
      </c>
    </row>
    <row r="55" spans="1:28" x14ac:dyDescent="0.2">
      <c r="A55" t="e">
        <f ca="1"/>
        <v>#NAME?</v>
      </c>
      <c r="B55" t="e">
        <f ca="1"/>
        <v>#NAME?</v>
      </c>
      <c r="C55" t="e">
        <f ca="1"/>
        <v>#NAME?</v>
      </c>
      <c r="D55" t="e">
        <f ca="1"/>
        <v>#NAME?</v>
      </c>
      <c r="E55" t="e">
        <f ca="1"/>
        <v>#NAME?</v>
      </c>
      <c r="F55" t="e">
        <f ca="1"/>
        <v>#NAME?</v>
      </c>
      <c r="G55" t="e">
        <f ca="1"/>
        <v>#NAME?</v>
      </c>
      <c r="H55" t="e">
        <f ca="1"/>
        <v>#NAME?</v>
      </c>
      <c r="I55" t="e">
        <f ca="1"/>
        <v>#NAME?</v>
      </c>
      <c r="J55" t="e">
        <f ca="1"/>
        <v>#NAME?</v>
      </c>
      <c r="K55" t="e">
        <f ca="1"/>
        <v>#NAME?</v>
      </c>
      <c r="L55" t="e">
        <f ca="1"/>
        <v>#NAME?</v>
      </c>
      <c r="M55" t="e">
        <f ca="1"/>
        <v>#NAME?</v>
      </c>
      <c r="N55" t="e">
        <f ca="1"/>
        <v>#NAME?</v>
      </c>
      <c r="O55" t="e">
        <f ca="1"/>
        <v>#NAME?</v>
      </c>
      <c r="P55" t="e">
        <f ca="1"/>
        <v>#NAME?</v>
      </c>
      <c r="Q55" t="e">
        <f ca="1"/>
        <v>#NAME?</v>
      </c>
      <c r="R55" t="e">
        <f ca="1"/>
        <v>#NAME?</v>
      </c>
      <c r="S55" t="e">
        <f ca="1"/>
        <v>#NAME?</v>
      </c>
      <c r="T55" t="e">
        <f ca="1"/>
        <v>#NAME?</v>
      </c>
      <c r="U55" t="e">
        <f ca="1"/>
        <v>#NAME?</v>
      </c>
      <c r="V55" s="5" t="e">
        <f ca="1"/>
        <v>#NAME?</v>
      </c>
      <c r="W55" t="e">
        <f ca="1"/>
        <v>#NAME?</v>
      </c>
      <c r="X55" t="e">
        <f ca="1"/>
        <v>#NAME?</v>
      </c>
      <c r="Y55" t="e">
        <f ca="1"/>
        <v>#NAME?</v>
      </c>
      <c r="Z55" t="e">
        <f ca="1"/>
        <v>#NAME?</v>
      </c>
      <c r="AA55" t="e">
        <f ca="1"/>
        <v>#NAME?</v>
      </c>
      <c r="AB55" t="e">
        <f ca="1"/>
        <v>#NAME?</v>
      </c>
    </row>
    <row r="56" spans="1:28" x14ac:dyDescent="0.2">
      <c r="A56" t="e">
        <f ca="1"/>
        <v>#NAME?</v>
      </c>
      <c r="B56" t="e">
        <f ca="1"/>
        <v>#NAME?</v>
      </c>
      <c r="C56" t="e">
        <f ca="1"/>
        <v>#NAME?</v>
      </c>
      <c r="D56" t="e">
        <f ca="1"/>
        <v>#NAME?</v>
      </c>
      <c r="E56" t="e">
        <f ca="1"/>
        <v>#NAME?</v>
      </c>
      <c r="F56" t="e">
        <f ca="1"/>
        <v>#NAME?</v>
      </c>
      <c r="G56" t="e">
        <f ca="1"/>
        <v>#NAME?</v>
      </c>
      <c r="H56" t="e">
        <f ca="1"/>
        <v>#NAME?</v>
      </c>
      <c r="I56" t="e">
        <f ca="1"/>
        <v>#NAME?</v>
      </c>
      <c r="J56" t="e">
        <f ca="1"/>
        <v>#NAME?</v>
      </c>
      <c r="K56" t="e">
        <f ca="1"/>
        <v>#NAME?</v>
      </c>
      <c r="L56" t="e">
        <f ca="1"/>
        <v>#NAME?</v>
      </c>
      <c r="M56" t="e">
        <f ca="1"/>
        <v>#NAME?</v>
      </c>
      <c r="N56" t="e">
        <f ca="1"/>
        <v>#NAME?</v>
      </c>
      <c r="O56" t="e">
        <f ca="1"/>
        <v>#NAME?</v>
      </c>
      <c r="P56" t="e">
        <f ca="1"/>
        <v>#NAME?</v>
      </c>
      <c r="Q56" t="e">
        <f ca="1"/>
        <v>#NAME?</v>
      </c>
      <c r="R56" t="e">
        <f ca="1"/>
        <v>#NAME?</v>
      </c>
      <c r="S56" t="e">
        <f ca="1"/>
        <v>#NAME?</v>
      </c>
      <c r="T56" t="e">
        <f ca="1"/>
        <v>#NAME?</v>
      </c>
      <c r="U56" t="e">
        <f ca="1"/>
        <v>#NAME?</v>
      </c>
      <c r="V56" s="5" t="e">
        <f ca="1"/>
        <v>#NAME?</v>
      </c>
      <c r="W56" t="e">
        <f ca="1"/>
        <v>#NAME?</v>
      </c>
      <c r="X56" t="e">
        <f ca="1"/>
        <v>#NAME?</v>
      </c>
      <c r="Y56" t="e">
        <f ca="1"/>
        <v>#NAME?</v>
      </c>
      <c r="Z56" t="e">
        <f ca="1"/>
        <v>#NAME?</v>
      </c>
      <c r="AA56" t="e">
        <f ca="1"/>
        <v>#NAME?</v>
      </c>
      <c r="AB56" t="e">
        <f ca="1"/>
        <v>#NAME?</v>
      </c>
    </row>
    <row r="57" spans="1:28" x14ac:dyDescent="0.2">
      <c r="A57" t="e">
        <f ca="1"/>
        <v>#NAME?</v>
      </c>
      <c r="B57" t="e">
        <f ca="1"/>
        <v>#NAME?</v>
      </c>
      <c r="C57" t="e">
        <f ca="1"/>
        <v>#NAME?</v>
      </c>
      <c r="D57" t="e">
        <f ca="1"/>
        <v>#NAME?</v>
      </c>
      <c r="E57" t="e">
        <f ca="1"/>
        <v>#NAME?</v>
      </c>
      <c r="F57" t="e">
        <f ca="1"/>
        <v>#NAME?</v>
      </c>
      <c r="G57" t="e">
        <f ca="1"/>
        <v>#NAME?</v>
      </c>
      <c r="H57" t="e">
        <f ca="1"/>
        <v>#NAME?</v>
      </c>
      <c r="I57" t="e">
        <f ca="1"/>
        <v>#NAME?</v>
      </c>
      <c r="J57" t="e">
        <f ca="1"/>
        <v>#NAME?</v>
      </c>
      <c r="K57" t="e">
        <f ca="1"/>
        <v>#NAME?</v>
      </c>
      <c r="L57" t="e">
        <f ca="1"/>
        <v>#NAME?</v>
      </c>
      <c r="M57" t="e">
        <f ca="1"/>
        <v>#NAME?</v>
      </c>
      <c r="N57" t="e">
        <f ca="1"/>
        <v>#NAME?</v>
      </c>
      <c r="O57" t="e">
        <f ca="1"/>
        <v>#NAME?</v>
      </c>
      <c r="P57" t="e">
        <f ca="1"/>
        <v>#NAME?</v>
      </c>
      <c r="Q57" t="e">
        <f ca="1"/>
        <v>#NAME?</v>
      </c>
      <c r="R57" t="e">
        <f ca="1"/>
        <v>#NAME?</v>
      </c>
      <c r="S57" t="e">
        <f ca="1"/>
        <v>#NAME?</v>
      </c>
      <c r="T57" t="e">
        <f ca="1"/>
        <v>#NAME?</v>
      </c>
      <c r="U57" t="e">
        <f ca="1"/>
        <v>#NAME?</v>
      </c>
      <c r="V57" s="5" t="e">
        <f ca="1"/>
        <v>#NAME?</v>
      </c>
      <c r="W57" t="e">
        <f ca="1"/>
        <v>#NAME?</v>
      </c>
      <c r="X57" t="e">
        <f ca="1"/>
        <v>#NAME?</v>
      </c>
      <c r="Y57" t="e">
        <f ca="1"/>
        <v>#NAME?</v>
      </c>
      <c r="Z57" t="e">
        <f ca="1"/>
        <v>#NAME?</v>
      </c>
      <c r="AA57" t="e">
        <f ca="1"/>
        <v>#NAME?</v>
      </c>
      <c r="AB57" t="e">
        <f ca="1"/>
        <v>#NAME?</v>
      </c>
    </row>
    <row r="58" spans="1:28" x14ac:dyDescent="0.2">
      <c r="A58" t="e">
        <f ca="1"/>
        <v>#NAME?</v>
      </c>
      <c r="B58" t="e">
        <f ca="1"/>
        <v>#NAME?</v>
      </c>
      <c r="C58" t="e">
        <f ca="1"/>
        <v>#NAME?</v>
      </c>
      <c r="D58" t="e">
        <f ca="1"/>
        <v>#NAME?</v>
      </c>
      <c r="E58" t="e">
        <f ca="1"/>
        <v>#NAME?</v>
      </c>
      <c r="F58" t="e">
        <f ca="1"/>
        <v>#NAME?</v>
      </c>
      <c r="G58" t="e">
        <f ca="1"/>
        <v>#NAME?</v>
      </c>
      <c r="H58" t="e">
        <f ca="1"/>
        <v>#NAME?</v>
      </c>
      <c r="I58" t="e">
        <f ca="1"/>
        <v>#NAME?</v>
      </c>
      <c r="J58" t="e">
        <f ca="1"/>
        <v>#NAME?</v>
      </c>
      <c r="K58" t="e">
        <f ca="1"/>
        <v>#NAME?</v>
      </c>
      <c r="L58" t="e">
        <f ca="1"/>
        <v>#NAME?</v>
      </c>
      <c r="M58" t="e">
        <f ca="1"/>
        <v>#NAME?</v>
      </c>
      <c r="N58" t="e">
        <f ca="1"/>
        <v>#NAME?</v>
      </c>
      <c r="O58" t="e">
        <f ca="1"/>
        <v>#NAME?</v>
      </c>
      <c r="P58" t="e">
        <f ca="1"/>
        <v>#NAME?</v>
      </c>
      <c r="Q58" t="e">
        <f ca="1"/>
        <v>#NAME?</v>
      </c>
      <c r="R58" t="e">
        <f ca="1"/>
        <v>#NAME?</v>
      </c>
      <c r="S58" t="e">
        <f ca="1"/>
        <v>#NAME?</v>
      </c>
      <c r="T58" t="e">
        <f ca="1"/>
        <v>#NAME?</v>
      </c>
      <c r="U58" t="e">
        <f ca="1"/>
        <v>#NAME?</v>
      </c>
      <c r="V58" s="5" t="e">
        <f ca="1"/>
        <v>#NAME?</v>
      </c>
      <c r="W58" t="e">
        <f ca="1"/>
        <v>#NAME?</v>
      </c>
      <c r="X58" t="e">
        <f ca="1"/>
        <v>#NAME?</v>
      </c>
      <c r="Y58" t="e">
        <f ca="1"/>
        <v>#NAME?</v>
      </c>
      <c r="Z58" t="e">
        <f ca="1"/>
        <v>#NAME?</v>
      </c>
      <c r="AA58" t="e">
        <f ca="1"/>
        <v>#NAME?</v>
      </c>
      <c r="AB58" t="e">
        <f ca="1"/>
        <v>#NAME?</v>
      </c>
    </row>
    <row r="59" spans="1:28" x14ac:dyDescent="0.2">
      <c r="A59" t="e">
        <f ca="1"/>
        <v>#NAME?</v>
      </c>
      <c r="B59" t="e">
        <f ca="1"/>
        <v>#NAME?</v>
      </c>
      <c r="C59" t="e">
        <f ca="1"/>
        <v>#NAME?</v>
      </c>
      <c r="D59" t="e">
        <f ca="1"/>
        <v>#NAME?</v>
      </c>
      <c r="E59" t="e">
        <f ca="1"/>
        <v>#NAME?</v>
      </c>
      <c r="F59" t="e">
        <f ca="1"/>
        <v>#NAME?</v>
      </c>
      <c r="G59" t="e">
        <f ca="1"/>
        <v>#NAME?</v>
      </c>
      <c r="H59" t="e">
        <f ca="1"/>
        <v>#NAME?</v>
      </c>
      <c r="I59" t="e">
        <f ca="1"/>
        <v>#NAME?</v>
      </c>
      <c r="J59" t="e">
        <f ca="1"/>
        <v>#NAME?</v>
      </c>
      <c r="K59" t="e">
        <f ca="1"/>
        <v>#NAME?</v>
      </c>
      <c r="L59" t="e">
        <f ca="1"/>
        <v>#NAME?</v>
      </c>
      <c r="M59" t="e">
        <f ca="1"/>
        <v>#NAME?</v>
      </c>
      <c r="N59" t="e">
        <f ca="1"/>
        <v>#NAME?</v>
      </c>
      <c r="O59" t="e">
        <f ca="1"/>
        <v>#NAME?</v>
      </c>
      <c r="P59" t="e">
        <f ca="1"/>
        <v>#NAME?</v>
      </c>
      <c r="Q59" t="e">
        <f ca="1"/>
        <v>#NAME?</v>
      </c>
      <c r="R59" t="e">
        <f ca="1"/>
        <v>#NAME?</v>
      </c>
      <c r="S59" t="e">
        <f ca="1"/>
        <v>#NAME?</v>
      </c>
      <c r="T59" t="e">
        <f ca="1"/>
        <v>#NAME?</v>
      </c>
      <c r="U59" t="e">
        <f ca="1"/>
        <v>#NAME?</v>
      </c>
      <c r="V59" s="5" t="e">
        <f ca="1"/>
        <v>#NAME?</v>
      </c>
      <c r="W59" t="e">
        <f ca="1"/>
        <v>#NAME?</v>
      </c>
      <c r="X59" t="e">
        <f ca="1"/>
        <v>#NAME?</v>
      </c>
      <c r="Y59" t="e">
        <f ca="1"/>
        <v>#NAME?</v>
      </c>
      <c r="Z59" t="e">
        <f ca="1"/>
        <v>#NAME?</v>
      </c>
      <c r="AA59" t="e">
        <f ca="1"/>
        <v>#NAME?</v>
      </c>
      <c r="AB59" t="e">
        <f ca="1"/>
        <v>#NAME?</v>
      </c>
    </row>
    <row r="60" spans="1:28" x14ac:dyDescent="0.2">
      <c r="A60" t="e">
        <f ca="1"/>
        <v>#NAME?</v>
      </c>
      <c r="B60" t="e">
        <f ca="1"/>
        <v>#NAME?</v>
      </c>
      <c r="C60" t="e">
        <f ca="1"/>
        <v>#NAME?</v>
      </c>
      <c r="D60" t="e">
        <f ca="1"/>
        <v>#NAME?</v>
      </c>
      <c r="E60" t="e">
        <f ca="1"/>
        <v>#NAME?</v>
      </c>
      <c r="F60" t="e">
        <f ca="1"/>
        <v>#NAME?</v>
      </c>
      <c r="G60" t="e">
        <f ca="1"/>
        <v>#NAME?</v>
      </c>
      <c r="H60" t="e">
        <f ca="1"/>
        <v>#NAME?</v>
      </c>
      <c r="I60" t="e">
        <f ca="1"/>
        <v>#NAME?</v>
      </c>
      <c r="J60" t="e">
        <f ca="1"/>
        <v>#NAME?</v>
      </c>
      <c r="K60" t="e">
        <f ca="1"/>
        <v>#NAME?</v>
      </c>
      <c r="L60" t="e">
        <f ca="1"/>
        <v>#NAME?</v>
      </c>
      <c r="M60" t="e">
        <f ca="1"/>
        <v>#NAME?</v>
      </c>
      <c r="N60" t="e">
        <f ca="1"/>
        <v>#NAME?</v>
      </c>
      <c r="O60" t="e">
        <f ca="1"/>
        <v>#NAME?</v>
      </c>
      <c r="P60" t="e">
        <f ca="1"/>
        <v>#NAME?</v>
      </c>
      <c r="Q60" t="e">
        <f ca="1"/>
        <v>#NAME?</v>
      </c>
      <c r="R60" t="e">
        <f ca="1"/>
        <v>#NAME?</v>
      </c>
      <c r="S60" t="e">
        <f ca="1"/>
        <v>#NAME?</v>
      </c>
      <c r="T60" t="e">
        <f ca="1"/>
        <v>#NAME?</v>
      </c>
      <c r="U60" t="e">
        <f ca="1"/>
        <v>#NAME?</v>
      </c>
      <c r="V60" s="5" t="e">
        <f ca="1"/>
        <v>#NAME?</v>
      </c>
      <c r="W60" t="e">
        <f ca="1"/>
        <v>#NAME?</v>
      </c>
      <c r="X60" t="e">
        <f ca="1"/>
        <v>#NAME?</v>
      </c>
      <c r="Y60" t="e">
        <f ca="1"/>
        <v>#NAME?</v>
      </c>
      <c r="Z60" t="e">
        <f ca="1"/>
        <v>#NAME?</v>
      </c>
      <c r="AA60" t="e">
        <f ca="1"/>
        <v>#NAME?</v>
      </c>
      <c r="AB60" t="e">
        <f ca="1"/>
        <v>#NAME?</v>
      </c>
    </row>
    <row r="61" spans="1:28" x14ac:dyDescent="0.2">
      <c r="A61" t="e">
        <f ca="1"/>
        <v>#NAME?</v>
      </c>
      <c r="B61" t="e">
        <f ca="1"/>
        <v>#NAME?</v>
      </c>
      <c r="C61" t="e">
        <f ca="1"/>
        <v>#NAME?</v>
      </c>
      <c r="D61" t="e">
        <f ca="1"/>
        <v>#NAME?</v>
      </c>
      <c r="E61" t="e">
        <f ca="1"/>
        <v>#NAME?</v>
      </c>
      <c r="F61" t="e">
        <f ca="1"/>
        <v>#NAME?</v>
      </c>
      <c r="G61" t="e">
        <f ca="1"/>
        <v>#NAME?</v>
      </c>
      <c r="H61" t="e">
        <f ca="1"/>
        <v>#NAME?</v>
      </c>
      <c r="I61" t="e">
        <f ca="1"/>
        <v>#NAME?</v>
      </c>
      <c r="J61" t="e">
        <f ca="1"/>
        <v>#NAME?</v>
      </c>
      <c r="K61" t="e">
        <f ca="1"/>
        <v>#NAME?</v>
      </c>
      <c r="L61" t="e">
        <f ca="1"/>
        <v>#NAME?</v>
      </c>
      <c r="M61" t="e">
        <f ca="1"/>
        <v>#NAME?</v>
      </c>
      <c r="N61" t="e">
        <f ca="1"/>
        <v>#NAME?</v>
      </c>
      <c r="O61" t="e">
        <f ca="1"/>
        <v>#NAME?</v>
      </c>
      <c r="P61" t="e">
        <f ca="1"/>
        <v>#NAME?</v>
      </c>
      <c r="Q61" t="e">
        <f ca="1"/>
        <v>#NAME?</v>
      </c>
      <c r="R61" t="e">
        <f ca="1"/>
        <v>#NAME?</v>
      </c>
      <c r="S61" t="e">
        <f ca="1"/>
        <v>#NAME?</v>
      </c>
      <c r="T61" t="e">
        <f ca="1"/>
        <v>#NAME?</v>
      </c>
      <c r="U61" t="e">
        <f ca="1"/>
        <v>#NAME?</v>
      </c>
      <c r="V61" s="5" t="e">
        <f ca="1"/>
        <v>#NAME?</v>
      </c>
      <c r="W61" t="e">
        <f ca="1"/>
        <v>#NAME?</v>
      </c>
      <c r="X61" t="e">
        <f ca="1"/>
        <v>#NAME?</v>
      </c>
      <c r="Y61" t="e">
        <f ca="1"/>
        <v>#NAME?</v>
      </c>
      <c r="Z61" t="e">
        <f ca="1"/>
        <v>#NAME?</v>
      </c>
      <c r="AA61" t="e">
        <f ca="1"/>
        <v>#NAME?</v>
      </c>
      <c r="AB61" t="e">
        <f ca="1"/>
        <v>#NAME?</v>
      </c>
    </row>
    <row r="62" spans="1:28" x14ac:dyDescent="0.2">
      <c r="A62" t="e">
        <f ca="1"/>
        <v>#NAME?</v>
      </c>
      <c r="B62" t="e">
        <f ca="1"/>
        <v>#NAME?</v>
      </c>
      <c r="C62" t="e">
        <f ca="1"/>
        <v>#NAME?</v>
      </c>
      <c r="D62" t="e">
        <f ca="1"/>
        <v>#NAME?</v>
      </c>
      <c r="E62" t="e">
        <f ca="1"/>
        <v>#NAME?</v>
      </c>
      <c r="F62" t="e">
        <f ca="1"/>
        <v>#NAME?</v>
      </c>
      <c r="G62" t="e">
        <f ca="1"/>
        <v>#NAME?</v>
      </c>
      <c r="H62" t="e">
        <f ca="1"/>
        <v>#NAME?</v>
      </c>
      <c r="I62" t="e">
        <f ca="1"/>
        <v>#NAME?</v>
      </c>
      <c r="J62" t="e">
        <f ca="1"/>
        <v>#NAME?</v>
      </c>
      <c r="K62" t="e">
        <f ca="1"/>
        <v>#NAME?</v>
      </c>
      <c r="L62" t="e">
        <f ca="1"/>
        <v>#NAME?</v>
      </c>
      <c r="M62" t="e">
        <f ca="1"/>
        <v>#NAME?</v>
      </c>
      <c r="N62" t="e">
        <f ca="1"/>
        <v>#NAME?</v>
      </c>
      <c r="O62" t="e">
        <f ca="1"/>
        <v>#NAME?</v>
      </c>
      <c r="P62" t="e">
        <f ca="1"/>
        <v>#NAME?</v>
      </c>
      <c r="Q62" t="e">
        <f ca="1"/>
        <v>#NAME?</v>
      </c>
      <c r="R62" t="e">
        <f ca="1"/>
        <v>#NAME?</v>
      </c>
      <c r="S62" t="e">
        <f ca="1"/>
        <v>#NAME?</v>
      </c>
      <c r="T62" t="e">
        <f ca="1"/>
        <v>#NAME?</v>
      </c>
      <c r="U62" t="e">
        <f ca="1"/>
        <v>#NAME?</v>
      </c>
      <c r="V62" s="5" t="e">
        <f ca="1"/>
        <v>#NAME?</v>
      </c>
      <c r="W62" t="e">
        <f ca="1"/>
        <v>#NAME?</v>
      </c>
      <c r="X62" t="e">
        <f ca="1"/>
        <v>#NAME?</v>
      </c>
      <c r="Y62" t="e">
        <f ca="1"/>
        <v>#NAME?</v>
      </c>
      <c r="Z62" t="e">
        <f ca="1"/>
        <v>#NAME?</v>
      </c>
      <c r="AA62" t="e">
        <f ca="1"/>
        <v>#NAME?</v>
      </c>
      <c r="AB62" t="e">
        <f ca="1"/>
        <v>#NAME?</v>
      </c>
    </row>
    <row r="63" spans="1:28" x14ac:dyDescent="0.2">
      <c r="A63" t="e">
        <f ca="1"/>
        <v>#NAME?</v>
      </c>
      <c r="B63" t="e">
        <f ca="1"/>
        <v>#NAME?</v>
      </c>
      <c r="C63" t="e">
        <f ca="1"/>
        <v>#NAME?</v>
      </c>
      <c r="D63" t="e">
        <f ca="1"/>
        <v>#NAME?</v>
      </c>
      <c r="E63" t="e">
        <f ca="1"/>
        <v>#NAME?</v>
      </c>
      <c r="F63" t="e">
        <f ca="1"/>
        <v>#NAME?</v>
      </c>
      <c r="G63" t="e">
        <f ca="1"/>
        <v>#NAME?</v>
      </c>
      <c r="H63" t="e">
        <f ca="1"/>
        <v>#NAME?</v>
      </c>
      <c r="I63" t="e">
        <f ca="1"/>
        <v>#NAME?</v>
      </c>
      <c r="J63" t="e">
        <f ca="1"/>
        <v>#NAME?</v>
      </c>
      <c r="K63" t="e">
        <f ca="1"/>
        <v>#NAME?</v>
      </c>
      <c r="L63" t="e">
        <f ca="1"/>
        <v>#NAME?</v>
      </c>
      <c r="M63" t="e">
        <f ca="1"/>
        <v>#NAME?</v>
      </c>
      <c r="N63" t="e">
        <f ca="1"/>
        <v>#NAME?</v>
      </c>
      <c r="O63" t="e">
        <f ca="1"/>
        <v>#NAME?</v>
      </c>
      <c r="P63" t="e">
        <f ca="1"/>
        <v>#NAME?</v>
      </c>
      <c r="Q63" t="e">
        <f ca="1"/>
        <v>#NAME?</v>
      </c>
      <c r="R63" t="e">
        <f ca="1"/>
        <v>#NAME?</v>
      </c>
      <c r="S63" t="e">
        <f ca="1"/>
        <v>#NAME?</v>
      </c>
      <c r="T63" t="e">
        <f ca="1"/>
        <v>#NAME?</v>
      </c>
      <c r="U63" t="e">
        <f ca="1"/>
        <v>#NAME?</v>
      </c>
      <c r="V63" s="5" t="e">
        <f ca="1"/>
        <v>#NAME?</v>
      </c>
      <c r="W63" t="e">
        <f ca="1"/>
        <v>#NAME?</v>
      </c>
      <c r="X63" t="e">
        <f ca="1"/>
        <v>#NAME?</v>
      </c>
      <c r="Y63" t="e">
        <f ca="1"/>
        <v>#NAME?</v>
      </c>
      <c r="Z63" t="e">
        <f ca="1"/>
        <v>#NAME?</v>
      </c>
      <c r="AA63" t="e">
        <f ca="1"/>
        <v>#NAME?</v>
      </c>
      <c r="AB63" t="e">
        <f ca="1"/>
        <v>#NAME?</v>
      </c>
    </row>
    <row r="64" spans="1:28" x14ac:dyDescent="0.2">
      <c r="A64" t="e">
        <f ca="1"/>
        <v>#NAME?</v>
      </c>
      <c r="B64" t="e">
        <f ca="1"/>
        <v>#NAME?</v>
      </c>
      <c r="C64" t="e">
        <f ca="1"/>
        <v>#NAME?</v>
      </c>
      <c r="D64" t="e">
        <f ca="1"/>
        <v>#NAME?</v>
      </c>
      <c r="E64" t="e">
        <f ca="1"/>
        <v>#NAME?</v>
      </c>
      <c r="F64" t="e">
        <f ca="1"/>
        <v>#NAME?</v>
      </c>
      <c r="G64" t="e">
        <f ca="1"/>
        <v>#NAME?</v>
      </c>
      <c r="H64" t="e">
        <f ca="1"/>
        <v>#NAME?</v>
      </c>
      <c r="I64" t="e">
        <f ca="1"/>
        <v>#NAME?</v>
      </c>
      <c r="J64" t="e">
        <f ca="1"/>
        <v>#NAME?</v>
      </c>
      <c r="K64" t="e">
        <f ca="1"/>
        <v>#NAME?</v>
      </c>
      <c r="L64" t="e">
        <f ca="1"/>
        <v>#NAME?</v>
      </c>
      <c r="M64" t="e">
        <f ca="1"/>
        <v>#NAME?</v>
      </c>
      <c r="N64" t="e">
        <f ca="1"/>
        <v>#NAME?</v>
      </c>
      <c r="O64" t="e">
        <f ca="1"/>
        <v>#NAME?</v>
      </c>
      <c r="P64" t="e">
        <f ca="1"/>
        <v>#NAME?</v>
      </c>
      <c r="Q64" t="e">
        <f ca="1"/>
        <v>#NAME?</v>
      </c>
      <c r="R64" t="e">
        <f ca="1"/>
        <v>#NAME?</v>
      </c>
      <c r="S64" t="e">
        <f ca="1"/>
        <v>#NAME?</v>
      </c>
      <c r="T64" t="e">
        <f ca="1"/>
        <v>#NAME?</v>
      </c>
      <c r="U64" t="e">
        <f ca="1"/>
        <v>#NAME?</v>
      </c>
      <c r="V64" s="5" t="e">
        <f ca="1"/>
        <v>#NAME?</v>
      </c>
      <c r="W64" t="e">
        <f ca="1"/>
        <v>#NAME?</v>
      </c>
      <c r="X64" t="e">
        <f ca="1"/>
        <v>#NAME?</v>
      </c>
      <c r="Y64" t="e">
        <f ca="1"/>
        <v>#NAME?</v>
      </c>
      <c r="Z64" t="e">
        <f ca="1"/>
        <v>#NAME?</v>
      </c>
      <c r="AA64" t="e">
        <f ca="1"/>
        <v>#NAME?</v>
      </c>
      <c r="AB64" t="e">
        <f ca="1"/>
        <v>#NAME?</v>
      </c>
    </row>
    <row r="65" spans="1:28" x14ac:dyDescent="0.2">
      <c r="A65" t="e">
        <f ca="1"/>
        <v>#NAME?</v>
      </c>
      <c r="B65" t="e">
        <f ca="1"/>
        <v>#NAME?</v>
      </c>
      <c r="C65" t="e">
        <f ca="1"/>
        <v>#NAME?</v>
      </c>
      <c r="D65" t="e">
        <f ca="1"/>
        <v>#NAME?</v>
      </c>
      <c r="E65" t="e">
        <f ca="1"/>
        <v>#NAME?</v>
      </c>
      <c r="F65" t="e">
        <f ca="1"/>
        <v>#NAME?</v>
      </c>
      <c r="G65" t="e">
        <f ca="1"/>
        <v>#NAME?</v>
      </c>
      <c r="H65" t="e">
        <f ca="1"/>
        <v>#NAME?</v>
      </c>
      <c r="I65" t="e">
        <f ca="1"/>
        <v>#NAME?</v>
      </c>
      <c r="J65" t="e">
        <f ca="1"/>
        <v>#NAME?</v>
      </c>
      <c r="K65" t="e">
        <f ca="1"/>
        <v>#NAME?</v>
      </c>
      <c r="L65" t="e">
        <f ca="1"/>
        <v>#NAME?</v>
      </c>
      <c r="M65" t="e">
        <f ca="1"/>
        <v>#NAME?</v>
      </c>
      <c r="N65" t="e">
        <f ca="1"/>
        <v>#NAME?</v>
      </c>
      <c r="O65" t="e">
        <f ca="1"/>
        <v>#NAME?</v>
      </c>
      <c r="P65" t="e">
        <f ca="1"/>
        <v>#NAME?</v>
      </c>
      <c r="Q65" t="e">
        <f ca="1"/>
        <v>#NAME?</v>
      </c>
      <c r="R65" t="e">
        <f ca="1"/>
        <v>#NAME?</v>
      </c>
      <c r="S65" t="e">
        <f ca="1"/>
        <v>#NAME?</v>
      </c>
      <c r="T65" t="e">
        <f ca="1"/>
        <v>#NAME?</v>
      </c>
      <c r="U65" t="e">
        <f ca="1"/>
        <v>#NAME?</v>
      </c>
      <c r="V65" s="5" t="e">
        <f ca="1"/>
        <v>#NAME?</v>
      </c>
      <c r="W65" t="e">
        <f ca="1"/>
        <v>#NAME?</v>
      </c>
      <c r="X65" t="e">
        <f ca="1"/>
        <v>#NAME?</v>
      </c>
      <c r="Y65" t="e">
        <f ca="1"/>
        <v>#NAME?</v>
      </c>
      <c r="Z65" t="e">
        <f ca="1"/>
        <v>#NAME?</v>
      </c>
      <c r="AA65" t="e">
        <f ca="1"/>
        <v>#NAME?</v>
      </c>
      <c r="AB65" t="e">
        <f ca="1"/>
        <v>#NAME?</v>
      </c>
    </row>
    <row r="66" spans="1:28" x14ac:dyDescent="0.2">
      <c r="A66" t="e">
        <f ca="1"/>
        <v>#NAME?</v>
      </c>
      <c r="B66" t="e">
        <f ca="1"/>
        <v>#NAME?</v>
      </c>
      <c r="C66" t="e">
        <f ca="1"/>
        <v>#NAME?</v>
      </c>
      <c r="D66" t="e">
        <f ca="1"/>
        <v>#NAME?</v>
      </c>
      <c r="E66" t="e">
        <f ca="1"/>
        <v>#NAME?</v>
      </c>
      <c r="F66" t="e">
        <f ca="1"/>
        <v>#NAME?</v>
      </c>
      <c r="G66" t="e">
        <f ca="1"/>
        <v>#NAME?</v>
      </c>
      <c r="H66" t="e">
        <f ca="1"/>
        <v>#NAME?</v>
      </c>
      <c r="I66" t="e">
        <f ca="1"/>
        <v>#NAME?</v>
      </c>
      <c r="J66" t="e">
        <f ca="1"/>
        <v>#NAME?</v>
      </c>
      <c r="K66" t="e">
        <f ca="1"/>
        <v>#NAME?</v>
      </c>
      <c r="L66" t="e">
        <f ca="1"/>
        <v>#NAME?</v>
      </c>
      <c r="M66" t="e">
        <f ca="1"/>
        <v>#NAME?</v>
      </c>
      <c r="N66" t="e">
        <f ca="1"/>
        <v>#NAME?</v>
      </c>
      <c r="O66" t="e">
        <f ca="1"/>
        <v>#NAME?</v>
      </c>
      <c r="P66" t="e">
        <f ca="1"/>
        <v>#NAME?</v>
      </c>
      <c r="Q66" t="e">
        <f ca="1"/>
        <v>#NAME?</v>
      </c>
      <c r="R66" t="e">
        <f ca="1"/>
        <v>#NAME?</v>
      </c>
      <c r="S66" t="e">
        <f ca="1"/>
        <v>#NAME?</v>
      </c>
      <c r="T66" t="e">
        <f ca="1"/>
        <v>#NAME?</v>
      </c>
      <c r="U66" t="e">
        <f ca="1"/>
        <v>#NAME?</v>
      </c>
      <c r="V66" s="5" t="e">
        <f ca="1"/>
        <v>#NAME?</v>
      </c>
      <c r="W66" t="e">
        <f ca="1"/>
        <v>#NAME?</v>
      </c>
      <c r="X66" t="e">
        <f ca="1"/>
        <v>#NAME?</v>
      </c>
      <c r="Y66" t="e">
        <f ca="1"/>
        <v>#NAME?</v>
      </c>
      <c r="Z66" t="e">
        <f ca="1"/>
        <v>#NAME?</v>
      </c>
      <c r="AA66" t="e">
        <f ca="1"/>
        <v>#NAME?</v>
      </c>
      <c r="AB66" t="e">
        <f ca="1"/>
        <v>#NAME?</v>
      </c>
    </row>
    <row r="67" spans="1:28" x14ac:dyDescent="0.2">
      <c r="A67" t="e">
        <f ca="1"/>
        <v>#NAME?</v>
      </c>
      <c r="B67" t="e">
        <f ca="1"/>
        <v>#NAME?</v>
      </c>
      <c r="C67" t="e">
        <f ca="1"/>
        <v>#NAME?</v>
      </c>
      <c r="D67" t="e">
        <f ca="1"/>
        <v>#NAME?</v>
      </c>
      <c r="E67" t="e">
        <f ca="1"/>
        <v>#NAME?</v>
      </c>
      <c r="F67" t="e">
        <f ca="1"/>
        <v>#NAME?</v>
      </c>
      <c r="G67" t="e">
        <f ca="1"/>
        <v>#NAME?</v>
      </c>
      <c r="H67" t="e">
        <f ca="1"/>
        <v>#NAME?</v>
      </c>
      <c r="I67" t="e">
        <f ca="1"/>
        <v>#NAME?</v>
      </c>
      <c r="J67" t="e">
        <f ca="1"/>
        <v>#NAME?</v>
      </c>
      <c r="K67" t="e">
        <f ca="1"/>
        <v>#NAME?</v>
      </c>
      <c r="L67" t="e">
        <f ca="1"/>
        <v>#NAME?</v>
      </c>
      <c r="M67" t="e">
        <f ca="1"/>
        <v>#NAME?</v>
      </c>
      <c r="N67" t="e">
        <f ca="1"/>
        <v>#NAME?</v>
      </c>
      <c r="O67" t="e">
        <f ca="1"/>
        <v>#NAME?</v>
      </c>
      <c r="P67" t="e">
        <f ca="1"/>
        <v>#NAME?</v>
      </c>
      <c r="Q67" t="e">
        <f ca="1"/>
        <v>#NAME?</v>
      </c>
      <c r="R67" t="e">
        <f ca="1"/>
        <v>#NAME?</v>
      </c>
      <c r="S67" t="e">
        <f ca="1"/>
        <v>#NAME?</v>
      </c>
      <c r="T67" t="e">
        <f ca="1"/>
        <v>#NAME?</v>
      </c>
      <c r="U67" t="e">
        <f ca="1"/>
        <v>#NAME?</v>
      </c>
      <c r="V67" s="5" t="e">
        <f ca="1"/>
        <v>#NAME?</v>
      </c>
      <c r="W67" t="e">
        <f ca="1"/>
        <v>#NAME?</v>
      </c>
      <c r="X67" t="e">
        <f ca="1"/>
        <v>#NAME?</v>
      </c>
      <c r="Y67" t="e">
        <f ca="1"/>
        <v>#NAME?</v>
      </c>
      <c r="Z67" t="e">
        <f ca="1"/>
        <v>#NAME?</v>
      </c>
      <c r="AA67" t="e">
        <f ca="1"/>
        <v>#NAME?</v>
      </c>
      <c r="AB67" t="e">
        <f ca="1"/>
        <v>#NAME?</v>
      </c>
    </row>
    <row r="68" spans="1:28" x14ac:dyDescent="0.2">
      <c r="A68" t="e">
        <f ca="1"/>
        <v>#NAME?</v>
      </c>
      <c r="B68" t="e">
        <f ca="1"/>
        <v>#NAME?</v>
      </c>
      <c r="C68" t="e">
        <f ca="1"/>
        <v>#NAME?</v>
      </c>
      <c r="D68" t="e">
        <f ca="1"/>
        <v>#NAME?</v>
      </c>
      <c r="E68" t="e">
        <f ca="1"/>
        <v>#NAME?</v>
      </c>
      <c r="F68" t="e">
        <f ca="1"/>
        <v>#NAME?</v>
      </c>
      <c r="G68" t="e">
        <f ca="1"/>
        <v>#NAME?</v>
      </c>
      <c r="H68" t="e">
        <f ca="1"/>
        <v>#NAME?</v>
      </c>
      <c r="I68" t="e">
        <f ca="1"/>
        <v>#NAME?</v>
      </c>
      <c r="J68" t="e">
        <f ca="1"/>
        <v>#NAME?</v>
      </c>
      <c r="K68" t="e">
        <f ca="1"/>
        <v>#NAME?</v>
      </c>
      <c r="L68" t="e">
        <f ca="1"/>
        <v>#NAME?</v>
      </c>
      <c r="M68" t="e">
        <f ca="1"/>
        <v>#NAME?</v>
      </c>
      <c r="N68" t="e">
        <f ca="1"/>
        <v>#NAME?</v>
      </c>
      <c r="O68" t="e">
        <f ca="1"/>
        <v>#NAME?</v>
      </c>
      <c r="P68" t="e">
        <f ca="1"/>
        <v>#NAME?</v>
      </c>
      <c r="Q68" t="e">
        <f ca="1"/>
        <v>#NAME?</v>
      </c>
      <c r="R68" t="e">
        <f ca="1"/>
        <v>#NAME?</v>
      </c>
      <c r="S68" t="e">
        <f ca="1"/>
        <v>#NAME?</v>
      </c>
      <c r="T68" t="e">
        <f ca="1"/>
        <v>#NAME?</v>
      </c>
      <c r="U68" t="e">
        <f ca="1"/>
        <v>#NAME?</v>
      </c>
      <c r="V68" s="5" t="e">
        <f ca="1"/>
        <v>#NAME?</v>
      </c>
      <c r="W68" t="e">
        <f ca="1"/>
        <v>#NAME?</v>
      </c>
      <c r="X68" t="e">
        <f ca="1"/>
        <v>#NAME?</v>
      </c>
      <c r="Y68" t="e">
        <f ca="1"/>
        <v>#NAME?</v>
      </c>
      <c r="Z68" t="e">
        <f ca="1"/>
        <v>#NAME?</v>
      </c>
      <c r="AA68" t="e">
        <f ca="1"/>
        <v>#NAME?</v>
      </c>
      <c r="AB68" t="e">
        <f ca="1"/>
        <v>#NAME?</v>
      </c>
    </row>
    <row r="69" spans="1:28" x14ac:dyDescent="0.2">
      <c r="A69" t="e">
        <f ca="1"/>
        <v>#NAME?</v>
      </c>
      <c r="B69" t="e">
        <f ca="1"/>
        <v>#NAME?</v>
      </c>
      <c r="C69" t="e">
        <f ca="1"/>
        <v>#NAME?</v>
      </c>
      <c r="D69" t="e">
        <f ca="1"/>
        <v>#NAME?</v>
      </c>
      <c r="E69" t="e">
        <f ca="1"/>
        <v>#NAME?</v>
      </c>
      <c r="F69" t="e">
        <f ca="1"/>
        <v>#NAME?</v>
      </c>
      <c r="G69" t="e">
        <f ca="1"/>
        <v>#NAME?</v>
      </c>
      <c r="H69" t="e">
        <f ca="1"/>
        <v>#NAME?</v>
      </c>
      <c r="I69" t="e">
        <f ca="1"/>
        <v>#NAME?</v>
      </c>
      <c r="J69" t="e">
        <f ca="1"/>
        <v>#NAME?</v>
      </c>
      <c r="K69" t="e">
        <f ca="1"/>
        <v>#NAME?</v>
      </c>
      <c r="L69" t="e">
        <f ca="1"/>
        <v>#NAME?</v>
      </c>
      <c r="M69" t="e">
        <f ca="1"/>
        <v>#NAME?</v>
      </c>
      <c r="N69" t="e">
        <f ca="1"/>
        <v>#NAME?</v>
      </c>
      <c r="O69" t="e">
        <f ca="1"/>
        <v>#NAME?</v>
      </c>
      <c r="P69" t="e">
        <f ca="1"/>
        <v>#NAME?</v>
      </c>
      <c r="Q69" t="e">
        <f ca="1"/>
        <v>#NAME?</v>
      </c>
      <c r="R69" t="e">
        <f ca="1"/>
        <v>#NAME?</v>
      </c>
      <c r="S69" t="e">
        <f ca="1"/>
        <v>#NAME?</v>
      </c>
      <c r="T69" t="e">
        <f ca="1"/>
        <v>#NAME?</v>
      </c>
      <c r="U69" t="e">
        <f ca="1"/>
        <v>#NAME?</v>
      </c>
      <c r="V69" s="5" t="e">
        <f ca="1"/>
        <v>#NAME?</v>
      </c>
      <c r="W69" t="e">
        <f ca="1"/>
        <v>#NAME?</v>
      </c>
      <c r="X69" t="e">
        <f ca="1"/>
        <v>#NAME?</v>
      </c>
      <c r="Y69" t="e">
        <f ca="1"/>
        <v>#NAME?</v>
      </c>
      <c r="Z69" t="e">
        <f ca="1"/>
        <v>#NAME?</v>
      </c>
      <c r="AA69" t="e">
        <f ca="1"/>
        <v>#NAME?</v>
      </c>
      <c r="AB69" t="e">
        <f ca="1"/>
        <v>#NAME?</v>
      </c>
    </row>
    <row r="70" spans="1:28" x14ac:dyDescent="0.2">
      <c r="A70" t="e">
        <f ca="1"/>
        <v>#NAME?</v>
      </c>
      <c r="B70" t="e">
        <f ca="1"/>
        <v>#NAME?</v>
      </c>
      <c r="C70" t="e">
        <f ca="1"/>
        <v>#NAME?</v>
      </c>
      <c r="D70" t="e">
        <f ca="1"/>
        <v>#NAME?</v>
      </c>
      <c r="E70" t="e">
        <f ca="1"/>
        <v>#NAME?</v>
      </c>
      <c r="F70" t="e">
        <f ca="1"/>
        <v>#NAME?</v>
      </c>
      <c r="G70" t="e">
        <f ca="1"/>
        <v>#NAME?</v>
      </c>
      <c r="H70" t="e">
        <f ca="1"/>
        <v>#NAME?</v>
      </c>
      <c r="I70" t="e">
        <f ca="1"/>
        <v>#NAME?</v>
      </c>
      <c r="J70" t="e">
        <f ca="1"/>
        <v>#NAME?</v>
      </c>
      <c r="K70" t="e">
        <f ca="1"/>
        <v>#NAME?</v>
      </c>
      <c r="L70" t="e">
        <f ca="1"/>
        <v>#NAME?</v>
      </c>
      <c r="M70" t="e">
        <f ca="1"/>
        <v>#NAME?</v>
      </c>
      <c r="N70" t="e">
        <f ca="1"/>
        <v>#NAME?</v>
      </c>
      <c r="O70" t="e">
        <f ca="1"/>
        <v>#NAME?</v>
      </c>
      <c r="P70" t="e">
        <f ca="1"/>
        <v>#NAME?</v>
      </c>
      <c r="Q70" t="e">
        <f ca="1"/>
        <v>#NAME?</v>
      </c>
      <c r="R70" t="e">
        <f ca="1"/>
        <v>#NAME?</v>
      </c>
      <c r="S70" t="e">
        <f ca="1"/>
        <v>#NAME?</v>
      </c>
      <c r="T70" t="e">
        <f ca="1"/>
        <v>#NAME?</v>
      </c>
      <c r="U70" t="e">
        <f ca="1"/>
        <v>#NAME?</v>
      </c>
      <c r="V70" s="5" t="e">
        <f ca="1"/>
        <v>#NAME?</v>
      </c>
      <c r="W70" t="e">
        <f ca="1"/>
        <v>#NAME?</v>
      </c>
      <c r="X70" t="e">
        <f ca="1"/>
        <v>#NAME?</v>
      </c>
      <c r="Y70" t="e">
        <f ca="1"/>
        <v>#NAME?</v>
      </c>
      <c r="Z70" t="e">
        <f ca="1"/>
        <v>#NAME?</v>
      </c>
      <c r="AA70" t="e">
        <f ca="1"/>
        <v>#NAME?</v>
      </c>
      <c r="AB70" t="e">
        <f ca="1"/>
        <v>#NAME?</v>
      </c>
    </row>
    <row r="71" spans="1:28" x14ac:dyDescent="0.2">
      <c r="A71" t="e">
        <f ca="1"/>
        <v>#NAME?</v>
      </c>
      <c r="B71" t="e">
        <f ca="1"/>
        <v>#NAME?</v>
      </c>
      <c r="C71" t="e">
        <f ca="1"/>
        <v>#NAME?</v>
      </c>
      <c r="D71" t="e">
        <f ca="1"/>
        <v>#NAME?</v>
      </c>
      <c r="E71" t="e">
        <f ca="1"/>
        <v>#NAME?</v>
      </c>
      <c r="F71" t="e">
        <f ca="1"/>
        <v>#NAME?</v>
      </c>
      <c r="G71" t="e">
        <f ca="1"/>
        <v>#NAME?</v>
      </c>
      <c r="H71" t="e">
        <f ca="1"/>
        <v>#NAME?</v>
      </c>
      <c r="I71" t="e">
        <f ca="1"/>
        <v>#NAME?</v>
      </c>
      <c r="J71" t="e">
        <f ca="1"/>
        <v>#NAME?</v>
      </c>
      <c r="K71" t="e">
        <f ca="1"/>
        <v>#NAME?</v>
      </c>
      <c r="L71" t="e">
        <f ca="1"/>
        <v>#NAME?</v>
      </c>
      <c r="M71" t="e">
        <f ca="1"/>
        <v>#NAME?</v>
      </c>
      <c r="N71" t="e">
        <f ca="1"/>
        <v>#NAME?</v>
      </c>
      <c r="O71" t="e">
        <f ca="1"/>
        <v>#NAME?</v>
      </c>
      <c r="P71" t="e">
        <f ca="1"/>
        <v>#NAME?</v>
      </c>
      <c r="Q71" t="e">
        <f ca="1"/>
        <v>#NAME?</v>
      </c>
      <c r="R71" t="e">
        <f ca="1"/>
        <v>#NAME?</v>
      </c>
      <c r="S71" t="e">
        <f ca="1"/>
        <v>#NAME?</v>
      </c>
      <c r="T71" t="e">
        <f ca="1"/>
        <v>#NAME?</v>
      </c>
      <c r="U71" t="e">
        <f ca="1"/>
        <v>#NAME?</v>
      </c>
      <c r="V71" s="5" t="e">
        <f ca="1"/>
        <v>#NAME?</v>
      </c>
      <c r="W71" t="e">
        <f ca="1"/>
        <v>#NAME?</v>
      </c>
      <c r="X71" t="e">
        <f ca="1"/>
        <v>#NAME?</v>
      </c>
      <c r="Y71" t="e">
        <f ca="1"/>
        <v>#NAME?</v>
      </c>
      <c r="Z71" t="e">
        <f ca="1"/>
        <v>#NAME?</v>
      </c>
      <c r="AA71" t="e">
        <f ca="1"/>
        <v>#NAME?</v>
      </c>
      <c r="AB71" t="e">
        <f ca="1"/>
        <v>#NAME?</v>
      </c>
    </row>
    <row r="72" spans="1:28" x14ac:dyDescent="0.2">
      <c r="A72" t="e">
        <f ca="1"/>
        <v>#NAME?</v>
      </c>
      <c r="B72" t="e">
        <f ca="1"/>
        <v>#NAME?</v>
      </c>
      <c r="C72" t="e">
        <f ca="1"/>
        <v>#NAME?</v>
      </c>
      <c r="D72" t="e">
        <f ca="1"/>
        <v>#NAME?</v>
      </c>
      <c r="E72" t="e">
        <f ca="1"/>
        <v>#NAME?</v>
      </c>
      <c r="F72" t="e">
        <f ca="1"/>
        <v>#NAME?</v>
      </c>
      <c r="G72" t="e">
        <f ca="1"/>
        <v>#NAME?</v>
      </c>
      <c r="H72" t="e">
        <f ca="1"/>
        <v>#NAME?</v>
      </c>
      <c r="I72" t="e">
        <f ca="1"/>
        <v>#NAME?</v>
      </c>
      <c r="J72" t="e">
        <f ca="1"/>
        <v>#NAME?</v>
      </c>
      <c r="K72" t="e">
        <f ca="1"/>
        <v>#NAME?</v>
      </c>
      <c r="L72" t="e">
        <f ca="1"/>
        <v>#NAME?</v>
      </c>
      <c r="M72" t="e">
        <f ca="1"/>
        <v>#NAME?</v>
      </c>
      <c r="N72" t="e">
        <f ca="1"/>
        <v>#NAME?</v>
      </c>
      <c r="O72" t="e">
        <f ca="1"/>
        <v>#NAME?</v>
      </c>
      <c r="P72" t="e">
        <f ca="1"/>
        <v>#NAME?</v>
      </c>
      <c r="Q72" t="e">
        <f ca="1"/>
        <v>#NAME?</v>
      </c>
      <c r="R72" t="e">
        <f ca="1"/>
        <v>#NAME?</v>
      </c>
      <c r="S72" t="e">
        <f ca="1"/>
        <v>#NAME?</v>
      </c>
      <c r="T72" t="e">
        <f ca="1"/>
        <v>#NAME?</v>
      </c>
      <c r="U72" t="e">
        <f ca="1"/>
        <v>#NAME?</v>
      </c>
      <c r="V72" s="5" t="e">
        <f ca="1"/>
        <v>#NAME?</v>
      </c>
      <c r="W72" t="e">
        <f ca="1"/>
        <v>#NAME?</v>
      </c>
      <c r="X72" t="e">
        <f ca="1"/>
        <v>#NAME?</v>
      </c>
      <c r="Y72" t="e">
        <f ca="1"/>
        <v>#NAME?</v>
      </c>
      <c r="Z72" t="e">
        <f ca="1"/>
        <v>#NAME?</v>
      </c>
      <c r="AA72" t="e">
        <f ca="1"/>
        <v>#NAME?</v>
      </c>
      <c r="AB72" t="e">
        <f ca="1"/>
        <v>#NAME?</v>
      </c>
    </row>
    <row r="73" spans="1:28" x14ac:dyDescent="0.2">
      <c r="A73" t="e">
        <f ca="1"/>
        <v>#NAME?</v>
      </c>
      <c r="B73" t="e">
        <f ca="1"/>
        <v>#NAME?</v>
      </c>
      <c r="C73" t="e">
        <f ca="1"/>
        <v>#NAME?</v>
      </c>
      <c r="D73" t="e">
        <f ca="1"/>
        <v>#NAME?</v>
      </c>
      <c r="E73" t="e">
        <f ca="1"/>
        <v>#NAME?</v>
      </c>
      <c r="F73" t="e">
        <f ca="1"/>
        <v>#NAME?</v>
      </c>
      <c r="G73" t="e">
        <f ca="1"/>
        <v>#NAME?</v>
      </c>
      <c r="H73" t="e">
        <f ca="1"/>
        <v>#NAME?</v>
      </c>
      <c r="I73" t="e">
        <f ca="1"/>
        <v>#NAME?</v>
      </c>
      <c r="J73" t="e">
        <f ca="1"/>
        <v>#NAME?</v>
      </c>
      <c r="K73" t="e">
        <f ca="1"/>
        <v>#NAME?</v>
      </c>
      <c r="L73" t="e">
        <f ca="1"/>
        <v>#NAME?</v>
      </c>
      <c r="M73" t="e">
        <f ca="1"/>
        <v>#NAME?</v>
      </c>
      <c r="N73" t="e">
        <f ca="1"/>
        <v>#NAME?</v>
      </c>
      <c r="O73" t="e">
        <f ca="1"/>
        <v>#NAME?</v>
      </c>
      <c r="P73" t="e">
        <f ca="1"/>
        <v>#NAME?</v>
      </c>
      <c r="Q73" t="e">
        <f ca="1"/>
        <v>#NAME?</v>
      </c>
      <c r="R73" t="e">
        <f ca="1"/>
        <v>#NAME?</v>
      </c>
      <c r="S73" t="e">
        <f ca="1"/>
        <v>#NAME?</v>
      </c>
      <c r="T73" t="e">
        <f ca="1"/>
        <v>#NAME?</v>
      </c>
      <c r="U73" t="e">
        <f ca="1"/>
        <v>#NAME?</v>
      </c>
      <c r="V73" s="5" t="e">
        <f ca="1"/>
        <v>#NAME?</v>
      </c>
      <c r="W73" t="e">
        <f ca="1"/>
        <v>#NAME?</v>
      </c>
      <c r="X73" t="e">
        <f ca="1"/>
        <v>#NAME?</v>
      </c>
      <c r="Y73" t="e">
        <f ca="1"/>
        <v>#NAME?</v>
      </c>
      <c r="Z73" t="e">
        <f ca="1"/>
        <v>#NAME?</v>
      </c>
      <c r="AA73" t="e">
        <f ca="1"/>
        <v>#NAME?</v>
      </c>
      <c r="AB73" t="e">
        <f ca="1"/>
        <v>#NAME?</v>
      </c>
    </row>
    <row r="74" spans="1:28" x14ac:dyDescent="0.2">
      <c r="A74" t="e">
        <f ca="1"/>
        <v>#NAME?</v>
      </c>
      <c r="B74" t="e">
        <f ca="1"/>
        <v>#NAME?</v>
      </c>
      <c r="C74" t="e">
        <f ca="1"/>
        <v>#NAME?</v>
      </c>
      <c r="D74" t="e">
        <f ca="1"/>
        <v>#NAME?</v>
      </c>
      <c r="E74" t="e">
        <f ca="1"/>
        <v>#NAME?</v>
      </c>
      <c r="F74" t="e">
        <f ca="1"/>
        <v>#NAME?</v>
      </c>
      <c r="G74" t="e">
        <f ca="1"/>
        <v>#NAME?</v>
      </c>
      <c r="H74" t="e">
        <f ca="1"/>
        <v>#NAME?</v>
      </c>
      <c r="I74" t="e">
        <f ca="1"/>
        <v>#NAME?</v>
      </c>
      <c r="J74" t="e">
        <f ca="1"/>
        <v>#NAME?</v>
      </c>
      <c r="K74" t="e">
        <f ca="1"/>
        <v>#NAME?</v>
      </c>
      <c r="L74" t="e">
        <f ca="1"/>
        <v>#NAME?</v>
      </c>
      <c r="M74" t="e">
        <f ca="1"/>
        <v>#NAME?</v>
      </c>
      <c r="N74" t="e">
        <f ca="1"/>
        <v>#NAME?</v>
      </c>
      <c r="O74" t="e">
        <f ca="1"/>
        <v>#NAME?</v>
      </c>
      <c r="P74" t="e">
        <f ca="1"/>
        <v>#NAME?</v>
      </c>
      <c r="Q74" t="e">
        <f ca="1"/>
        <v>#NAME?</v>
      </c>
      <c r="R74" t="e">
        <f ca="1"/>
        <v>#NAME?</v>
      </c>
      <c r="S74" t="e">
        <f ca="1"/>
        <v>#NAME?</v>
      </c>
      <c r="T74" t="e">
        <f ca="1"/>
        <v>#NAME?</v>
      </c>
      <c r="U74" t="e">
        <f ca="1"/>
        <v>#NAME?</v>
      </c>
      <c r="V74" s="5" t="e">
        <f ca="1"/>
        <v>#NAME?</v>
      </c>
      <c r="W74" t="e">
        <f ca="1"/>
        <v>#NAME?</v>
      </c>
      <c r="X74" t="e">
        <f ca="1"/>
        <v>#NAME?</v>
      </c>
      <c r="Y74" t="e">
        <f ca="1"/>
        <v>#NAME?</v>
      </c>
      <c r="Z74" t="e">
        <f ca="1"/>
        <v>#NAME?</v>
      </c>
      <c r="AA74" t="e">
        <f ca="1"/>
        <v>#NAME?</v>
      </c>
      <c r="AB74" t="e">
        <f ca="1"/>
        <v>#NAME?</v>
      </c>
    </row>
    <row r="75" spans="1:28" x14ac:dyDescent="0.2">
      <c r="A75" t="e">
        <f ca="1"/>
        <v>#NAME?</v>
      </c>
      <c r="B75" t="e">
        <f ca="1"/>
        <v>#NAME?</v>
      </c>
      <c r="C75" t="e">
        <f ca="1"/>
        <v>#NAME?</v>
      </c>
      <c r="D75" t="e">
        <f ca="1"/>
        <v>#NAME?</v>
      </c>
      <c r="E75" t="e">
        <f ca="1"/>
        <v>#NAME?</v>
      </c>
      <c r="F75" t="e">
        <f ca="1"/>
        <v>#NAME?</v>
      </c>
      <c r="G75" t="e">
        <f ca="1"/>
        <v>#NAME?</v>
      </c>
      <c r="H75" t="e">
        <f ca="1"/>
        <v>#NAME?</v>
      </c>
      <c r="I75" t="e">
        <f ca="1"/>
        <v>#NAME?</v>
      </c>
      <c r="J75" t="e">
        <f ca="1"/>
        <v>#NAME?</v>
      </c>
      <c r="K75" t="e">
        <f ca="1"/>
        <v>#NAME?</v>
      </c>
      <c r="L75" t="e">
        <f ca="1"/>
        <v>#NAME?</v>
      </c>
      <c r="M75" t="e">
        <f ca="1"/>
        <v>#NAME?</v>
      </c>
      <c r="N75" t="e">
        <f ca="1"/>
        <v>#NAME?</v>
      </c>
      <c r="O75" t="e">
        <f ca="1"/>
        <v>#NAME?</v>
      </c>
      <c r="P75" t="e">
        <f ca="1"/>
        <v>#NAME?</v>
      </c>
      <c r="Q75" t="e">
        <f ca="1"/>
        <v>#NAME?</v>
      </c>
      <c r="R75" t="e">
        <f ca="1"/>
        <v>#NAME?</v>
      </c>
      <c r="S75" t="e">
        <f ca="1"/>
        <v>#NAME?</v>
      </c>
      <c r="T75" t="e">
        <f ca="1"/>
        <v>#NAME?</v>
      </c>
      <c r="U75" t="e">
        <f ca="1"/>
        <v>#NAME?</v>
      </c>
      <c r="V75" s="5" t="e">
        <f ca="1"/>
        <v>#NAME?</v>
      </c>
      <c r="W75" t="e">
        <f ca="1"/>
        <v>#NAME?</v>
      </c>
      <c r="X75" t="e">
        <f ca="1"/>
        <v>#NAME?</v>
      </c>
      <c r="Y75" t="e">
        <f ca="1"/>
        <v>#NAME?</v>
      </c>
      <c r="Z75" t="e">
        <f ca="1"/>
        <v>#NAME?</v>
      </c>
      <c r="AA75" t="e">
        <f ca="1"/>
        <v>#NAME?</v>
      </c>
      <c r="AB75" t="e">
        <f ca="1"/>
        <v>#NAME?</v>
      </c>
    </row>
    <row r="76" spans="1:28" x14ac:dyDescent="0.2">
      <c r="A76" t="e">
        <f ca="1"/>
        <v>#NAME?</v>
      </c>
      <c r="B76" t="e">
        <f ca="1"/>
        <v>#NAME?</v>
      </c>
      <c r="C76" t="e">
        <f ca="1"/>
        <v>#NAME?</v>
      </c>
      <c r="D76" t="e">
        <f ca="1"/>
        <v>#NAME?</v>
      </c>
      <c r="E76" t="e">
        <f ca="1"/>
        <v>#NAME?</v>
      </c>
      <c r="F76" t="e">
        <f ca="1"/>
        <v>#NAME?</v>
      </c>
      <c r="G76" t="e">
        <f ca="1"/>
        <v>#NAME?</v>
      </c>
      <c r="H76" t="e">
        <f ca="1"/>
        <v>#NAME?</v>
      </c>
      <c r="I76" t="e">
        <f ca="1"/>
        <v>#NAME?</v>
      </c>
      <c r="J76" t="e">
        <f ca="1"/>
        <v>#NAME?</v>
      </c>
      <c r="K76" t="e">
        <f ca="1"/>
        <v>#NAME?</v>
      </c>
      <c r="L76" t="e">
        <f ca="1"/>
        <v>#NAME?</v>
      </c>
      <c r="M76" t="e">
        <f ca="1"/>
        <v>#NAME?</v>
      </c>
      <c r="N76" t="e">
        <f ca="1"/>
        <v>#NAME?</v>
      </c>
      <c r="O76" t="e">
        <f ca="1"/>
        <v>#NAME?</v>
      </c>
      <c r="P76" t="e">
        <f ca="1"/>
        <v>#NAME?</v>
      </c>
      <c r="Q76" t="e">
        <f ca="1"/>
        <v>#NAME?</v>
      </c>
      <c r="R76" t="e">
        <f ca="1"/>
        <v>#NAME?</v>
      </c>
      <c r="S76" t="e">
        <f ca="1"/>
        <v>#NAME?</v>
      </c>
      <c r="T76" t="e">
        <f ca="1"/>
        <v>#NAME?</v>
      </c>
      <c r="U76" t="e">
        <f ca="1"/>
        <v>#NAME?</v>
      </c>
      <c r="V76" s="5" t="e">
        <f ca="1"/>
        <v>#NAME?</v>
      </c>
      <c r="W76" t="e">
        <f ca="1"/>
        <v>#NAME?</v>
      </c>
      <c r="X76" t="e">
        <f ca="1"/>
        <v>#NAME?</v>
      </c>
      <c r="Y76" t="e">
        <f ca="1"/>
        <v>#NAME?</v>
      </c>
      <c r="Z76" t="e">
        <f ca="1"/>
        <v>#NAME?</v>
      </c>
      <c r="AA76" t="e">
        <f ca="1"/>
        <v>#NAME?</v>
      </c>
      <c r="AB76" t="e">
        <f ca="1"/>
        <v>#NAME?</v>
      </c>
    </row>
    <row r="77" spans="1:28" x14ac:dyDescent="0.2">
      <c r="A77" t="e">
        <f ca="1"/>
        <v>#NAME?</v>
      </c>
      <c r="B77" t="e">
        <f ca="1"/>
        <v>#NAME?</v>
      </c>
      <c r="C77" t="e">
        <f ca="1"/>
        <v>#NAME?</v>
      </c>
      <c r="D77" t="e">
        <f ca="1"/>
        <v>#NAME?</v>
      </c>
      <c r="E77" t="e">
        <f ca="1"/>
        <v>#NAME?</v>
      </c>
      <c r="F77" t="e">
        <f ca="1"/>
        <v>#NAME?</v>
      </c>
      <c r="G77" t="e">
        <f ca="1"/>
        <v>#NAME?</v>
      </c>
      <c r="H77" t="e">
        <f ca="1"/>
        <v>#NAME?</v>
      </c>
      <c r="I77" t="e">
        <f ca="1"/>
        <v>#NAME?</v>
      </c>
      <c r="J77" t="e">
        <f ca="1"/>
        <v>#NAME?</v>
      </c>
      <c r="K77" t="e">
        <f ca="1"/>
        <v>#NAME?</v>
      </c>
      <c r="L77" t="e">
        <f ca="1"/>
        <v>#NAME?</v>
      </c>
      <c r="M77" t="e">
        <f ca="1"/>
        <v>#NAME?</v>
      </c>
      <c r="N77" t="e">
        <f ca="1"/>
        <v>#NAME?</v>
      </c>
      <c r="O77" t="e">
        <f ca="1"/>
        <v>#NAME?</v>
      </c>
      <c r="P77" t="e">
        <f ca="1"/>
        <v>#NAME?</v>
      </c>
      <c r="Q77" t="e">
        <f ca="1"/>
        <v>#NAME?</v>
      </c>
      <c r="R77" t="e">
        <f ca="1"/>
        <v>#NAME?</v>
      </c>
      <c r="S77" t="e">
        <f ca="1"/>
        <v>#NAME?</v>
      </c>
      <c r="T77" t="e">
        <f ca="1"/>
        <v>#NAME?</v>
      </c>
      <c r="U77" t="e">
        <f ca="1"/>
        <v>#NAME?</v>
      </c>
      <c r="V77" s="5" t="e">
        <f ca="1"/>
        <v>#NAME?</v>
      </c>
      <c r="W77" t="e">
        <f ca="1"/>
        <v>#NAME?</v>
      </c>
      <c r="X77" t="e">
        <f ca="1"/>
        <v>#NAME?</v>
      </c>
      <c r="Y77" t="e">
        <f ca="1"/>
        <v>#NAME?</v>
      </c>
      <c r="Z77" t="e">
        <f ca="1"/>
        <v>#NAME?</v>
      </c>
      <c r="AA77" t="e">
        <f ca="1"/>
        <v>#NAME?</v>
      </c>
      <c r="AB77" t="e">
        <f ca="1"/>
        <v>#NAME?</v>
      </c>
    </row>
    <row r="78" spans="1:28" x14ac:dyDescent="0.2">
      <c r="A78" t="e">
        <f ca="1"/>
        <v>#NAME?</v>
      </c>
      <c r="B78" t="e">
        <f ca="1"/>
        <v>#NAME?</v>
      </c>
      <c r="C78" t="e">
        <f ca="1"/>
        <v>#NAME?</v>
      </c>
      <c r="D78" t="e">
        <f ca="1"/>
        <v>#NAME?</v>
      </c>
      <c r="E78" t="e">
        <f ca="1"/>
        <v>#NAME?</v>
      </c>
      <c r="F78" t="e">
        <f ca="1"/>
        <v>#NAME?</v>
      </c>
      <c r="G78" t="e">
        <f ca="1"/>
        <v>#NAME?</v>
      </c>
      <c r="H78" t="e">
        <f ca="1"/>
        <v>#NAME?</v>
      </c>
      <c r="I78" t="e">
        <f ca="1"/>
        <v>#NAME?</v>
      </c>
      <c r="J78" t="e">
        <f ca="1"/>
        <v>#NAME?</v>
      </c>
      <c r="K78" t="e">
        <f ca="1"/>
        <v>#NAME?</v>
      </c>
      <c r="L78" t="e">
        <f ca="1"/>
        <v>#NAME?</v>
      </c>
      <c r="M78" t="e">
        <f ca="1"/>
        <v>#NAME?</v>
      </c>
      <c r="N78" t="e">
        <f ca="1"/>
        <v>#NAME?</v>
      </c>
      <c r="O78" t="e">
        <f ca="1"/>
        <v>#NAME?</v>
      </c>
      <c r="P78" t="e">
        <f ca="1"/>
        <v>#NAME?</v>
      </c>
      <c r="Q78" t="e">
        <f ca="1"/>
        <v>#NAME?</v>
      </c>
      <c r="R78" t="e">
        <f ca="1"/>
        <v>#NAME?</v>
      </c>
      <c r="S78" t="e">
        <f ca="1"/>
        <v>#NAME?</v>
      </c>
      <c r="T78" t="e">
        <f ca="1"/>
        <v>#NAME?</v>
      </c>
      <c r="U78" t="e">
        <f ca="1"/>
        <v>#NAME?</v>
      </c>
      <c r="V78" s="5" t="e">
        <f ca="1"/>
        <v>#NAME?</v>
      </c>
      <c r="W78" t="e">
        <f ca="1"/>
        <v>#NAME?</v>
      </c>
      <c r="X78" t="e">
        <f ca="1"/>
        <v>#NAME?</v>
      </c>
      <c r="Y78" t="e">
        <f ca="1"/>
        <v>#NAME?</v>
      </c>
      <c r="Z78" t="e">
        <f ca="1"/>
        <v>#NAME?</v>
      </c>
      <c r="AA78" t="e">
        <f ca="1"/>
        <v>#NAME?</v>
      </c>
      <c r="AB78" t="e">
        <f ca="1"/>
        <v>#NAME?</v>
      </c>
    </row>
    <row r="79" spans="1:28" x14ac:dyDescent="0.2">
      <c r="A79" t="e">
        <f ca="1"/>
        <v>#NAME?</v>
      </c>
      <c r="B79" t="e">
        <f ca="1"/>
        <v>#NAME?</v>
      </c>
      <c r="C79" t="e">
        <f ca="1"/>
        <v>#NAME?</v>
      </c>
      <c r="D79" t="e">
        <f ca="1"/>
        <v>#NAME?</v>
      </c>
      <c r="E79" t="e">
        <f ca="1"/>
        <v>#NAME?</v>
      </c>
      <c r="F79" t="e">
        <f ca="1"/>
        <v>#NAME?</v>
      </c>
      <c r="G79" t="e">
        <f ca="1"/>
        <v>#NAME?</v>
      </c>
      <c r="H79" t="e">
        <f ca="1"/>
        <v>#NAME?</v>
      </c>
      <c r="I79" t="e">
        <f ca="1"/>
        <v>#NAME?</v>
      </c>
      <c r="J79" t="e">
        <f ca="1"/>
        <v>#NAME?</v>
      </c>
      <c r="K79" t="e">
        <f ca="1"/>
        <v>#NAME?</v>
      </c>
      <c r="L79" t="e">
        <f ca="1"/>
        <v>#NAME?</v>
      </c>
      <c r="M79" t="e">
        <f ca="1"/>
        <v>#NAME?</v>
      </c>
      <c r="N79" t="e">
        <f ca="1"/>
        <v>#NAME?</v>
      </c>
      <c r="O79" t="e">
        <f ca="1"/>
        <v>#NAME?</v>
      </c>
      <c r="P79" t="e">
        <f ca="1"/>
        <v>#NAME?</v>
      </c>
      <c r="Q79" t="e">
        <f ca="1"/>
        <v>#NAME?</v>
      </c>
      <c r="R79" t="e">
        <f ca="1"/>
        <v>#NAME?</v>
      </c>
      <c r="S79" t="e">
        <f ca="1"/>
        <v>#NAME?</v>
      </c>
      <c r="T79" t="e">
        <f ca="1"/>
        <v>#NAME?</v>
      </c>
      <c r="U79" t="e">
        <f ca="1"/>
        <v>#NAME?</v>
      </c>
      <c r="V79" s="5" t="e">
        <f ca="1"/>
        <v>#NAME?</v>
      </c>
      <c r="W79" t="e">
        <f ca="1"/>
        <v>#NAME?</v>
      </c>
      <c r="X79" t="e">
        <f ca="1"/>
        <v>#NAME?</v>
      </c>
      <c r="Y79" t="e">
        <f ca="1"/>
        <v>#NAME?</v>
      </c>
      <c r="Z79" t="e">
        <f ca="1"/>
        <v>#NAME?</v>
      </c>
      <c r="AA79" t="e">
        <f ca="1"/>
        <v>#NAME?</v>
      </c>
      <c r="AB79" t="e">
        <f ca="1"/>
        <v>#NAME?</v>
      </c>
    </row>
    <row r="80" spans="1:28" x14ac:dyDescent="0.2">
      <c r="A80" t="e">
        <f ca="1"/>
        <v>#NAME?</v>
      </c>
      <c r="B80" t="e">
        <f ca="1"/>
        <v>#NAME?</v>
      </c>
      <c r="C80" t="e">
        <f ca="1"/>
        <v>#NAME?</v>
      </c>
      <c r="D80" t="e">
        <f ca="1"/>
        <v>#NAME?</v>
      </c>
      <c r="E80" t="e">
        <f ca="1"/>
        <v>#NAME?</v>
      </c>
      <c r="F80" t="e">
        <f ca="1"/>
        <v>#NAME?</v>
      </c>
      <c r="G80" t="e">
        <f ca="1"/>
        <v>#NAME?</v>
      </c>
      <c r="H80" t="e">
        <f ca="1"/>
        <v>#NAME?</v>
      </c>
      <c r="I80" t="e">
        <f ca="1"/>
        <v>#NAME?</v>
      </c>
      <c r="J80" t="e">
        <f ca="1"/>
        <v>#NAME?</v>
      </c>
      <c r="K80" t="e">
        <f ca="1"/>
        <v>#NAME?</v>
      </c>
      <c r="L80" t="e">
        <f ca="1"/>
        <v>#NAME?</v>
      </c>
      <c r="M80" t="e">
        <f ca="1"/>
        <v>#NAME?</v>
      </c>
      <c r="N80" t="e">
        <f ca="1"/>
        <v>#NAME?</v>
      </c>
      <c r="O80" t="e">
        <f ca="1"/>
        <v>#NAME?</v>
      </c>
      <c r="P80" t="e">
        <f ca="1"/>
        <v>#NAME?</v>
      </c>
      <c r="Q80" t="e">
        <f ca="1"/>
        <v>#NAME?</v>
      </c>
      <c r="R80" t="e">
        <f ca="1"/>
        <v>#NAME?</v>
      </c>
      <c r="S80" t="e">
        <f ca="1"/>
        <v>#NAME?</v>
      </c>
      <c r="T80" t="e">
        <f ca="1"/>
        <v>#NAME?</v>
      </c>
      <c r="U80" t="e">
        <f ca="1"/>
        <v>#NAME?</v>
      </c>
      <c r="V80" s="5" t="e">
        <f ca="1"/>
        <v>#NAME?</v>
      </c>
      <c r="W80" t="e">
        <f ca="1"/>
        <v>#NAME?</v>
      </c>
      <c r="X80" t="e">
        <f ca="1"/>
        <v>#NAME?</v>
      </c>
      <c r="Y80" t="e">
        <f ca="1"/>
        <v>#NAME?</v>
      </c>
      <c r="Z80" t="e">
        <f ca="1"/>
        <v>#NAME?</v>
      </c>
      <c r="AA80" t="e">
        <f ca="1"/>
        <v>#NAME?</v>
      </c>
      <c r="AB80" t="e">
        <f ca="1"/>
        <v>#NAME?</v>
      </c>
    </row>
    <row r="81" spans="1:28" x14ac:dyDescent="0.2">
      <c r="A81" t="e">
        <f ca="1"/>
        <v>#NAME?</v>
      </c>
      <c r="B81" t="e">
        <f ca="1"/>
        <v>#NAME?</v>
      </c>
      <c r="C81" t="e">
        <f ca="1"/>
        <v>#NAME?</v>
      </c>
      <c r="D81" t="e">
        <f ca="1"/>
        <v>#NAME?</v>
      </c>
      <c r="E81" t="e">
        <f ca="1"/>
        <v>#NAME?</v>
      </c>
      <c r="F81" t="e">
        <f ca="1"/>
        <v>#NAME?</v>
      </c>
      <c r="G81" t="e">
        <f ca="1"/>
        <v>#NAME?</v>
      </c>
      <c r="H81" t="e">
        <f ca="1"/>
        <v>#NAME?</v>
      </c>
      <c r="I81" t="e">
        <f ca="1"/>
        <v>#NAME?</v>
      </c>
      <c r="J81" t="e">
        <f ca="1"/>
        <v>#NAME?</v>
      </c>
      <c r="K81" t="e">
        <f ca="1"/>
        <v>#NAME?</v>
      </c>
      <c r="L81" t="e">
        <f ca="1"/>
        <v>#NAME?</v>
      </c>
      <c r="M81" t="e">
        <f ca="1"/>
        <v>#NAME?</v>
      </c>
      <c r="N81" t="e">
        <f ca="1"/>
        <v>#NAME?</v>
      </c>
      <c r="O81" t="e">
        <f ca="1"/>
        <v>#NAME?</v>
      </c>
      <c r="P81" t="e">
        <f ca="1"/>
        <v>#NAME?</v>
      </c>
      <c r="Q81" t="e">
        <f ca="1"/>
        <v>#NAME?</v>
      </c>
      <c r="R81" t="e">
        <f ca="1"/>
        <v>#NAME?</v>
      </c>
      <c r="S81" t="e">
        <f ca="1"/>
        <v>#NAME?</v>
      </c>
      <c r="T81" t="e">
        <f ca="1"/>
        <v>#NAME?</v>
      </c>
      <c r="U81" t="e">
        <f ca="1"/>
        <v>#NAME?</v>
      </c>
      <c r="V81" s="5" t="e">
        <f ca="1"/>
        <v>#NAME?</v>
      </c>
      <c r="W81" t="e">
        <f ca="1"/>
        <v>#NAME?</v>
      </c>
      <c r="X81" t="e">
        <f ca="1"/>
        <v>#NAME?</v>
      </c>
      <c r="Y81" t="e">
        <f ca="1"/>
        <v>#NAME?</v>
      </c>
      <c r="Z81" t="e">
        <f ca="1"/>
        <v>#NAME?</v>
      </c>
      <c r="AA81" t="e">
        <f ca="1"/>
        <v>#NAME?</v>
      </c>
      <c r="AB81" t="e">
        <f ca="1"/>
        <v>#NAME?</v>
      </c>
    </row>
    <row r="82" spans="1:28" x14ac:dyDescent="0.2">
      <c r="A82" t="e">
        <f ca="1"/>
        <v>#NAME?</v>
      </c>
      <c r="B82" t="e">
        <f ca="1"/>
        <v>#NAME?</v>
      </c>
      <c r="C82" t="e">
        <f ca="1"/>
        <v>#NAME?</v>
      </c>
      <c r="D82" t="e">
        <f ca="1"/>
        <v>#NAME?</v>
      </c>
      <c r="E82" t="e">
        <f ca="1"/>
        <v>#NAME?</v>
      </c>
      <c r="F82" t="e">
        <f ca="1"/>
        <v>#NAME?</v>
      </c>
      <c r="G82" t="e">
        <f ca="1"/>
        <v>#NAME?</v>
      </c>
      <c r="H82" t="e">
        <f ca="1"/>
        <v>#NAME?</v>
      </c>
      <c r="I82" t="e">
        <f ca="1"/>
        <v>#NAME?</v>
      </c>
      <c r="J82" t="e">
        <f ca="1"/>
        <v>#NAME?</v>
      </c>
      <c r="K82" t="e">
        <f ca="1"/>
        <v>#NAME?</v>
      </c>
      <c r="L82" t="e">
        <f ca="1"/>
        <v>#NAME?</v>
      </c>
      <c r="M82" t="e">
        <f ca="1"/>
        <v>#NAME?</v>
      </c>
      <c r="N82" t="e">
        <f ca="1"/>
        <v>#NAME?</v>
      </c>
      <c r="O82" t="e">
        <f ca="1"/>
        <v>#NAME?</v>
      </c>
      <c r="P82" t="e">
        <f ca="1"/>
        <v>#NAME?</v>
      </c>
      <c r="Q82" t="e">
        <f ca="1"/>
        <v>#NAME?</v>
      </c>
      <c r="R82" t="e">
        <f ca="1"/>
        <v>#NAME?</v>
      </c>
      <c r="S82" t="e">
        <f ca="1"/>
        <v>#NAME?</v>
      </c>
      <c r="T82" t="e">
        <f ca="1"/>
        <v>#NAME?</v>
      </c>
      <c r="U82" t="e">
        <f ca="1"/>
        <v>#NAME?</v>
      </c>
      <c r="V82" s="5" t="e">
        <f ca="1"/>
        <v>#NAME?</v>
      </c>
      <c r="W82" t="e">
        <f ca="1"/>
        <v>#NAME?</v>
      </c>
      <c r="X82" t="e">
        <f ca="1"/>
        <v>#NAME?</v>
      </c>
      <c r="Y82" t="e">
        <f ca="1"/>
        <v>#NAME?</v>
      </c>
      <c r="Z82" t="e">
        <f ca="1"/>
        <v>#NAME?</v>
      </c>
      <c r="AA82" t="e">
        <f ca="1"/>
        <v>#NAME?</v>
      </c>
      <c r="AB82" t="e">
        <f ca="1"/>
        <v>#NAME?</v>
      </c>
    </row>
    <row r="83" spans="1:28" x14ac:dyDescent="0.2">
      <c r="A83" t="e">
        <f ca="1"/>
        <v>#NAME?</v>
      </c>
      <c r="B83" t="e">
        <f ca="1"/>
        <v>#NAME?</v>
      </c>
      <c r="C83" t="e">
        <f ca="1"/>
        <v>#NAME?</v>
      </c>
      <c r="D83" t="e">
        <f ca="1"/>
        <v>#NAME?</v>
      </c>
      <c r="E83" t="e">
        <f ca="1"/>
        <v>#NAME?</v>
      </c>
      <c r="F83" t="e">
        <f ca="1"/>
        <v>#NAME?</v>
      </c>
      <c r="G83" t="e">
        <f ca="1"/>
        <v>#NAME?</v>
      </c>
      <c r="H83" t="e">
        <f ca="1"/>
        <v>#NAME?</v>
      </c>
      <c r="I83" t="e">
        <f ca="1"/>
        <v>#NAME?</v>
      </c>
      <c r="J83" t="e">
        <f ca="1"/>
        <v>#NAME?</v>
      </c>
      <c r="K83" t="e">
        <f ca="1"/>
        <v>#NAME?</v>
      </c>
      <c r="L83" t="e">
        <f ca="1"/>
        <v>#NAME?</v>
      </c>
      <c r="M83" t="e">
        <f ca="1"/>
        <v>#NAME?</v>
      </c>
      <c r="N83" t="e">
        <f ca="1"/>
        <v>#NAME?</v>
      </c>
      <c r="O83" t="e">
        <f ca="1"/>
        <v>#NAME?</v>
      </c>
      <c r="P83" t="e">
        <f ca="1"/>
        <v>#NAME?</v>
      </c>
      <c r="Q83" t="e">
        <f ca="1"/>
        <v>#NAME?</v>
      </c>
      <c r="R83" t="e">
        <f ca="1"/>
        <v>#NAME?</v>
      </c>
      <c r="S83" t="e">
        <f ca="1"/>
        <v>#NAME?</v>
      </c>
      <c r="T83" t="e">
        <f ca="1"/>
        <v>#NAME?</v>
      </c>
      <c r="U83" t="e">
        <f ca="1"/>
        <v>#NAME?</v>
      </c>
      <c r="V83" s="5" t="e">
        <f ca="1"/>
        <v>#NAME?</v>
      </c>
      <c r="W83" t="e">
        <f ca="1"/>
        <v>#NAME?</v>
      </c>
      <c r="X83" t="e">
        <f ca="1"/>
        <v>#NAME?</v>
      </c>
      <c r="Y83" t="e">
        <f ca="1"/>
        <v>#NAME?</v>
      </c>
      <c r="Z83" t="e">
        <f ca="1"/>
        <v>#NAME?</v>
      </c>
      <c r="AA83" t="e">
        <f ca="1"/>
        <v>#NAME?</v>
      </c>
      <c r="AB83" t="e">
        <f ca="1"/>
        <v>#NAME?</v>
      </c>
    </row>
    <row r="84" spans="1:28" x14ac:dyDescent="0.2">
      <c r="A84" t="e">
        <f ca="1"/>
        <v>#NAME?</v>
      </c>
      <c r="B84" t="e">
        <f ca="1"/>
        <v>#NAME?</v>
      </c>
      <c r="C84" t="e">
        <f ca="1"/>
        <v>#NAME?</v>
      </c>
      <c r="D84" t="e">
        <f ca="1"/>
        <v>#NAME?</v>
      </c>
      <c r="E84" t="e">
        <f ca="1"/>
        <v>#NAME?</v>
      </c>
      <c r="F84" t="e">
        <f ca="1"/>
        <v>#NAME?</v>
      </c>
      <c r="G84" t="e">
        <f ca="1"/>
        <v>#NAME?</v>
      </c>
      <c r="H84" t="e">
        <f ca="1"/>
        <v>#NAME?</v>
      </c>
      <c r="I84" t="e">
        <f ca="1"/>
        <v>#NAME?</v>
      </c>
      <c r="J84" t="e">
        <f ca="1"/>
        <v>#NAME?</v>
      </c>
      <c r="K84" t="e">
        <f ca="1"/>
        <v>#NAME?</v>
      </c>
      <c r="L84" t="e">
        <f ca="1"/>
        <v>#NAME?</v>
      </c>
      <c r="M84" t="e">
        <f ca="1"/>
        <v>#NAME?</v>
      </c>
      <c r="N84" t="e">
        <f ca="1"/>
        <v>#NAME?</v>
      </c>
      <c r="O84" t="e">
        <f ca="1"/>
        <v>#NAME?</v>
      </c>
      <c r="P84" t="e">
        <f ca="1"/>
        <v>#NAME?</v>
      </c>
      <c r="Q84" t="e">
        <f ca="1"/>
        <v>#NAME?</v>
      </c>
      <c r="R84" t="e">
        <f ca="1"/>
        <v>#NAME?</v>
      </c>
      <c r="S84" t="e">
        <f ca="1"/>
        <v>#NAME?</v>
      </c>
      <c r="T84" t="e">
        <f ca="1"/>
        <v>#NAME?</v>
      </c>
      <c r="U84" t="e">
        <f ca="1"/>
        <v>#NAME?</v>
      </c>
      <c r="V84" s="5" t="e">
        <f ca="1"/>
        <v>#NAME?</v>
      </c>
      <c r="W84" t="e">
        <f ca="1"/>
        <v>#NAME?</v>
      </c>
      <c r="X84" t="e">
        <f ca="1"/>
        <v>#NAME?</v>
      </c>
      <c r="Y84" t="e">
        <f ca="1"/>
        <v>#NAME?</v>
      </c>
      <c r="Z84" t="e">
        <f ca="1"/>
        <v>#NAME?</v>
      </c>
      <c r="AA84" t="e">
        <f ca="1"/>
        <v>#NAME?</v>
      </c>
      <c r="AB84" t="e">
        <f ca="1"/>
        <v>#NAME?</v>
      </c>
    </row>
    <row r="85" spans="1:28" x14ac:dyDescent="0.2">
      <c r="A85" t="e">
        <f ca="1"/>
        <v>#NAME?</v>
      </c>
      <c r="B85" t="e">
        <f ca="1"/>
        <v>#NAME?</v>
      </c>
      <c r="C85" t="e">
        <f ca="1"/>
        <v>#NAME?</v>
      </c>
      <c r="D85" t="e">
        <f ca="1"/>
        <v>#NAME?</v>
      </c>
      <c r="E85" t="e">
        <f ca="1"/>
        <v>#NAME?</v>
      </c>
      <c r="F85" t="e">
        <f ca="1"/>
        <v>#NAME?</v>
      </c>
      <c r="G85" t="e">
        <f ca="1"/>
        <v>#NAME?</v>
      </c>
      <c r="H85" t="e">
        <f ca="1"/>
        <v>#NAME?</v>
      </c>
      <c r="I85" t="e">
        <f ca="1"/>
        <v>#NAME?</v>
      </c>
      <c r="J85" t="e">
        <f ca="1"/>
        <v>#NAME?</v>
      </c>
      <c r="K85" t="e">
        <f ca="1"/>
        <v>#NAME?</v>
      </c>
      <c r="L85" t="e">
        <f ca="1"/>
        <v>#NAME?</v>
      </c>
      <c r="M85" t="e">
        <f ca="1"/>
        <v>#NAME?</v>
      </c>
      <c r="N85" t="e">
        <f ca="1"/>
        <v>#NAME?</v>
      </c>
      <c r="O85" t="e">
        <f ca="1"/>
        <v>#NAME?</v>
      </c>
      <c r="P85" t="e">
        <f ca="1"/>
        <v>#NAME?</v>
      </c>
      <c r="Q85" t="e">
        <f ca="1"/>
        <v>#NAME?</v>
      </c>
      <c r="R85" t="e">
        <f ca="1"/>
        <v>#NAME?</v>
      </c>
      <c r="S85" t="e">
        <f ca="1"/>
        <v>#NAME?</v>
      </c>
      <c r="T85" t="e">
        <f ca="1"/>
        <v>#NAME?</v>
      </c>
      <c r="U85" t="e">
        <f ca="1"/>
        <v>#NAME?</v>
      </c>
      <c r="V85" s="5" t="e">
        <f ca="1"/>
        <v>#NAME?</v>
      </c>
      <c r="W85" t="e">
        <f ca="1"/>
        <v>#NAME?</v>
      </c>
      <c r="X85" t="e">
        <f ca="1"/>
        <v>#NAME?</v>
      </c>
      <c r="Y85" t="e">
        <f ca="1"/>
        <v>#NAME?</v>
      </c>
      <c r="Z85" t="e">
        <f ca="1"/>
        <v>#NAME?</v>
      </c>
      <c r="AA85" t="e">
        <f ca="1"/>
        <v>#NAME?</v>
      </c>
      <c r="AB85" t="e">
        <f ca="1"/>
        <v>#NAME?</v>
      </c>
    </row>
    <row r="86" spans="1:28" x14ac:dyDescent="0.2">
      <c r="A86" t="e">
        <f ca="1"/>
        <v>#NAME?</v>
      </c>
      <c r="B86" t="e">
        <f ca="1"/>
        <v>#NAME?</v>
      </c>
      <c r="C86" t="e">
        <f ca="1"/>
        <v>#NAME?</v>
      </c>
      <c r="D86" t="e">
        <f ca="1"/>
        <v>#NAME?</v>
      </c>
      <c r="E86" t="e">
        <f ca="1"/>
        <v>#NAME?</v>
      </c>
      <c r="F86" t="e">
        <f ca="1"/>
        <v>#NAME?</v>
      </c>
      <c r="G86" t="e">
        <f ca="1"/>
        <v>#NAME?</v>
      </c>
      <c r="H86" t="e">
        <f ca="1"/>
        <v>#NAME?</v>
      </c>
      <c r="I86" t="e">
        <f ca="1"/>
        <v>#NAME?</v>
      </c>
      <c r="J86" t="e">
        <f ca="1"/>
        <v>#NAME?</v>
      </c>
      <c r="K86" t="e">
        <f ca="1"/>
        <v>#NAME?</v>
      </c>
      <c r="L86" t="e">
        <f ca="1"/>
        <v>#NAME?</v>
      </c>
      <c r="M86" t="e">
        <f ca="1"/>
        <v>#NAME?</v>
      </c>
      <c r="N86" t="e">
        <f ca="1"/>
        <v>#NAME?</v>
      </c>
      <c r="O86" t="e">
        <f ca="1"/>
        <v>#NAME?</v>
      </c>
      <c r="P86" t="e">
        <f ca="1"/>
        <v>#NAME?</v>
      </c>
      <c r="Q86" t="e">
        <f ca="1"/>
        <v>#NAME?</v>
      </c>
      <c r="R86" t="e">
        <f ca="1"/>
        <v>#NAME?</v>
      </c>
      <c r="S86" t="e">
        <f ca="1"/>
        <v>#NAME?</v>
      </c>
      <c r="T86" t="e">
        <f ca="1"/>
        <v>#NAME?</v>
      </c>
      <c r="U86" t="e">
        <f ca="1"/>
        <v>#NAME?</v>
      </c>
      <c r="V86" s="5" t="e">
        <f ca="1"/>
        <v>#NAME?</v>
      </c>
      <c r="W86" t="e">
        <f ca="1"/>
        <v>#NAME?</v>
      </c>
      <c r="X86" t="e">
        <f ca="1"/>
        <v>#NAME?</v>
      </c>
      <c r="Y86" t="e">
        <f ca="1"/>
        <v>#NAME?</v>
      </c>
      <c r="Z86" t="e">
        <f ca="1"/>
        <v>#NAME?</v>
      </c>
      <c r="AA86" t="e">
        <f ca="1"/>
        <v>#NAME?</v>
      </c>
      <c r="AB86" t="e">
        <f ca="1"/>
        <v>#NAME?</v>
      </c>
    </row>
    <row r="87" spans="1:28" x14ac:dyDescent="0.2">
      <c r="A87" t="e">
        <f ca="1"/>
        <v>#NAME?</v>
      </c>
      <c r="B87" t="e">
        <f ca="1"/>
        <v>#NAME?</v>
      </c>
      <c r="C87" t="e">
        <f ca="1"/>
        <v>#NAME?</v>
      </c>
      <c r="D87" t="e">
        <f ca="1"/>
        <v>#NAME?</v>
      </c>
      <c r="E87" t="e">
        <f ca="1"/>
        <v>#NAME?</v>
      </c>
      <c r="F87" t="e">
        <f ca="1"/>
        <v>#NAME?</v>
      </c>
      <c r="G87" t="e">
        <f ca="1"/>
        <v>#NAME?</v>
      </c>
      <c r="H87" t="e">
        <f ca="1"/>
        <v>#NAME?</v>
      </c>
      <c r="I87" t="e">
        <f ca="1"/>
        <v>#NAME?</v>
      </c>
      <c r="J87" t="e">
        <f ca="1"/>
        <v>#NAME?</v>
      </c>
      <c r="K87" t="e">
        <f ca="1"/>
        <v>#NAME?</v>
      </c>
      <c r="L87" t="e">
        <f ca="1"/>
        <v>#NAME?</v>
      </c>
      <c r="M87" t="e">
        <f ca="1"/>
        <v>#NAME?</v>
      </c>
      <c r="N87" t="e">
        <f ca="1"/>
        <v>#NAME?</v>
      </c>
      <c r="O87" t="e">
        <f ca="1"/>
        <v>#NAME?</v>
      </c>
      <c r="P87" t="e">
        <f ca="1"/>
        <v>#NAME?</v>
      </c>
      <c r="Q87" t="e">
        <f ca="1"/>
        <v>#NAME?</v>
      </c>
      <c r="R87" t="e">
        <f ca="1"/>
        <v>#NAME?</v>
      </c>
      <c r="S87" t="e">
        <f ca="1"/>
        <v>#NAME?</v>
      </c>
      <c r="T87" t="e">
        <f ca="1"/>
        <v>#NAME?</v>
      </c>
      <c r="U87" t="e">
        <f ca="1"/>
        <v>#NAME?</v>
      </c>
      <c r="V87" s="5" t="e">
        <f ca="1"/>
        <v>#NAME?</v>
      </c>
      <c r="W87" t="e">
        <f ca="1"/>
        <v>#NAME?</v>
      </c>
      <c r="X87" t="e">
        <f ca="1"/>
        <v>#NAME?</v>
      </c>
      <c r="Y87" t="e">
        <f ca="1"/>
        <v>#NAME?</v>
      </c>
      <c r="Z87" t="e">
        <f ca="1"/>
        <v>#NAME?</v>
      </c>
      <c r="AA87" t="e">
        <f ca="1"/>
        <v>#NAME?</v>
      </c>
      <c r="AB87" t="e">
        <f ca="1"/>
        <v>#NAME?</v>
      </c>
    </row>
    <row r="88" spans="1:28" x14ac:dyDescent="0.2">
      <c r="A88" t="e">
        <f ca="1"/>
        <v>#NAME?</v>
      </c>
      <c r="B88" t="e">
        <f ca="1"/>
        <v>#NAME?</v>
      </c>
      <c r="C88" t="e">
        <f ca="1"/>
        <v>#NAME?</v>
      </c>
      <c r="D88" t="e">
        <f ca="1"/>
        <v>#NAME?</v>
      </c>
      <c r="E88" t="e">
        <f ca="1"/>
        <v>#NAME?</v>
      </c>
      <c r="F88" t="e">
        <f ca="1"/>
        <v>#NAME?</v>
      </c>
      <c r="G88" t="e">
        <f ca="1"/>
        <v>#NAME?</v>
      </c>
      <c r="H88" t="e">
        <f ca="1"/>
        <v>#NAME?</v>
      </c>
      <c r="I88" t="e">
        <f ca="1"/>
        <v>#NAME?</v>
      </c>
      <c r="J88" t="e">
        <f ca="1"/>
        <v>#NAME?</v>
      </c>
      <c r="K88" t="e">
        <f ca="1"/>
        <v>#NAME?</v>
      </c>
      <c r="L88" t="e">
        <f ca="1"/>
        <v>#NAME?</v>
      </c>
      <c r="M88" t="e">
        <f ca="1"/>
        <v>#NAME?</v>
      </c>
      <c r="N88" t="e">
        <f ca="1"/>
        <v>#NAME?</v>
      </c>
      <c r="O88" t="e">
        <f ca="1"/>
        <v>#NAME?</v>
      </c>
      <c r="P88" t="e">
        <f ca="1"/>
        <v>#NAME?</v>
      </c>
      <c r="Q88" t="e">
        <f ca="1"/>
        <v>#NAME?</v>
      </c>
      <c r="R88" t="e">
        <f ca="1"/>
        <v>#NAME?</v>
      </c>
      <c r="S88" t="e">
        <f ca="1"/>
        <v>#NAME?</v>
      </c>
      <c r="T88" t="e">
        <f ca="1"/>
        <v>#NAME?</v>
      </c>
      <c r="U88" t="e">
        <f ca="1"/>
        <v>#NAME?</v>
      </c>
      <c r="V88" s="5" t="e">
        <f ca="1"/>
        <v>#NAME?</v>
      </c>
      <c r="W88" t="e">
        <f ca="1"/>
        <v>#NAME?</v>
      </c>
      <c r="X88" t="e">
        <f ca="1"/>
        <v>#NAME?</v>
      </c>
      <c r="Y88" t="e">
        <f ca="1"/>
        <v>#NAME?</v>
      </c>
      <c r="Z88" t="e">
        <f ca="1"/>
        <v>#NAME?</v>
      </c>
      <c r="AA88" t="e">
        <f ca="1"/>
        <v>#NAME?</v>
      </c>
      <c r="AB88" t="e">
        <f ca="1"/>
        <v>#NAME?</v>
      </c>
    </row>
    <row r="89" spans="1:28" x14ac:dyDescent="0.2">
      <c r="A89" t="e">
        <f ca="1"/>
        <v>#NAME?</v>
      </c>
      <c r="B89" t="e">
        <f ca="1"/>
        <v>#NAME?</v>
      </c>
      <c r="C89" t="e">
        <f ca="1"/>
        <v>#NAME?</v>
      </c>
      <c r="D89" t="e">
        <f ca="1"/>
        <v>#NAME?</v>
      </c>
      <c r="E89" t="e">
        <f ca="1"/>
        <v>#NAME?</v>
      </c>
      <c r="F89" t="e">
        <f ca="1"/>
        <v>#NAME?</v>
      </c>
      <c r="G89" t="e">
        <f ca="1"/>
        <v>#NAME?</v>
      </c>
      <c r="H89" t="e">
        <f ca="1"/>
        <v>#NAME?</v>
      </c>
      <c r="I89" t="e">
        <f ca="1"/>
        <v>#NAME?</v>
      </c>
      <c r="J89" t="e">
        <f ca="1"/>
        <v>#NAME?</v>
      </c>
      <c r="K89" t="e">
        <f ca="1"/>
        <v>#NAME?</v>
      </c>
      <c r="L89" t="e">
        <f ca="1"/>
        <v>#NAME?</v>
      </c>
      <c r="M89" t="e">
        <f ca="1"/>
        <v>#NAME?</v>
      </c>
      <c r="N89" t="e">
        <f ca="1"/>
        <v>#NAME?</v>
      </c>
      <c r="O89" t="e">
        <f ca="1"/>
        <v>#NAME?</v>
      </c>
      <c r="P89" t="e">
        <f ca="1"/>
        <v>#NAME?</v>
      </c>
      <c r="Q89" t="e">
        <f ca="1"/>
        <v>#NAME?</v>
      </c>
      <c r="R89" t="e">
        <f ca="1"/>
        <v>#NAME?</v>
      </c>
      <c r="S89" t="e">
        <f ca="1"/>
        <v>#NAME?</v>
      </c>
      <c r="T89" t="e">
        <f ca="1"/>
        <v>#NAME?</v>
      </c>
      <c r="U89" t="e">
        <f ca="1"/>
        <v>#NAME?</v>
      </c>
      <c r="V89" s="5" t="e">
        <f ca="1"/>
        <v>#NAME?</v>
      </c>
      <c r="W89" t="e">
        <f ca="1"/>
        <v>#NAME?</v>
      </c>
      <c r="X89" t="e">
        <f ca="1"/>
        <v>#NAME?</v>
      </c>
      <c r="Y89" t="e">
        <f ca="1"/>
        <v>#NAME?</v>
      </c>
      <c r="Z89" t="e">
        <f ca="1"/>
        <v>#NAME?</v>
      </c>
      <c r="AA89" t="e">
        <f ca="1"/>
        <v>#NAME?</v>
      </c>
      <c r="AB89" t="e">
        <f ca="1"/>
        <v>#NAME?</v>
      </c>
    </row>
    <row r="90" spans="1:28" x14ac:dyDescent="0.2">
      <c r="A90" t="e">
        <f ca="1"/>
        <v>#NAME?</v>
      </c>
      <c r="B90" t="e">
        <f ca="1"/>
        <v>#NAME?</v>
      </c>
      <c r="C90" t="e">
        <f ca="1"/>
        <v>#NAME?</v>
      </c>
      <c r="D90" t="e">
        <f ca="1"/>
        <v>#NAME?</v>
      </c>
      <c r="E90" t="e">
        <f ca="1"/>
        <v>#NAME?</v>
      </c>
      <c r="F90" t="e">
        <f ca="1"/>
        <v>#NAME?</v>
      </c>
      <c r="G90" t="e">
        <f ca="1"/>
        <v>#NAME?</v>
      </c>
      <c r="H90" t="e">
        <f ca="1"/>
        <v>#NAME?</v>
      </c>
      <c r="I90" t="e">
        <f ca="1"/>
        <v>#NAME?</v>
      </c>
      <c r="J90" t="e">
        <f ca="1"/>
        <v>#NAME?</v>
      </c>
      <c r="K90" t="e">
        <f ca="1"/>
        <v>#NAME?</v>
      </c>
      <c r="L90" t="e">
        <f ca="1"/>
        <v>#NAME?</v>
      </c>
      <c r="M90" t="e">
        <f ca="1"/>
        <v>#NAME?</v>
      </c>
      <c r="N90" t="e">
        <f ca="1"/>
        <v>#NAME?</v>
      </c>
      <c r="O90" t="e">
        <f ca="1"/>
        <v>#NAME?</v>
      </c>
      <c r="P90" t="e">
        <f ca="1"/>
        <v>#NAME?</v>
      </c>
      <c r="Q90" t="e">
        <f ca="1"/>
        <v>#NAME?</v>
      </c>
      <c r="R90" t="e">
        <f ca="1"/>
        <v>#NAME?</v>
      </c>
      <c r="S90" t="e">
        <f ca="1"/>
        <v>#NAME?</v>
      </c>
      <c r="T90" t="e">
        <f ca="1"/>
        <v>#NAME?</v>
      </c>
      <c r="U90" t="e">
        <f ca="1"/>
        <v>#NAME?</v>
      </c>
      <c r="V90" s="5" t="e">
        <f ca="1"/>
        <v>#NAME?</v>
      </c>
      <c r="W90" t="e">
        <f ca="1"/>
        <v>#NAME?</v>
      </c>
      <c r="X90" t="e">
        <f ca="1"/>
        <v>#NAME?</v>
      </c>
      <c r="Y90" t="e">
        <f ca="1"/>
        <v>#NAME?</v>
      </c>
      <c r="Z90" t="e">
        <f ca="1"/>
        <v>#NAME?</v>
      </c>
      <c r="AA90" t="e">
        <f ca="1"/>
        <v>#NAME?</v>
      </c>
      <c r="AB90" t="e">
        <f ca="1"/>
        <v>#NAME?</v>
      </c>
    </row>
    <row r="91" spans="1:28" x14ac:dyDescent="0.2">
      <c r="A91" t="e">
        <f ca="1"/>
        <v>#NAME?</v>
      </c>
      <c r="B91" t="e">
        <f ca="1"/>
        <v>#NAME?</v>
      </c>
      <c r="C91" t="e">
        <f ca="1"/>
        <v>#NAME?</v>
      </c>
      <c r="D91" t="e">
        <f ca="1"/>
        <v>#NAME?</v>
      </c>
      <c r="E91" t="e">
        <f ca="1"/>
        <v>#NAME?</v>
      </c>
      <c r="F91" t="e">
        <f ca="1"/>
        <v>#NAME?</v>
      </c>
      <c r="G91" t="e">
        <f ca="1"/>
        <v>#NAME?</v>
      </c>
      <c r="H91" t="e">
        <f ca="1"/>
        <v>#NAME?</v>
      </c>
      <c r="I91" t="e">
        <f ca="1"/>
        <v>#NAME?</v>
      </c>
      <c r="J91" t="e">
        <f ca="1"/>
        <v>#NAME?</v>
      </c>
      <c r="K91" t="e">
        <f ca="1"/>
        <v>#NAME?</v>
      </c>
      <c r="L91" t="e">
        <f ca="1"/>
        <v>#NAME?</v>
      </c>
      <c r="M91" t="e">
        <f ca="1"/>
        <v>#NAME?</v>
      </c>
      <c r="N91" t="e">
        <f ca="1"/>
        <v>#NAME?</v>
      </c>
      <c r="O91" t="e">
        <f ca="1"/>
        <v>#NAME?</v>
      </c>
      <c r="P91" t="e">
        <f ca="1"/>
        <v>#NAME?</v>
      </c>
      <c r="Q91" t="e">
        <f ca="1"/>
        <v>#NAME?</v>
      </c>
      <c r="R91" t="e">
        <f ca="1"/>
        <v>#NAME?</v>
      </c>
      <c r="S91" t="e">
        <f ca="1"/>
        <v>#NAME?</v>
      </c>
      <c r="T91" t="e">
        <f ca="1"/>
        <v>#NAME?</v>
      </c>
      <c r="U91" t="e">
        <f ca="1"/>
        <v>#NAME?</v>
      </c>
      <c r="V91" s="5" t="e">
        <f ca="1"/>
        <v>#NAME?</v>
      </c>
      <c r="W91" t="e">
        <f ca="1"/>
        <v>#NAME?</v>
      </c>
      <c r="X91" t="e">
        <f ca="1"/>
        <v>#NAME?</v>
      </c>
      <c r="Y91" t="e">
        <f ca="1"/>
        <v>#NAME?</v>
      </c>
      <c r="Z91" t="e">
        <f ca="1"/>
        <v>#NAME?</v>
      </c>
      <c r="AA91" t="e">
        <f ca="1"/>
        <v>#NAME?</v>
      </c>
      <c r="AB91" t="e">
        <f ca="1"/>
        <v>#NAME?</v>
      </c>
    </row>
    <row r="92" spans="1:28" x14ac:dyDescent="0.2">
      <c r="A92" t="e">
        <f ca="1"/>
        <v>#NAME?</v>
      </c>
      <c r="B92" t="e">
        <f ca="1"/>
        <v>#NAME?</v>
      </c>
      <c r="C92" t="e">
        <f ca="1"/>
        <v>#NAME?</v>
      </c>
      <c r="D92" t="e">
        <f ca="1"/>
        <v>#NAME?</v>
      </c>
      <c r="E92" t="e">
        <f ca="1"/>
        <v>#NAME?</v>
      </c>
      <c r="F92" t="e">
        <f ca="1"/>
        <v>#NAME?</v>
      </c>
      <c r="G92" t="e">
        <f ca="1"/>
        <v>#NAME?</v>
      </c>
      <c r="H92" t="e">
        <f ca="1"/>
        <v>#NAME?</v>
      </c>
      <c r="I92" t="e">
        <f ca="1"/>
        <v>#NAME?</v>
      </c>
      <c r="J92" t="e">
        <f ca="1"/>
        <v>#NAME?</v>
      </c>
      <c r="K92" t="e">
        <f ca="1"/>
        <v>#NAME?</v>
      </c>
      <c r="L92" t="e">
        <f ca="1"/>
        <v>#NAME?</v>
      </c>
      <c r="M92" t="e">
        <f ca="1"/>
        <v>#NAME?</v>
      </c>
      <c r="N92" t="e">
        <f ca="1"/>
        <v>#NAME?</v>
      </c>
      <c r="O92" t="e">
        <f ca="1"/>
        <v>#NAME?</v>
      </c>
      <c r="P92" t="e">
        <f ca="1"/>
        <v>#NAME?</v>
      </c>
      <c r="Q92" t="e">
        <f ca="1"/>
        <v>#NAME?</v>
      </c>
      <c r="R92" t="e">
        <f ca="1"/>
        <v>#NAME?</v>
      </c>
      <c r="S92" t="e">
        <f ca="1"/>
        <v>#NAME?</v>
      </c>
      <c r="T92" t="e">
        <f ca="1"/>
        <v>#NAME?</v>
      </c>
      <c r="U92" t="e">
        <f ca="1"/>
        <v>#NAME?</v>
      </c>
      <c r="V92" s="5" t="e">
        <f ca="1"/>
        <v>#NAME?</v>
      </c>
      <c r="W92" t="e">
        <f ca="1"/>
        <v>#NAME?</v>
      </c>
      <c r="X92" t="e">
        <f ca="1"/>
        <v>#NAME?</v>
      </c>
      <c r="Y92" t="e">
        <f ca="1"/>
        <v>#NAME?</v>
      </c>
      <c r="Z92" t="e">
        <f ca="1"/>
        <v>#NAME?</v>
      </c>
      <c r="AA92" t="e">
        <f ca="1"/>
        <v>#NAME?</v>
      </c>
      <c r="AB92" t="e">
        <f ca="1"/>
        <v>#NAME?</v>
      </c>
    </row>
    <row r="93" spans="1:28" x14ac:dyDescent="0.2">
      <c r="A93" t="e">
        <f ca="1"/>
        <v>#NAME?</v>
      </c>
      <c r="B93" t="e">
        <f ca="1"/>
        <v>#NAME?</v>
      </c>
      <c r="C93" t="e">
        <f ca="1"/>
        <v>#NAME?</v>
      </c>
      <c r="D93" t="e">
        <f ca="1"/>
        <v>#NAME?</v>
      </c>
      <c r="E93" t="e">
        <f ca="1"/>
        <v>#NAME?</v>
      </c>
      <c r="F93" t="e">
        <f ca="1"/>
        <v>#NAME?</v>
      </c>
      <c r="G93" t="e">
        <f ca="1"/>
        <v>#NAME?</v>
      </c>
      <c r="H93" t="e">
        <f ca="1"/>
        <v>#NAME?</v>
      </c>
      <c r="I93" t="e">
        <f ca="1"/>
        <v>#NAME?</v>
      </c>
      <c r="J93" t="e">
        <f ca="1"/>
        <v>#NAME?</v>
      </c>
      <c r="K93" t="e">
        <f ca="1"/>
        <v>#NAME?</v>
      </c>
      <c r="L93" t="e">
        <f ca="1"/>
        <v>#NAME?</v>
      </c>
      <c r="M93" t="e">
        <f ca="1"/>
        <v>#NAME?</v>
      </c>
      <c r="N93" t="e">
        <f ca="1"/>
        <v>#NAME?</v>
      </c>
      <c r="O93" t="e">
        <f ca="1"/>
        <v>#NAME?</v>
      </c>
      <c r="P93" t="e">
        <f ca="1"/>
        <v>#NAME?</v>
      </c>
      <c r="Q93" t="e">
        <f ca="1"/>
        <v>#NAME?</v>
      </c>
      <c r="R93" t="e">
        <f ca="1"/>
        <v>#NAME?</v>
      </c>
      <c r="S93" t="e">
        <f ca="1"/>
        <v>#NAME?</v>
      </c>
      <c r="T93" t="e">
        <f ca="1"/>
        <v>#NAME?</v>
      </c>
      <c r="U93" t="e">
        <f ca="1"/>
        <v>#NAME?</v>
      </c>
      <c r="V93" s="5" t="e">
        <f ca="1"/>
        <v>#NAME?</v>
      </c>
      <c r="W93" t="e">
        <f ca="1"/>
        <v>#NAME?</v>
      </c>
      <c r="X93" t="e">
        <f ca="1"/>
        <v>#NAME?</v>
      </c>
      <c r="Y93" t="e">
        <f ca="1"/>
        <v>#NAME?</v>
      </c>
      <c r="Z93" t="e">
        <f ca="1"/>
        <v>#NAME?</v>
      </c>
      <c r="AA93" t="e">
        <f ca="1"/>
        <v>#NAME?</v>
      </c>
      <c r="AB93" t="e">
        <f ca="1"/>
        <v>#NAME?</v>
      </c>
    </row>
    <row r="94" spans="1:28" x14ac:dyDescent="0.2">
      <c r="A94" t="e">
        <f ca="1"/>
        <v>#NAME?</v>
      </c>
      <c r="B94" t="e">
        <f ca="1"/>
        <v>#NAME?</v>
      </c>
      <c r="C94" t="e">
        <f ca="1"/>
        <v>#NAME?</v>
      </c>
      <c r="D94" t="e">
        <f ca="1"/>
        <v>#NAME?</v>
      </c>
      <c r="E94" t="e">
        <f ca="1"/>
        <v>#NAME?</v>
      </c>
      <c r="F94" t="e">
        <f ca="1"/>
        <v>#NAME?</v>
      </c>
      <c r="G94" t="e">
        <f ca="1"/>
        <v>#NAME?</v>
      </c>
      <c r="H94" t="e">
        <f ca="1"/>
        <v>#NAME?</v>
      </c>
      <c r="I94" t="e">
        <f ca="1"/>
        <v>#NAME?</v>
      </c>
      <c r="J94" t="e">
        <f ca="1"/>
        <v>#NAME?</v>
      </c>
      <c r="K94" t="e">
        <f ca="1"/>
        <v>#NAME?</v>
      </c>
      <c r="L94" t="e">
        <f ca="1"/>
        <v>#NAME?</v>
      </c>
      <c r="M94" t="e">
        <f ca="1"/>
        <v>#NAME?</v>
      </c>
      <c r="N94" t="e">
        <f ca="1"/>
        <v>#NAME?</v>
      </c>
      <c r="O94" t="e">
        <f ca="1"/>
        <v>#NAME?</v>
      </c>
      <c r="P94" t="e">
        <f ca="1"/>
        <v>#NAME?</v>
      </c>
      <c r="Q94" t="e">
        <f ca="1"/>
        <v>#NAME?</v>
      </c>
      <c r="R94" t="e">
        <f ca="1"/>
        <v>#NAME?</v>
      </c>
      <c r="S94" t="e">
        <f ca="1"/>
        <v>#NAME?</v>
      </c>
      <c r="T94" t="e">
        <f ca="1"/>
        <v>#NAME?</v>
      </c>
      <c r="U94" t="e">
        <f ca="1"/>
        <v>#NAME?</v>
      </c>
      <c r="V94" s="5" t="e">
        <f ca="1"/>
        <v>#NAME?</v>
      </c>
      <c r="W94" t="e">
        <f ca="1"/>
        <v>#NAME?</v>
      </c>
      <c r="X94" t="e">
        <f ca="1"/>
        <v>#NAME?</v>
      </c>
      <c r="Y94" t="e">
        <f ca="1"/>
        <v>#NAME?</v>
      </c>
      <c r="Z94" t="e">
        <f ca="1"/>
        <v>#NAME?</v>
      </c>
      <c r="AA94" t="e">
        <f ca="1"/>
        <v>#NAME?</v>
      </c>
      <c r="AB94" t="e">
        <f ca="1"/>
        <v>#NAME?</v>
      </c>
    </row>
    <row r="95" spans="1:28" x14ac:dyDescent="0.2">
      <c r="A95" t="e">
        <f ca="1"/>
        <v>#NAME?</v>
      </c>
      <c r="B95" t="e">
        <f ca="1"/>
        <v>#NAME?</v>
      </c>
      <c r="C95" t="e">
        <f ca="1"/>
        <v>#NAME?</v>
      </c>
      <c r="D95" t="e">
        <f ca="1"/>
        <v>#NAME?</v>
      </c>
      <c r="E95" t="e">
        <f ca="1"/>
        <v>#NAME?</v>
      </c>
      <c r="F95" t="e">
        <f ca="1"/>
        <v>#NAME?</v>
      </c>
      <c r="G95" t="e">
        <f ca="1"/>
        <v>#NAME?</v>
      </c>
      <c r="H95" t="e">
        <f ca="1"/>
        <v>#NAME?</v>
      </c>
      <c r="I95" t="e">
        <f ca="1"/>
        <v>#NAME?</v>
      </c>
      <c r="J95" t="e">
        <f ca="1"/>
        <v>#NAME?</v>
      </c>
      <c r="K95" t="e">
        <f ca="1"/>
        <v>#NAME?</v>
      </c>
      <c r="L95" t="e">
        <f ca="1"/>
        <v>#NAME?</v>
      </c>
      <c r="M95" t="e">
        <f ca="1"/>
        <v>#NAME?</v>
      </c>
      <c r="N95" t="e">
        <f ca="1"/>
        <v>#NAME?</v>
      </c>
      <c r="O95" t="e">
        <f ca="1"/>
        <v>#NAME?</v>
      </c>
      <c r="P95" t="e">
        <f ca="1"/>
        <v>#NAME?</v>
      </c>
      <c r="Q95" t="e">
        <f ca="1"/>
        <v>#NAME?</v>
      </c>
      <c r="R95" t="e">
        <f ca="1"/>
        <v>#NAME?</v>
      </c>
      <c r="S95" t="e">
        <f ca="1"/>
        <v>#NAME?</v>
      </c>
      <c r="T95" t="e">
        <f ca="1"/>
        <v>#NAME?</v>
      </c>
      <c r="U95" t="e">
        <f ca="1"/>
        <v>#NAME?</v>
      </c>
      <c r="V95" s="5" t="e">
        <f ca="1"/>
        <v>#NAME?</v>
      </c>
      <c r="W95" t="e">
        <f ca="1"/>
        <v>#NAME?</v>
      </c>
      <c r="X95" t="e">
        <f ca="1"/>
        <v>#NAME?</v>
      </c>
      <c r="Y95" t="e">
        <f ca="1"/>
        <v>#NAME?</v>
      </c>
      <c r="Z95" t="e">
        <f ca="1"/>
        <v>#NAME?</v>
      </c>
      <c r="AA95" t="e">
        <f ca="1"/>
        <v>#NAME?</v>
      </c>
      <c r="AB95" t="e">
        <f ca="1"/>
        <v>#NAME?</v>
      </c>
    </row>
    <row r="96" spans="1:28" x14ac:dyDescent="0.2">
      <c r="A96" t="e">
        <f ca="1"/>
        <v>#NAME?</v>
      </c>
      <c r="B96" t="e">
        <f ca="1"/>
        <v>#NAME?</v>
      </c>
      <c r="C96" t="e">
        <f ca="1"/>
        <v>#NAME?</v>
      </c>
      <c r="D96" t="e">
        <f ca="1"/>
        <v>#NAME?</v>
      </c>
      <c r="E96" t="e">
        <f ca="1"/>
        <v>#NAME?</v>
      </c>
      <c r="F96" t="e">
        <f ca="1"/>
        <v>#NAME?</v>
      </c>
      <c r="G96" t="e">
        <f ca="1"/>
        <v>#NAME?</v>
      </c>
      <c r="H96" t="e">
        <f ca="1"/>
        <v>#NAME?</v>
      </c>
      <c r="I96" t="e">
        <f ca="1"/>
        <v>#NAME?</v>
      </c>
      <c r="J96" t="e">
        <f ca="1"/>
        <v>#NAME?</v>
      </c>
      <c r="K96" t="e">
        <f ca="1"/>
        <v>#NAME?</v>
      </c>
      <c r="L96" t="e">
        <f ca="1"/>
        <v>#NAME?</v>
      </c>
      <c r="M96" t="e">
        <f ca="1"/>
        <v>#NAME?</v>
      </c>
      <c r="N96" t="e">
        <f ca="1"/>
        <v>#NAME?</v>
      </c>
      <c r="O96" t="e">
        <f ca="1"/>
        <v>#NAME?</v>
      </c>
      <c r="P96" t="e">
        <f ca="1"/>
        <v>#NAME?</v>
      </c>
      <c r="Q96" t="e">
        <f ca="1"/>
        <v>#NAME?</v>
      </c>
      <c r="R96" t="e">
        <f ca="1"/>
        <v>#NAME?</v>
      </c>
      <c r="S96" t="e">
        <f ca="1"/>
        <v>#NAME?</v>
      </c>
      <c r="T96" t="e">
        <f ca="1"/>
        <v>#NAME?</v>
      </c>
      <c r="U96" t="e">
        <f ca="1"/>
        <v>#NAME?</v>
      </c>
      <c r="V96" s="5" t="e">
        <f ca="1"/>
        <v>#NAME?</v>
      </c>
      <c r="W96" t="e">
        <f ca="1"/>
        <v>#NAME?</v>
      </c>
      <c r="X96" t="e">
        <f ca="1"/>
        <v>#NAME?</v>
      </c>
      <c r="Y96" t="e">
        <f ca="1"/>
        <v>#NAME?</v>
      </c>
      <c r="Z96" t="e">
        <f ca="1"/>
        <v>#NAME?</v>
      </c>
      <c r="AA96" t="e">
        <f ca="1"/>
        <v>#NAME?</v>
      </c>
      <c r="AB96" t="e">
        <f ca="1"/>
        <v>#NAME?</v>
      </c>
    </row>
    <row r="97" spans="1:28" x14ac:dyDescent="0.2">
      <c r="A97" t="e">
        <f ca="1"/>
        <v>#NAME?</v>
      </c>
      <c r="B97" t="e">
        <f ca="1"/>
        <v>#NAME?</v>
      </c>
      <c r="C97" t="e">
        <f ca="1"/>
        <v>#NAME?</v>
      </c>
      <c r="D97" t="e">
        <f ca="1"/>
        <v>#NAME?</v>
      </c>
      <c r="E97" t="e">
        <f ca="1"/>
        <v>#NAME?</v>
      </c>
      <c r="F97" t="e">
        <f ca="1"/>
        <v>#NAME?</v>
      </c>
      <c r="G97" t="e">
        <f ca="1"/>
        <v>#NAME?</v>
      </c>
      <c r="H97" t="e">
        <f ca="1"/>
        <v>#NAME?</v>
      </c>
      <c r="I97" t="e">
        <f ca="1"/>
        <v>#NAME?</v>
      </c>
      <c r="J97" t="e">
        <f ca="1"/>
        <v>#NAME?</v>
      </c>
      <c r="K97" t="e">
        <f ca="1"/>
        <v>#NAME?</v>
      </c>
      <c r="L97" t="e">
        <f ca="1"/>
        <v>#NAME?</v>
      </c>
      <c r="M97" t="e">
        <f ca="1"/>
        <v>#NAME?</v>
      </c>
      <c r="N97" t="e">
        <f ca="1"/>
        <v>#NAME?</v>
      </c>
      <c r="O97" t="e">
        <f ca="1"/>
        <v>#NAME?</v>
      </c>
      <c r="P97" t="e">
        <f ca="1"/>
        <v>#NAME?</v>
      </c>
      <c r="Q97" t="e">
        <f ca="1"/>
        <v>#NAME?</v>
      </c>
      <c r="R97" t="e">
        <f ca="1"/>
        <v>#NAME?</v>
      </c>
      <c r="S97" t="e">
        <f ca="1"/>
        <v>#NAME?</v>
      </c>
      <c r="T97" t="e">
        <f ca="1"/>
        <v>#NAME?</v>
      </c>
      <c r="U97" t="e">
        <f ca="1"/>
        <v>#NAME?</v>
      </c>
      <c r="V97" s="5" t="e">
        <f ca="1"/>
        <v>#NAME?</v>
      </c>
      <c r="W97" t="e">
        <f ca="1"/>
        <v>#NAME?</v>
      </c>
      <c r="X97" t="e">
        <f ca="1"/>
        <v>#NAME?</v>
      </c>
      <c r="Y97" t="e">
        <f ca="1"/>
        <v>#NAME?</v>
      </c>
      <c r="Z97" t="e">
        <f ca="1"/>
        <v>#NAME?</v>
      </c>
      <c r="AA97" t="e">
        <f ca="1"/>
        <v>#NAME?</v>
      </c>
      <c r="AB97" t="e">
        <f ca="1"/>
        <v>#NAME?</v>
      </c>
    </row>
    <row r="98" spans="1:28" x14ac:dyDescent="0.2">
      <c r="A98" t="e">
        <f ca="1"/>
        <v>#NAME?</v>
      </c>
      <c r="B98" t="e">
        <f ca="1"/>
        <v>#NAME?</v>
      </c>
      <c r="C98" t="e">
        <f ca="1"/>
        <v>#NAME?</v>
      </c>
      <c r="D98" t="e">
        <f ca="1"/>
        <v>#NAME?</v>
      </c>
      <c r="E98" t="e">
        <f ca="1"/>
        <v>#NAME?</v>
      </c>
      <c r="F98" t="e">
        <f ca="1"/>
        <v>#NAME?</v>
      </c>
      <c r="G98" t="e">
        <f ca="1"/>
        <v>#NAME?</v>
      </c>
      <c r="H98" t="e">
        <f ca="1"/>
        <v>#NAME?</v>
      </c>
      <c r="I98" t="e">
        <f ca="1"/>
        <v>#NAME?</v>
      </c>
      <c r="J98" t="e">
        <f ca="1"/>
        <v>#NAME?</v>
      </c>
      <c r="K98" t="e">
        <f ca="1"/>
        <v>#NAME?</v>
      </c>
      <c r="L98" t="e">
        <f ca="1"/>
        <v>#NAME?</v>
      </c>
      <c r="M98" t="e">
        <f ca="1"/>
        <v>#NAME?</v>
      </c>
      <c r="N98" t="e">
        <f ca="1"/>
        <v>#NAME?</v>
      </c>
      <c r="O98" t="e">
        <f ca="1"/>
        <v>#NAME?</v>
      </c>
      <c r="P98" t="e">
        <f ca="1"/>
        <v>#NAME?</v>
      </c>
      <c r="Q98" t="e">
        <f ca="1"/>
        <v>#NAME?</v>
      </c>
      <c r="R98" t="e">
        <f ca="1"/>
        <v>#NAME?</v>
      </c>
      <c r="S98" t="e">
        <f ca="1"/>
        <v>#NAME?</v>
      </c>
      <c r="T98" t="e">
        <f ca="1"/>
        <v>#NAME?</v>
      </c>
      <c r="U98" t="e">
        <f ca="1"/>
        <v>#NAME?</v>
      </c>
      <c r="V98" s="5" t="e">
        <f ca="1"/>
        <v>#NAME?</v>
      </c>
      <c r="W98" t="e">
        <f ca="1"/>
        <v>#NAME?</v>
      </c>
      <c r="X98" t="e">
        <f ca="1"/>
        <v>#NAME?</v>
      </c>
      <c r="Y98" t="e">
        <f ca="1"/>
        <v>#NAME?</v>
      </c>
      <c r="Z98" t="e">
        <f ca="1"/>
        <v>#NAME?</v>
      </c>
      <c r="AA98" t="e">
        <f ca="1"/>
        <v>#NAME?</v>
      </c>
      <c r="AB98" t="e">
        <f ca="1"/>
        <v>#NAME?</v>
      </c>
    </row>
    <row r="99" spans="1:28" x14ac:dyDescent="0.2">
      <c r="A99" t="e">
        <f ca="1"/>
        <v>#NAME?</v>
      </c>
      <c r="B99" t="e">
        <f ca="1"/>
        <v>#NAME?</v>
      </c>
      <c r="C99" t="e">
        <f ca="1"/>
        <v>#NAME?</v>
      </c>
      <c r="D99" t="e">
        <f ca="1"/>
        <v>#NAME?</v>
      </c>
      <c r="E99" t="e">
        <f ca="1"/>
        <v>#NAME?</v>
      </c>
      <c r="F99" t="e">
        <f ca="1"/>
        <v>#NAME?</v>
      </c>
      <c r="G99" t="e">
        <f ca="1"/>
        <v>#NAME?</v>
      </c>
      <c r="H99" t="e">
        <f ca="1"/>
        <v>#NAME?</v>
      </c>
      <c r="I99" t="e">
        <f ca="1"/>
        <v>#NAME?</v>
      </c>
      <c r="J99" t="e">
        <f ca="1"/>
        <v>#NAME?</v>
      </c>
      <c r="K99" t="e">
        <f ca="1"/>
        <v>#NAME?</v>
      </c>
      <c r="L99" t="e">
        <f ca="1"/>
        <v>#NAME?</v>
      </c>
      <c r="M99" t="e">
        <f ca="1"/>
        <v>#NAME?</v>
      </c>
      <c r="N99" t="e">
        <f ca="1"/>
        <v>#NAME?</v>
      </c>
      <c r="O99" t="e">
        <f ca="1"/>
        <v>#NAME?</v>
      </c>
      <c r="P99" t="e">
        <f ca="1"/>
        <v>#NAME?</v>
      </c>
      <c r="Q99" t="e">
        <f ca="1"/>
        <v>#NAME?</v>
      </c>
      <c r="R99" t="e">
        <f ca="1"/>
        <v>#NAME?</v>
      </c>
      <c r="S99" t="e">
        <f ca="1"/>
        <v>#NAME?</v>
      </c>
      <c r="T99" t="e">
        <f ca="1"/>
        <v>#NAME?</v>
      </c>
      <c r="U99" t="e">
        <f ca="1"/>
        <v>#NAME?</v>
      </c>
      <c r="V99" s="5" t="e">
        <f ca="1"/>
        <v>#NAME?</v>
      </c>
      <c r="W99" t="e">
        <f ca="1"/>
        <v>#NAME?</v>
      </c>
      <c r="X99" t="e">
        <f ca="1"/>
        <v>#NAME?</v>
      </c>
      <c r="Y99" t="e">
        <f ca="1"/>
        <v>#NAME?</v>
      </c>
      <c r="Z99" t="e">
        <f ca="1"/>
        <v>#NAME?</v>
      </c>
      <c r="AA99" t="e">
        <f ca="1"/>
        <v>#NAME?</v>
      </c>
      <c r="AB99" t="e">
        <f ca="1"/>
        <v>#NAME?</v>
      </c>
    </row>
    <row r="100" spans="1:28" x14ac:dyDescent="0.2">
      <c r="A100" t="e">
        <f ca="1"/>
        <v>#NAME?</v>
      </c>
      <c r="B100" t="e">
        <f ca="1"/>
        <v>#NAME?</v>
      </c>
      <c r="C100" t="e">
        <f ca="1"/>
        <v>#NAME?</v>
      </c>
      <c r="D100" t="e">
        <f ca="1"/>
        <v>#NAME?</v>
      </c>
      <c r="E100" t="e">
        <f ca="1"/>
        <v>#NAME?</v>
      </c>
      <c r="F100" t="e">
        <f ca="1"/>
        <v>#NAME?</v>
      </c>
      <c r="G100" t="e">
        <f ca="1"/>
        <v>#NAME?</v>
      </c>
      <c r="H100" t="e">
        <f ca="1"/>
        <v>#NAME?</v>
      </c>
      <c r="I100" t="e">
        <f ca="1"/>
        <v>#NAME?</v>
      </c>
      <c r="J100" t="e">
        <f ca="1"/>
        <v>#NAME?</v>
      </c>
      <c r="K100" t="e">
        <f ca="1"/>
        <v>#NAME?</v>
      </c>
      <c r="L100" t="e">
        <f ca="1"/>
        <v>#NAME?</v>
      </c>
      <c r="M100" t="e">
        <f ca="1"/>
        <v>#NAME?</v>
      </c>
      <c r="N100" t="e">
        <f ca="1"/>
        <v>#NAME?</v>
      </c>
      <c r="O100" t="e">
        <f ca="1"/>
        <v>#NAME?</v>
      </c>
      <c r="P100" t="e">
        <f ca="1"/>
        <v>#NAME?</v>
      </c>
      <c r="Q100" t="e">
        <f ca="1"/>
        <v>#NAME?</v>
      </c>
      <c r="R100" t="e">
        <f ca="1"/>
        <v>#NAME?</v>
      </c>
      <c r="S100" t="e">
        <f ca="1"/>
        <v>#NAME?</v>
      </c>
      <c r="T100" t="e">
        <f ca="1"/>
        <v>#NAME?</v>
      </c>
      <c r="U100" t="e">
        <f ca="1"/>
        <v>#NAME?</v>
      </c>
      <c r="V100" s="5" t="e">
        <f ca="1"/>
        <v>#NAME?</v>
      </c>
      <c r="W100" t="e">
        <f ca="1"/>
        <v>#NAME?</v>
      </c>
      <c r="X100" t="e">
        <f ca="1"/>
        <v>#NAME?</v>
      </c>
      <c r="Y100" t="e">
        <f ca="1"/>
        <v>#NAME?</v>
      </c>
      <c r="Z100" t="e">
        <f ca="1"/>
        <v>#NAME?</v>
      </c>
      <c r="AA100" t="e">
        <f ca="1"/>
        <v>#NAME?</v>
      </c>
      <c r="AB100" t="e">
        <f ca="1"/>
        <v>#NAME?</v>
      </c>
    </row>
    <row r="101" spans="1:28" x14ac:dyDescent="0.2">
      <c r="A101" t="e">
        <f ca="1"/>
        <v>#NAME?</v>
      </c>
      <c r="B101" t="e">
        <f ca="1"/>
        <v>#NAME?</v>
      </c>
      <c r="C101" t="e">
        <f ca="1"/>
        <v>#NAME?</v>
      </c>
      <c r="D101" t="e">
        <f ca="1"/>
        <v>#NAME?</v>
      </c>
      <c r="E101" t="e">
        <f ca="1"/>
        <v>#NAME?</v>
      </c>
      <c r="F101" t="e">
        <f ca="1"/>
        <v>#NAME?</v>
      </c>
      <c r="G101" t="e">
        <f ca="1"/>
        <v>#NAME?</v>
      </c>
      <c r="H101" t="e">
        <f ca="1"/>
        <v>#NAME?</v>
      </c>
      <c r="I101" t="e">
        <f ca="1"/>
        <v>#NAME?</v>
      </c>
      <c r="J101" t="e">
        <f ca="1"/>
        <v>#NAME?</v>
      </c>
      <c r="K101" t="e">
        <f ca="1"/>
        <v>#NAME?</v>
      </c>
      <c r="L101" t="e">
        <f ca="1"/>
        <v>#NAME?</v>
      </c>
      <c r="M101" t="e">
        <f ca="1"/>
        <v>#NAME?</v>
      </c>
      <c r="N101" t="e">
        <f ca="1"/>
        <v>#NAME?</v>
      </c>
      <c r="O101" t="e">
        <f ca="1"/>
        <v>#NAME?</v>
      </c>
      <c r="P101" t="e">
        <f ca="1"/>
        <v>#NAME?</v>
      </c>
      <c r="Q101" t="e">
        <f ca="1"/>
        <v>#NAME?</v>
      </c>
      <c r="R101" t="e">
        <f ca="1"/>
        <v>#NAME?</v>
      </c>
      <c r="S101" t="e">
        <f ca="1"/>
        <v>#NAME?</v>
      </c>
      <c r="T101" t="e">
        <f ca="1"/>
        <v>#NAME?</v>
      </c>
      <c r="U101" t="e">
        <f ca="1"/>
        <v>#NAME?</v>
      </c>
      <c r="V101" s="5" t="e">
        <f ca="1"/>
        <v>#NAME?</v>
      </c>
      <c r="W101" t="e">
        <f ca="1"/>
        <v>#NAME?</v>
      </c>
      <c r="X101" t="e">
        <f ca="1"/>
        <v>#NAME?</v>
      </c>
      <c r="Y101" t="e">
        <f ca="1"/>
        <v>#NAME?</v>
      </c>
      <c r="Z101" t="e">
        <f ca="1"/>
        <v>#NAME?</v>
      </c>
      <c r="AA101" t="e">
        <f ca="1"/>
        <v>#NAME?</v>
      </c>
      <c r="AB101" t="e">
        <f ca="1"/>
        <v>#NAME?</v>
      </c>
    </row>
    <row r="102" spans="1:28" x14ac:dyDescent="0.2">
      <c r="A102" t="e">
        <f ca="1"/>
        <v>#NAME?</v>
      </c>
      <c r="B102" t="e">
        <f ca="1"/>
        <v>#NAME?</v>
      </c>
      <c r="C102" t="e">
        <f ca="1"/>
        <v>#NAME?</v>
      </c>
      <c r="D102" t="e">
        <f ca="1"/>
        <v>#NAME?</v>
      </c>
      <c r="E102" t="e">
        <f ca="1"/>
        <v>#NAME?</v>
      </c>
      <c r="F102" t="e">
        <f ca="1"/>
        <v>#NAME?</v>
      </c>
      <c r="G102" t="e">
        <f ca="1"/>
        <v>#NAME?</v>
      </c>
      <c r="H102" t="e">
        <f ca="1"/>
        <v>#NAME?</v>
      </c>
      <c r="I102" t="e">
        <f ca="1"/>
        <v>#NAME?</v>
      </c>
      <c r="J102" t="e">
        <f ca="1"/>
        <v>#NAME?</v>
      </c>
      <c r="K102" t="e">
        <f ca="1"/>
        <v>#NAME?</v>
      </c>
      <c r="L102" t="e">
        <f ca="1"/>
        <v>#NAME?</v>
      </c>
      <c r="M102" t="e">
        <f ca="1"/>
        <v>#NAME?</v>
      </c>
      <c r="N102" t="e">
        <f ca="1"/>
        <v>#NAME?</v>
      </c>
      <c r="O102" t="e">
        <f ca="1"/>
        <v>#NAME?</v>
      </c>
      <c r="P102" t="e">
        <f ca="1"/>
        <v>#NAME?</v>
      </c>
      <c r="Q102" t="e">
        <f ca="1"/>
        <v>#NAME?</v>
      </c>
      <c r="R102" t="e">
        <f ca="1"/>
        <v>#NAME?</v>
      </c>
      <c r="S102" t="e">
        <f ca="1"/>
        <v>#NAME?</v>
      </c>
      <c r="T102" t="e">
        <f ca="1"/>
        <v>#NAME?</v>
      </c>
      <c r="U102" t="e">
        <f ca="1"/>
        <v>#NAME?</v>
      </c>
      <c r="V102" s="5" t="e">
        <f ca="1"/>
        <v>#NAME?</v>
      </c>
      <c r="W102" t="e">
        <f ca="1"/>
        <v>#NAME?</v>
      </c>
      <c r="X102" t="e">
        <f ca="1"/>
        <v>#NAME?</v>
      </c>
      <c r="Y102" t="e">
        <f ca="1"/>
        <v>#NAME?</v>
      </c>
      <c r="Z102" t="e">
        <f ca="1"/>
        <v>#NAME?</v>
      </c>
      <c r="AA102" t="e">
        <f ca="1"/>
        <v>#NAME?</v>
      </c>
      <c r="AB102" t="e">
        <f ca="1"/>
        <v>#NAME?</v>
      </c>
    </row>
    <row r="103" spans="1:28" x14ac:dyDescent="0.2">
      <c r="A103" t="e">
        <f ca="1"/>
        <v>#NAME?</v>
      </c>
      <c r="B103" t="e">
        <f ca="1"/>
        <v>#NAME?</v>
      </c>
      <c r="C103" t="e">
        <f ca="1"/>
        <v>#NAME?</v>
      </c>
      <c r="D103" t="e">
        <f ca="1"/>
        <v>#NAME?</v>
      </c>
      <c r="E103" t="e">
        <f ca="1"/>
        <v>#NAME?</v>
      </c>
      <c r="F103" t="e">
        <f ca="1"/>
        <v>#NAME?</v>
      </c>
      <c r="G103" t="e">
        <f ca="1"/>
        <v>#NAME?</v>
      </c>
      <c r="H103" t="e">
        <f ca="1"/>
        <v>#NAME?</v>
      </c>
      <c r="I103" t="e">
        <f ca="1"/>
        <v>#NAME?</v>
      </c>
      <c r="J103" t="e">
        <f ca="1"/>
        <v>#NAME?</v>
      </c>
      <c r="K103" t="e">
        <f ca="1"/>
        <v>#NAME?</v>
      </c>
      <c r="L103" t="e">
        <f ca="1"/>
        <v>#NAME?</v>
      </c>
      <c r="M103" t="e">
        <f ca="1"/>
        <v>#NAME?</v>
      </c>
      <c r="N103" t="e">
        <f ca="1"/>
        <v>#NAME?</v>
      </c>
      <c r="O103" t="e">
        <f ca="1"/>
        <v>#NAME?</v>
      </c>
      <c r="P103" t="e">
        <f ca="1"/>
        <v>#NAME?</v>
      </c>
      <c r="Q103" t="e">
        <f ca="1"/>
        <v>#NAME?</v>
      </c>
      <c r="R103" t="e">
        <f ca="1"/>
        <v>#NAME?</v>
      </c>
      <c r="S103" t="e">
        <f ca="1"/>
        <v>#NAME?</v>
      </c>
      <c r="T103" t="e">
        <f ca="1"/>
        <v>#NAME?</v>
      </c>
      <c r="U103" t="e">
        <f ca="1"/>
        <v>#NAME?</v>
      </c>
      <c r="V103" s="5" t="e">
        <f ca="1"/>
        <v>#NAME?</v>
      </c>
      <c r="W103" t="e">
        <f ca="1"/>
        <v>#NAME?</v>
      </c>
      <c r="X103" t="e">
        <f ca="1"/>
        <v>#NAME?</v>
      </c>
      <c r="Y103" t="e">
        <f ca="1"/>
        <v>#NAME?</v>
      </c>
      <c r="Z103" t="e">
        <f ca="1"/>
        <v>#NAME?</v>
      </c>
      <c r="AA103" t="e">
        <f ca="1"/>
        <v>#NAME?</v>
      </c>
      <c r="AB103" t="e">
        <f ca="1"/>
        <v>#NAME?</v>
      </c>
    </row>
    <row r="104" spans="1:28" x14ac:dyDescent="0.2">
      <c r="A104" t="e">
        <f ca="1"/>
        <v>#NAME?</v>
      </c>
      <c r="B104" t="e">
        <f ca="1"/>
        <v>#NAME?</v>
      </c>
      <c r="C104" t="e">
        <f ca="1"/>
        <v>#NAME?</v>
      </c>
      <c r="D104" t="e">
        <f ca="1"/>
        <v>#NAME?</v>
      </c>
      <c r="E104" t="e">
        <f ca="1"/>
        <v>#NAME?</v>
      </c>
      <c r="F104" t="e">
        <f ca="1"/>
        <v>#NAME?</v>
      </c>
      <c r="G104" t="e">
        <f ca="1"/>
        <v>#NAME?</v>
      </c>
      <c r="H104" t="e">
        <f ca="1"/>
        <v>#NAME?</v>
      </c>
      <c r="I104" t="e">
        <f ca="1"/>
        <v>#NAME?</v>
      </c>
      <c r="J104" t="e">
        <f ca="1"/>
        <v>#NAME?</v>
      </c>
      <c r="K104" t="e">
        <f ca="1"/>
        <v>#NAME?</v>
      </c>
      <c r="L104" t="e">
        <f ca="1"/>
        <v>#NAME?</v>
      </c>
      <c r="M104" t="e">
        <f ca="1"/>
        <v>#NAME?</v>
      </c>
      <c r="N104" t="e">
        <f ca="1"/>
        <v>#NAME?</v>
      </c>
      <c r="O104" t="e">
        <f ca="1"/>
        <v>#NAME?</v>
      </c>
      <c r="P104" t="e">
        <f ca="1"/>
        <v>#NAME?</v>
      </c>
      <c r="Q104" t="e">
        <f ca="1"/>
        <v>#NAME?</v>
      </c>
      <c r="R104" t="e">
        <f ca="1"/>
        <v>#NAME?</v>
      </c>
      <c r="S104" t="e">
        <f ca="1"/>
        <v>#NAME?</v>
      </c>
      <c r="T104" t="e">
        <f ca="1"/>
        <v>#NAME?</v>
      </c>
      <c r="U104" t="e">
        <f ca="1"/>
        <v>#NAME?</v>
      </c>
      <c r="V104" s="5" t="e">
        <f ca="1"/>
        <v>#NAME?</v>
      </c>
      <c r="W104" t="e">
        <f ca="1"/>
        <v>#NAME?</v>
      </c>
      <c r="X104" t="e">
        <f ca="1"/>
        <v>#NAME?</v>
      </c>
      <c r="Y104" t="e">
        <f ca="1"/>
        <v>#NAME?</v>
      </c>
      <c r="Z104" t="e">
        <f ca="1"/>
        <v>#NAME?</v>
      </c>
      <c r="AA104" t="e">
        <f ca="1"/>
        <v>#NAME?</v>
      </c>
      <c r="AB104" t="e">
        <f ca="1"/>
        <v>#NAME?</v>
      </c>
    </row>
    <row r="105" spans="1:28" x14ac:dyDescent="0.2">
      <c r="A105" t="e">
        <f ca="1"/>
        <v>#NAME?</v>
      </c>
      <c r="B105" t="e">
        <f ca="1"/>
        <v>#NAME?</v>
      </c>
      <c r="C105" t="e">
        <f ca="1"/>
        <v>#NAME?</v>
      </c>
      <c r="D105" t="e">
        <f ca="1"/>
        <v>#NAME?</v>
      </c>
      <c r="E105" t="e">
        <f ca="1"/>
        <v>#NAME?</v>
      </c>
      <c r="F105" t="e">
        <f ca="1"/>
        <v>#NAME?</v>
      </c>
      <c r="G105" t="e">
        <f ca="1"/>
        <v>#NAME?</v>
      </c>
      <c r="H105" t="e">
        <f ca="1"/>
        <v>#NAME?</v>
      </c>
      <c r="I105" t="e">
        <f ca="1"/>
        <v>#NAME?</v>
      </c>
      <c r="J105" t="e">
        <f ca="1"/>
        <v>#NAME?</v>
      </c>
      <c r="K105" t="e">
        <f ca="1"/>
        <v>#NAME?</v>
      </c>
      <c r="L105" t="e">
        <f ca="1"/>
        <v>#NAME?</v>
      </c>
      <c r="M105" t="e">
        <f ca="1"/>
        <v>#NAME?</v>
      </c>
      <c r="N105" t="e">
        <f ca="1"/>
        <v>#NAME?</v>
      </c>
      <c r="O105" t="e">
        <f ca="1"/>
        <v>#NAME?</v>
      </c>
      <c r="P105" t="e">
        <f ca="1"/>
        <v>#NAME?</v>
      </c>
      <c r="Q105" t="e">
        <f ca="1"/>
        <v>#NAME?</v>
      </c>
      <c r="R105" t="e">
        <f ca="1"/>
        <v>#NAME?</v>
      </c>
      <c r="S105" t="e">
        <f ca="1"/>
        <v>#NAME?</v>
      </c>
      <c r="T105" t="e">
        <f ca="1"/>
        <v>#NAME?</v>
      </c>
      <c r="U105" t="e">
        <f ca="1"/>
        <v>#NAME?</v>
      </c>
      <c r="V105" s="5" t="e">
        <f ca="1"/>
        <v>#NAME?</v>
      </c>
      <c r="W105" t="e">
        <f ca="1"/>
        <v>#NAME?</v>
      </c>
      <c r="X105" t="e">
        <f ca="1"/>
        <v>#NAME?</v>
      </c>
      <c r="Y105" t="e">
        <f ca="1"/>
        <v>#NAME?</v>
      </c>
      <c r="Z105" t="e">
        <f ca="1"/>
        <v>#NAME?</v>
      </c>
      <c r="AA105" t="e">
        <f ca="1"/>
        <v>#NAME?</v>
      </c>
      <c r="AB105" t="e">
        <f ca="1"/>
        <v>#NAME?</v>
      </c>
    </row>
    <row r="106" spans="1:28" x14ac:dyDescent="0.2">
      <c r="A106" t="e">
        <f ca="1"/>
        <v>#NAME?</v>
      </c>
      <c r="B106" t="e">
        <f ca="1"/>
        <v>#NAME?</v>
      </c>
      <c r="C106" t="e">
        <f ca="1"/>
        <v>#NAME?</v>
      </c>
      <c r="D106" t="e">
        <f ca="1"/>
        <v>#NAME?</v>
      </c>
      <c r="E106" t="e">
        <f ca="1"/>
        <v>#NAME?</v>
      </c>
      <c r="F106" t="e">
        <f ca="1"/>
        <v>#NAME?</v>
      </c>
      <c r="G106" t="e">
        <f ca="1"/>
        <v>#NAME?</v>
      </c>
      <c r="H106" t="e">
        <f ca="1"/>
        <v>#NAME?</v>
      </c>
      <c r="I106" t="e">
        <f ca="1"/>
        <v>#NAME?</v>
      </c>
      <c r="J106" t="e">
        <f ca="1"/>
        <v>#NAME?</v>
      </c>
      <c r="K106" t="e">
        <f ca="1"/>
        <v>#NAME?</v>
      </c>
      <c r="L106" t="e">
        <f ca="1"/>
        <v>#NAME?</v>
      </c>
      <c r="M106" t="e">
        <f ca="1"/>
        <v>#NAME?</v>
      </c>
      <c r="N106" t="e">
        <f ca="1"/>
        <v>#NAME?</v>
      </c>
      <c r="O106" t="e">
        <f ca="1"/>
        <v>#NAME?</v>
      </c>
      <c r="P106" t="e">
        <f ca="1"/>
        <v>#NAME?</v>
      </c>
      <c r="Q106" t="e">
        <f ca="1"/>
        <v>#NAME?</v>
      </c>
      <c r="R106" t="e">
        <f ca="1"/>
        <v>#NAME?</v>
      </c>
      <c r="S106" t="e">
        <f ca="1"/>
        <v>#NAME?</v>
      </c>
      <c r="T106" t="e">
        <f ca="1"/>
        <v>#NAME?</v>
      </c>
      <c r="U106" t="e">
        <f ca="1"/>
        <v>#NAME?</v>
      </c>
      <c r="V106" s="5" t="e">
        <f ca="1"/>
        <v>#NAME?</v>
      </c>
      <c r="W106" t="e">
        <f ca="1"/>
        <v>#NAME?</v>
      </c>
      <c r="X106" t="e">
        <f ca="1"/>
        <v>#NAME?</v>
      </c>
      <c r="Y106" t="e">
        <f ca="1"/>
        <v>#NAME?</v>
      </c>
      <c r="Z106" t="e">
        <f ca="1"/>
        <v>#NAME?</v>
      </c>
      <c r="AA106" t="e">
        <f ca="1"/>
        <v>#NAME?</v>
      </c>
      <c r="AB106" t="e">
        <f ca="1"/>
        <v>#NAME?</v>
      </c>
    </row>
    <row r="107" spans="1:28" x14ac:dyDescent="0.2">
      <c r="A107" t="e">
        <f ca="1"/>
        <v>#NAME?</v>
      </c>
      <c r="B107" t="e">
        <f ca="1"/>
        <v>#NAME?</v>
      </c>
      <c r="C107" t="e">
        <f ca="1"/>
        <v>#NAME?</v>
      </c>
      <c r="D107" t="e">
        <f ca="1"/>
        <v>#NAME?</v>
      </c>
      <c r="E107" t="e">
        <f ca="1"/>
        <v>#NAME?</v>
      </c>
      <c r="F107" t="e">
        <f ca="1"/>
        <v>#NAME?</v>
      </c>
      <c r="G107" t="e">
        <f ca="1"/>
        <v>#NAME?</v>
      </c>
      <c r="H107" t="e">
        <f ca="1"/>
        <v>#NAME?</v>
      </c>
      <c r="I107" t="e">
        <f ca="1"/>
        <v>#NAME?</v>
      </c>
      <c r="J107" t="e">
        <f ca="1"/>
        <v>#NAME?</v>
      </c>
      <c r="K107" t="e">
        <f ca="1"/>
        <v>#NAME?</v>
      </c>
      <c r="L107" t="e">
        <f ca="1"/>
        <v>#NAME?</v>
      </c>
      <c r="M107" t="e">
        <f ca="1"/>
        <v>#NAME?</v>
      </c>
      <c r="N107" t="e">
        <f ca="1"/>
        <v>#NAME?</v>
      </c>
      <c r="O107" t="e">
        <f ca="1"/>
        <v>#NAME?</v>
      </c>
      <c r="P107" t="e">
        <f ca="1"/>
        <v>#NAME?</v>
      </c>
      <c r="Q107" t="e">
        <f ca="1"/>
        <v>#NAME?</v>
      </c>
      <c r="R107" t="e">
        <f ca="1"/>
        <v>#NAME?</v>
      </c>
      <c r="S107" t="e">
        <f ca="1"/>
        <v>#NAME?</v>
      </c>
      <c r="T107" t="e">
        <f ca="1"/>
        <v>#NAME?</v>
      </c>
      <c r="U107" t="e">
        <f ca="1"/>
        <v>#NAME?</v>
      </c>
      <c r="V107" s="5" t="e">
        <f ca="1"/>
        <v>#NAME?</v>
      </c>
      <c r="W107" t="e">
        <f ca="1"/>
        <v>#NAME?</v>
      </c>
      <c r="X107" t="e">
        <f ca="1"/>
        <v>#NAME?</v>
      </c>
      <c r="Y107" t="e">
        <f ca="1"/>
        <v>#NAME?</v>
      </c>
      <c r="Z107" t="e">
        <f ca="1"/>
        <v>#NAME?</v>
      </c>
      <c r="AA107" t="e">
        <f ca="1"/>
        <v>#NAME?</v>
      </c>
      <c r="AB107" t="e">
        <f ca="1"/>
        <v>#NAME?</v>
      </c>
    </row>
    <row r="108" spans="1:28" x14ac:dyDescent="0.2">
      <c r="A108" t="e">
        <f ca="1"/>
        <v>#NAME?</v>
      </c>
      <c r="B108" t="e">
        <f ca="1"/>
        <v>#NAME?</v>
      </c>
      <c r="C108" t="e">
        <f ca="1"/>
        <v>#NAME?</v>
      </c>
      <c r="D108" t="e">
        <f ca="1"/>
        <v>#NAME?</v>
      </c>
      <c r="E108" t="e">
        <f ca="1"/>
        <v>#NAME?</v>
      </c>
      <c r="F108" t="e">
        <f ca="1"/>
        <v>#NAME?</v>
      </c>
      <c r="G108" t="e">
        <f ca="1"/>
        <v>#NAME?</v>
      </c>
      <c r="H108" t="e">
        <f ca="1"/>
        <v>#NAME?</v>
      </c>
      <c r="I108" t="e">
        <f ca="1"/>
        <v>#NAME?</v>
      </c>
      <c r="J108" t="e">
        <f ca="1"/>
        <v>#NAME?</v>
      </c>
      <c r="K108" t="e">
        <f ca="1"/>
        <v>#NAME?</v>
      </c>
      <c r="L108" t="e">
        <f ca="1"/>
        <v>#NAME?</v>
      </c>
      <c r="M108" t="e">
        <f ca="1"/>
        <v>#NAME?</v>
      </c>
      <c r="N108" t="e">
        <f ca="1"/>
        <v>#NAME?</v>
      </c>
      <c r="O108" t="e">
        <f ca="1"/>
        <v>#NAME?</v>
      </c>
      <c r="P108" t="e">
        <f ca="1"/>
        <v>#NAME?</v>
      </c>
      <c r="Q108" t="e">
        <f ca="1"/>
        <v>#NAME?</v>
      </c>
      <c r="R108" t="e">
        <f ca="1"/>
        <v>#NAME?</v>
      </c>
      <c r="S108" t="e">
        <f ca="1"/>
        <v>#NAME?</v>
      </c>
      <c r="T108" t="e">
        <f ca="1"/>
        <v>#NAME?</v>
      </c>
      <c r="U108" t="e">
        <f ca="1"/>
        <v>#NAME?</v>
      </c>
      <c r="V108" s="5" t="e">
        <f ca="1"/>
        <v>#NAME?</v>
      </c>
      <c r="W108" t="e">
        <f ca="1"/>
        <v>#NAME?</v>
      </c>
      <c r="X108" t="e">
        <f ca="1"/>
        <v>#NAME?</v>
      </c>
      <c r="Y108" t="e">
        <f ca="1"/>
        <v>#NAME?</v>
      </c>
      <c r="Z108" t="e">
        <f ca="1"/>
        <v>#NAME?</v>
      </c>
      <c r="AA108" t="e">
        <f ca="1"/>
        <v>#NAME?</v>
      </c>
      <c r="AB108" t="e">
        <f ca="1"/>
        <v>#NAME?</v>
      </c>
    </row>
    <row r="109" spans="1:28" x14ac:dyDescent="0.2">
      <c r="A109" t="e">
        <f ca="1"/>
        <v>#NAME?</v>
      </c>
      <c r="B109" t="e">
        <f ca="1"/>
        <v>#NAME?</v>
      </c>
      <c r="C109" t="e">
        <f ca="1"/>
        <v>#NAME?</v>
      </c>
      <c r="D109" t="e">
        <f ca="1"/>
        <v>#NAME?</v>
      </c>
      <c r="E109" t="e">
        <f ca="1"/>
        <v>#NAME?</v>
      </c>
      <c r="F109" t="e">
        <f ca="1"/>
        <v>#NAME?</v>
      </c>
      <c r="G109" t="e">
        <f ca="1"/>
        <v>#NAME?</v>
      </c>
      <c r="H109" t="e">
        <f ca="1"/>
        <v>#NAME?</v>
      </c>
      <c r="I109" t="e">
        <f ca="1"/>
        <v>#NAME?</v>
      </c>
      <c r="J109" t="e">
        <f ca="1"/>
        <v>#NAME?</v>
      </c>
      <c r="K109" t="e">
        <f ca="1"/>
        <v>#NAME?</v>
      </c>
      <c r="L109" t="e">
        <f ca="1"/>
        <v>#NAME?</v>
      </c>
      <c r="M109" t="e">
        <f ca="1"/>
        <v>#NAME?</v>
      </c>
      <c r="N109" t="e">
        <f ca="1"/>
        <v>#NAME?</v>
      </c>
      <c r="O109" t="e">
        <f ca="1"/>
        <v>#NAME?</v>
      </c>
      <c r="P109" t="e">
        <f ca="1"/>
        <v>#NAME?</v>
      </c>
      <c r="Q109" t="e">
        <f ca="1"/>
        <v>#NAME?</v>
      </c>
      <c r="R109" t="e">
        <f ca="1"/>
        <v>#NAME?</v>
      </c>
      <c r="S109" t="e">
        <f ca="1"/>
        <v>#NAME?</v>
      </c>
      <c r="T109" t="e">
        <f ca="1"/>
        <v>#NAME?</v>
      </c>
      <c r="U109" t="e">
        <f ca="1"/>
        <v>#NAME?</v>
      </c>
      <c r="V109" s="5" t="e">
        <f ca="1"/>
        <v>#NAME?</v>
      </c>
      <c r="W109" t="e">
        <f ca="1"/>
        <v>#NAME?</v>
      </c>
      <c r="X109" t="e">
        <f ca="1"/>
        <v>#NAME?</v>
      </c>
      <c r="Y109" t="e">
        <f ca="1"/>
        <v>#NAME?</v>
      </c>
      <c r="Z109" t="e">
        <f ca="1"/>
        <v>#NAME?</v>
      </c>
      <c r="AA109" t="e">
        <f ca="1"/>
        <v>#NAME?</v>
      </c>
      <c r="AB109" t="e">
        <f ca="1"/>
        <v>#NAME?</v>
      </c>
    </row>
    <row r="110" spans="1:28" x14ac:dyDescent="0.2">
      <c r="A110" t="e">
        <f ca="1"/>
        <v>#NAME?</v>
      </c>
      <c r="B110" t="e">
        <f ca="1"/>
        <v>#NAME?</v>
      </c>
      <c r="C110" t="e">
        <f ca="1"/>
        <v>#NAME?</v>
      </c>
      <c r="D110" t="e">
        <f ca="1"/>
        <v>#NAME?</v>
      </c>
      <c r="E110" t="e">
        <f ca="1"/>
        <v>#NAME?</v>
      </c>
      <c r="F110" t="e">
        <f ca="1"/>
        <v>#NAME?</v>
      </c>
      <c r="G110" t="e">
        <f ca="1"/>
        <v>#NAME?</v>
      </c>
      <c r="H110" t="e">
        <f ca="1"/>
        <v>#NAME?</v>
      </c>
      <c r="I110" t="e">
        <f ca="1"/>
        <v>#NAME?</v>
      </c>
      <c r="J110" t="e">
        <f ca="1"/>
        <v>#NAME?</v>
      </c>
      <c r="K110" t="e">
        <f ca="1"/>
        <v>#NAME?</v>
      </c>
      <c r="L110" t="e">
        <f ca="1"/>
        <v>#NAME?</v>
      </c>
      <c r="M110" t="e">
        <f ca="1"/>
        <v>#NAME?</v>
      </c>
      <c r="N110" t="e">
        <f ca="1"/>
        <v>#NAME?</v>
      </c>
      <c r="O110" t="e">
        <f ca="1"/>
        <v>#NAME?</v>
      </c>
      <c r="P110" t="e">
        <f ca="1"/>
        <v>#NAME?</v>
      </c>
      <c r="Q110" t="e">
        <f ca="1"/>
        <v>#NAME?</v>
      </c>
      <c r="R110" t="e">
        <f ca="1"/>
        <v>#NAME?</v>
      </c>
      <c r="S110" t="e">
        <f ca="1"/>
        <v>#NAME?</v>
      </c>
      <c r="T110" t="e">
        <f ca="1"/>
        <v>#NAME?</v>
      </c>
      <c r="U110" t="e">
        <f ca="1"/>
        <v>#NAME?</v>
      </c>
      <c r="V110" s="5" t="e">
        <f ca="1"/>
        <v>#NAME?</v>
      </c>
      <c r="W110" t="e">
        <f ca="1"/>
        <v>#NAME?</v>
      </c>
      <c r="X110" t="e">
        <f ca="1"/>
        <v>#NAME?</v>
      </c>
      <c r="Y110" t="e">
        <f ca="1"/>
        <v>#NAME?</v>
      </c>
      <c r="Z110" t="e">
        <f ca="1"/>
        <v>#NAME?</v>
      </c>
      <c r="AA110" t="e">
        <f ca="1"/>
        <v>#NAME?</v>
      </c>
      <c r="AB110" t="e">
        <f ca="1"/>
        <v>#NAME?</v>
      </c>
    </row>
    <row r="111" spans="1:28" x14ac:dyDescent="0.2">
      <c r="A111" t="e">
        <f ca="1"/>
        <v>#NAME?</v>
      </c>
      <c r="B111" t="e">
        <f ca="1"/>
        <v>#NAME?</v>
      </c>
      <c r="C111" t="e">
        <f ca="1"/>
        <v>#NAME?</v>
      </c>
      <c r="D111" t="e">
        <f ca="1"/>
        <v>#NAME?</v>
      </c>
      <c r="E111" t="e">
        <f ca="1"/>
        <v>#NAME?</v>
      </c>
      <c r="F111" t="e">
        <f ca="1"/>
        <v>#NAME?</v>
      </c>
      <c r="G111" t="e">
        <f ca="1"/>
        <v>#NAME?</v>
      </c>
      <c r="H111" t="e">
        <f ca="1"/>
        <v>#NAME?</v>
      </c>
      <c r="I111" t="e">
        <f ca="1"/>
        <v>#NAME?</v>
      </c>
      <c r="J111" t="e">
        <f ca="1"/>
        <v>#NAME?</v>
      </c>
      <c r="K111" t="e">
        <f ca="1"/>
        <v>#NAME?</v>
      </c>
      <c r="L111" t="e">
        <f ca="1"/>
        <v>#NAME?</v>
      </c>
      <c r="M111" t="e">
        <f ca="1"/>
        <v>#NAME?</v>
      </c>
      <c r="N111" t="e">
        <f ca="1"/>
        <v>#NAME?</v>
      </c>
      <c r="O111" t="e">
        <f ca="1"/>
        <v>#NAME?</v>
      </c>
      <c r="P111" t="e">
        <f ca="1"/>
        <v>#NAME?</v>
      </c>
      <c r="Q111" t="e">
        <f ca="1"/>
        <v>#NAME?</v>
      </c>
      <c r="R111" t="e">
        <f ca="1"/>
        <v>#NAME?</v>
      </c>
      <c r="S111" t="e">
        <f ca="1"/>
        <v>#NAME?</v>
      </c>
      <c r="T111" t="e">
        <f ca="1"/>
        <v>#NAME?</v>
      </c>
      <c r="U111" t="e">
        <f ca="1"/>
        <v>#NAME?</v>
      </c>
      <c r="V111" s="5" t="e">
        <f ca="1"/>
        <v>#NAME?</v>
      </c>
      <c r="W111" t="e">
        <f ca="1"/>
        <v>#NAME?</v>
      </c>
      <c r="X111" t="e">
        <f ca="1"/>
        <v>#NAME?</v>
      </c>
      <c r="Y111" t="e">
        <f ca="1"/>
        <v>#NAME?</v>
      </c>
      <c r="Z111" t="e">
        <f ca="1"/>
        <v>#NAME?</v>
      </c>
      <c r="AA111" t="e">
        <f ca="1"/>
        <v>#NAME?</v>
      </c>
      <c r="AB111" t="e">
        <f ca="1"/>
        <v>#NAME?</v>
      </c>
    </row>
    <row r="112" spans="1:28" x14ac:dyDescent="0.2">
      <c r="A112" t="e">
        <f ca="1"/>
        <v>#NAME?</v>
      </c>
      <c r="B112" t="e">
        <f ca="1"/>
        <v>#NAME?</v>
      </c>
      <c r="C112" t="e">
        <f ca="1"/>
        <v>#NAME?</v>
      </c>
      <c r="D112" t="e">
        <f ca="1"/>
        <v>#NAME?</v>
      </c>
      <c r="E112" t="e">
        <f ca="1"/>
        <v>#NAME?</v>
      </c>
      <c r="F112" t="e">
        <f ca="1"/>
        <v>#NAME?</v>
      </c>
      <c r="G112" t="e">
        <f ca="1"/>
        <v>#NAME?</v>
      </c>
      <c r="H112" t="e">
        <f ca="1"/>
        <v>#NAME?</v>
      </c>
      <c r="I112" t="e">
        <f ca="1"/>
        <v>#NAME?</v>
      </c>
      <c r="J112" t="e">
        <f ca="1"/>
        <v>#NAME?</v>
      </c>
      <c r="K112" t="e">
        <f ca="1"/>
        <v>#NAME?</v>
      </c>
      <c r="L112" t="e">
        <f ca="1"/>
        <v>#NAME?</v>
      </c>
      <c r="M112" t="e">
        <f ca="1"/>
        <v>#NAME?</v>
      </c>
      <c r="N112" t="e">
        <f ca="1"/>
        <v>#NAME?</v>
      </c>
      <c r="O112" t="e">
        <f ca="1"/>
        <v>#NAME?</v>
      </c>
      <c r="P112" t="e">
        <f ca="1"/>
        <v>#NAME?</v>
      </c>
      <c r="Q112" t="e">
        <f ca="1"/>
        <v>#NAME?</v>
      </c>
      <c r="R112" t="e">
        <f ca="1"/>
        <v>#NAME?</v>
      </c>
      <c r="S112" t="e">
        <f ca="1"/>
        <v>#NAME?</v>
      </c>
      <c r="T112" t="e">
        <f ca="1"/>
        <v>#NAME?</v>
      </c>
      <c r="U112" t="e">
        <f ca="1"/>
        <v>#NAME?</v>
      </c>
      <c r="V112" s="5" t="e">
        <f ca="1"/>
        <v>#NAME?</v>
      </c>
      <c r="W112" t="e">
        <f ca="1"/>
        <v>#NAME?</v>
      </c>
      <c r="X112" t="e">
        <f ca="1"/>
        <v>#NAME?</v>
      </c>
      <c r="Y112" t="e">
        <f ca="1"/>
        <v>#NAME?</v>
      </c>
      <c r="Z112" t="e">
        <f ca="1"/>
        <v>#NAME?</v>
      </c>
      <c r="AA112" t="e">
        <f ca="1"/>
        <v>#NAME?</v>
      </c>
      <c r="AB112" t="e">
        <f ca="1"/>
        <v>#NAME?</v>
      </c>
    </row>
    <row r="113" spans="1:28" x14ac:dyDescent="0.2">
      <c r="A113" t="e">
        <f ca="1"/>
        <v>#NAME?</v>
      </c>
      <c r="B113" t="e">
        <f ca="1"/>
        <v>#NAME?</v>
      </c>
      <c r="C113" t="e">
        <f ca="1"/>
        <v>#NAME?</v>
      </c>
      <c r="D113" t="e">
        <f ca="1"/>
        <v>#NAME?</v>
      </c>
      <c r="E113" t="e">
        <f ca="1"/>
        <v>#NAME?</v>
      </c>
      <c r="F113" t="e">
        <f ca="1"/>
        <v>#NAME?</v>
      </c>
      <c r="G113" t="e">
        <f ca="1"/>
        <v>#NAME?</v>
      </c>
      <c r="H113" t="e">
        <f ca="1"/>
        <v>#NAME?</v>
      </c>
      <c r="I113" t="e">
        <f ca="1"/>
        <v>#NAME?</v>
      </c>
      <c r="J113" t="e">
        <f ca="1"/>
        <v>#NAME?</v>
      </c>
      <c r="K113" t="e">
        <f ca="1"/>
        <v>#NAME?</v>
      </c>
      <c r="L113" t="e">
        <f ca="1"/>
        <v>#NAME?</v>
      </c>
      <c r="M113" t="e">
        <f ca="1"/>
        <v>#NAME?</v>
      </c>
      <c r="N113" t="e">
        <f ca="1"/>
        <v>#NAME?</v>
      </c>
      <c r="O113" t="e">
        <f ca="1"/>
        <v>#NAME?</v>
      </c>
      <c r="P113" t="e">
        <f ca="1"/>
        <v>#NAME?</v>
      </c>
      <c r="Q113" t="e">
        <f ca="1"/>
        <v>#NAME?</v>
      </c>
      <c r="R113" t="e">
        <f ca="1"/>
        <v>#NAME?</v>
      </c>
      <c r="S113" t="e">
        <f ca="1"/>
        <v>#NAME?</v>
      </c>
      <c r="T113" t="e">
        <f ca="1"/>
        <v>#NAME?</v>
      </c>
      <c r="U113" t="e">
        <f ca="1"/>
        <v>#NAME?</v>
      </c>
      <c r="V113" s="5" t="e">
        <f ca="1"/>
        <v>#NAME?</v>
      </c>
      <c r="W113" t="e">
        <f ca="1"/>
        <v>#NAME?</v>
      </c>
      <c r="X113" t="e">
        <f ca="1"/>
        <v>#NAME?</v>
      </c>
      <c r="Y113" t="e">
        <f ca="1"/>
        <v>#NAME?</v>
      </c>
      <c r="Z113" t="e">
        <f ca="1"/>
        <v>#NAME?</v>
      </c>
      <c r="AA113" t="e">
        <f ca="1"/>
        <v>#NAME?</v>
      </c>
      <c r="AB113" t="e">
        <f ca="1"/>
        <v>#NAME?</v>
      </c>
    </row>
    <row r="114" spans="1:28" x14ac:dyDescent="0.2">
      <c r="A114" t="e">
        <f ca="1"/>
        <v>#NAME?</v>
      </c>
      <c r="B114" t="e">
        <f ca="1"/>
        <v>#NAME?</v>
      </c>
      <c r="C114" t="e">
        <f ca="1"/>
        <v>#NAME?</v>
      </c>
      <c r="D114" t="e">
        <f ca="1"/>
        <v>#NAME?</v>
      </c>
      <c r="E114" t="e">
        <f ca="1"/>
        <v>#NAME?</v>
      </c>
      <c r="F114" t="e">
        <f ca="1"/>
        <v>#NAME?</v>
      </c>
      <c r="G114" t="e">
        <f ca="1"/>
        <v>#NAME?</v>
      </c>
      <c r="H114" t="e">
        <f ca="1"/>
        <v>#NAME?</v>
      </c>
      <c r="I114" t="e">
        <f ca="1"/>
        <v>#NAME?</v>
      </c>
      <c r="J114" t="e">
        <f ca="1"/>
        <v>#NAME?</v>
      </c>
      <c r="K114" t="e">
        <f ca="1"/>
        <v>#NAME?</v>
      </c>
      <c r="L114" t="e">
        <f ca="1"/>
        <v>#NAME?</v>
      </c>
      <c r="M114" t="e">
        <f ca="1"/>
        <v>#NAME?</v>
      </c>
      <c r="N114" t="e">
        <f ca="1"/>
        <v>#NAME?</v>
      </c>
      <c r="O114" t="e">
        <f ca="1"/>
        <v>#NAME?</v>
      </c>
      <c r="P114" t="e">
        <f ca="1"/>
        <v>#NAME?</v>
      </c>
      <c r="Q114" t="e">
        <f ca="1"/>
        <v>#NAME?</v>
      </c>
      <c r="R114" t="e">
        <f ca="1"/>
        <v>#NAME?</v>
      </c>
      <c r="S114" t="e">
        <f ca="1"/>
        <v>#NAME?</v>
      </c>
      <c r="T114" t="e">
        <f ca="1"/>
        <v>#NAME?</v>
      </c>
      <c r="U114" t="e">
        <f ca="1"/>
        <v>#NAME?</v>
      </c>
      <c r="V114" s="5" t="e">
        <f ca="1"/>
        <v>#NAME?</v>
      </c>
      <c r="W114" t="e">
        <f ca="1"/>
        <v>#NAME?</v>
      </c>
      <c r="X114" t="e">
        <f ca="1"/>
        <v>#NAME?</v>
      </c>
      <c r="Y114" t="e">
        <f ca="1"/>
        <v>#NAME?</v>
      </c>
      <c r="Z114" t="e">
        <f ca="1"/>
        <v>#NAME?</v>
      </c>
      <c r="AA114" t="e">
        <f ca="1"/>
        <v>#NAME?</v>
      </c>
      <c r="AB114" t="e">
        <f ca="1"/>
        <v>#NAME?</v>
      </c>
    </row>
    <row r="115" spans="1:28" x14ac:dyDescent="0.2">
      <c r="A115" t="e">
        <f ca="1"/>
        <v>#NAME?</v>
      </c>
      <c r="B115" t="e">
        <f ca="1"/>
        <v>#NAME?</v>
      </c>
      <c r="C115" t="e">
        <f ca="1"/>
        <v>#NAME?</v>
      </c>
      <c r="D115" t="e">
        <f ca="1"/>
        <v>#NAME?</v>
      </c>
      <c r="E115" t="e">
        <f ca="1"/>
        <v>#NAME?</v>
      </c>
      <c r="F115" t="e">
        <f ca="1"/>
        <v>#NAME?</v>
      </c>
      <c r="G115" t="e">
        <f ca="1"/>
        <v>#NAME?</v>
      </c>
      <c r="H115" t="e">
        <f ca="1"/>
        <v>#NAME?</v>
      </c>
      <c r="I115" t="e">
        <f ca="1"/>
        <v>#NAME?</v>
      </c>
      <c r="J115" t="e">
        <f ca="1"/>
        <v>#NAME?</v>
      </c>
      <c r="K115" t="e">
        <f ca="1"/>
        <v>#NAME?</v>
      </c>
      <c r="L115" t="e">
        <f ca="1"/>
        <v>#NAME?</v>
      </c>
      <c r="M115" t="e">
        <f ca="1"/>
        <v>#NAME?</v>
      </c>
      <c r="N115" t="e">
        <f ca="1"/>
        <v>#NAME?</v>
      </c>
      <c r="O115" t="e">
        <f ca="1"/>
        <v>#NAME?</v>
      </c>
      <c r="P115" t="e">
        <f ca="1"/>
        <v>#NAME?</v>
      </c>
      <c r="Q115" t="e">
        <f ca="1"/>
        <v>#NAME?</v>
      </c>
      <c r="R115" t="e">
        <f ca="1"/>
        <v>#NAME?</v>
      </c>
      <c r="S115" t="e">
        <f ca="1"/>
        <v>#NAME?</v>
      </c>
      <c r="T115" t="e">
        <f ca="1"/>
        <v>#NAME?</v>
      </c>
      <c r="U115" t="e">
        <f ca="1"/>
        <v>#NAME?</v>
      </c>
      <c r="V115" s="5" t="e">
        <f ca="1"/>
        <v>#NAME?</v>
      </c>
      <c r="W115" t="e">
        <f ca="1"/>
        <v>#NAME?</v>
      </c>
      <c r="X115" t="e">
        <f ca="1"/>
        <v>#NAME?</v>
      </c>
      <c r="Y115" t="e">
        <f ca="1"/>
        <v>#NAME?</v>
      </c>
      <c r="Z115" t="e">
        <f ca="1"/>
        <v>#NAME?</v>
      </c>
      <c r="AA115" t="e">
        <f ca="1"/>
        <v>#NAME?</v>
      </c>
      <c r="AB115" t="e">
        <f ca="1"/>
        <v>#NAME?</v>
      </c>
    </row>
    <row r="116" spans="1:28" x14ac:dyDescent="0.2">
      <c r="A116" t="e">
        <f ca="1"/>
        <v>#NAME?</v>
      </c>
      <c r="B116" t="e">
        <f ca="1"/>
        <v>#NAME?</v>
      </c>
      <c r="C116" t="e">
        <f ca="1"/>
        <v>#NAME?</v>
      </c>
      <c r="D116" t="e">
        <f ca="1"/>
        <v>#NAME?</v>
      </c>
      <c r="E116" t="e">
        <f ca="1"/>
        <v>#NAME?</v>
      </c>
      <c r="F116" t="e">
        <f ca="1"/>
        <v>#NAME?</v>
      </c>
      <c r="G116" t="e">
        <f ca="1"/>
        <v>#NAME?</v>
      </c>
      <c r="H116" t="e">
        <f ca="1"/>
        <v>#NAME?</v>
      </c>
      <c r="I116" t="e">
        <f ca="1"/>
        <v>#NAME?</v>
      </c>
      <c r="J116" t="e">
        <f ca="1"/>
        <v>#NAME?</v>
      </c>
      <c r="K116" t="e">
        <f ca="1"/>
        <v>#NAME?</v>
      </c>
      <c r="L116" t="e">
        <f ca="1"/>
        <v>#NAME?</v>
      </c>
      <c r="M116" t="e">
        <f ca="1"/>
        <v>#NAME?</v>
      </c>
      <c r="N116" t="e">
        <f ca="1"/>
        <v>#NAME?</v>
      </c>
      <c r="O116" t="e">
        <f ca="1"/>
        <v>#NAME?</v>
      </c>
      <c r="P116" t="e">
        <f ca="1"/>
        <v>#NAME?</v>
      </c>
      <c r="Q116" t="e">
        <f ca="1"/>
        <v>#NAME?</v>
      </c>
      <c r="R116" t="e">
        <f ca="1"/>
        <v>#NAME?</v>
      </c>
      <c r="S116" t="e">
        <f ca="1"/>
        <v>#NAME?</v>
      </c>
      <c r="T116" t="e">
        <f ca="1"/>
        <v>#NAME?</v>
      </c>
      <c r="U116" t="e">
        <f ca="1"/>
        <v>#NAME?</v>
      </c>
      <c r="V116" s="5" t="e">
        <f ca="1"/>
        <v>#NAME?</v>
      </c>
      <c r="W116" t="e">
        <f ca="1"/>
        <v>#NAME?</v>
      </c>
      <c r="X116" t="e">
        <f ca="1"/>
        <v>#NAME?</v>
      </c>
      <c r="Y116" t="e">
        <f ca="1"/>
        <v>#NAME?</v>
      </c>
      <c r="Z116" t="e">
        <f ca="1"/>
        <v>#NAME?</v>
      </c>
      <c r="AA116" t="e">
        <f ca="1"/>
        <v>#NAME?</v>
      </c>
      <c r="AB116" t="e">
        <f ca="1"/>
        <v>#NAME?</v>
      </c>
    </row>
    <row r="117" spans="1:28" x14ac:dyDescent="0.2">
      <c r="A117" t="e">
        <f ca="1"/>
        <v>#NAME?</v>
      </c>
      <c r="B117" t="e">
        <f ca="1"/>
        <v>#NAME?</v>
      </c>
      <c r="C117" t="e">
        <f ca="1"/>
        <v>#NAME?</v>
      </c>
      <c r="D117" t="e">
        <f ca="1"/>
        <v>#NAME?</v>
      </c>
      <c r="E117" t="e">
        <f ca="1"/>
        <v>#NAME?</v>
      </c>
      <c r="F117" t="e">
        <f ca="1"/>
        <v>#NAME?</v>
      </c>
      <c r="G117" t="e">
        <f ca="1"/>
        <v>#NAME?</v>
      </c>
      <c r="H117" t="e">
        <f ca="1"/>
        <v>#NAME?</v>
      </c>
      <c r="I117" t="e">
        <f ca="1"/>
        <v>#NAME?</v>
      </c>
      <c r="J117" t="e">
        <f ca="1"/>
        <v>#NAME?</v>
      </c>
      <c r="K117" t="e">
        <f ca="1"/>
        <v>#NAME?</v>
      </c>
      <c r="L117" t="e">
        <f ca="1"/>
        <v>#NAME?</v>
      </c>
      <c r="M117" t="e">
        <f ca="1"/>
        <v>#NAME?</v>
      </c>
      <c r="N117" t="e">
        <f ca="1"/>
        <v>#NAME?</v>
      </c>
      <c r="O117" t="e">
        <f ca="1"/>
        <v>#NAME?</v>
      </c>
      <c r="P117" t="e">
        <f ca="1"/>
        <v>#NAME?</v>
      </c>
      <c r="Q117" t="e">
        <f ca="1"/>
        <v>#NAME?</v>
      </c>
      <c r="R117" t="e">
        <f ca="1"/>
        <v>#NAME?</v>
      </c>
      <c r="S117" t="e">
        <f ca="1"/>
        <v>#NAME?</v>
      </c>
      <c r="T117" t="e">
        <f ca="1"/>
        <v>#NAME?</v>
      </c>
      <c r="U117" t="e">
        <f ca="1"/>
        <v>#NAME?</v>
      </c>
      <c r="V117" s="5" t="e">
        <f ca="1"/>
        <v>#NAME?</v>
      </c>
      <c r="W117" t="e">
        <f ca="1"/>
        <v>#NAME?</v>
      </c>
      <c r="X117" t="e">
        <f ca="1"/>
        <v>#NAME?</v>
      </c>
      <c r="Y117" t="e">
        <f ca="1"/>
        <v>#NAME?</v>
      </c>
      <c r="Z117" t="e">
        <f ca="1"/>
        <v>#NAME?</v>
      </c>
      <c r="AA117" t="e">
        <f ca="1"/>
        <v>#NAME?</v>
      </c>
      <c r="AB117" t="e">
        <f ca="1"/>
        <v>#NAME?</v>
      </c>
    </row>
    <row r="118" spans="1:28" x14ac:dyDescent="0.2">
      <c r="A118" t="e">
        <f ca="1"/>
        <v>#NAME?</v>
      </c>
      <c r="B118" t="e">
        <f ca="1"/>
        <v>#NAME?</v>
      </c>
      <c r="C118" t="e">
        <f ca="1"/>
        <v>#NAME?</v>
      </c>
      <c r="D118" t="e">
        <f ca="1"/>
        <v>#NAME?</v>
      </c>
      <c r="E118" t="e">
        <f ca="1"/>
        <v>#NAME?</v>
      </c>
      <c r="F118" t="e">
        <f ca="1"/>
        <v>#NAME?</v>
      </c>
      <c r="G118" t="e">
        <f ca="1"/>
        <v>#NAME?</v>
      </c>
      <c r="H118" t="e">
        <f ca="1"/>
        <v>#NAME?</v>
      </c>
      <c r="I118" t="e">
        <f ca="1"/>
        <v>#NAME?</v>
      </c>
      <c r="J118" t="e">
        <f ca="1"/>
        <v>#NAME?</v>
      </c>
      <c r="K118" t="e">
        <f ca="1"/>
        <v>#NAME?</v>
      </c>
      <c r="L118" t="e">
        <f ca="1"/>
        <v>#NAME?</v>
      </c>
      <c r="M118" t="e">
        <f ca="1"/>
        <v>#NAME?</v>
      </c>
      <c r="N118" t="e">
        <f ca="1"/>
        <v>#NAME?</v>
      </c>
      <c r="O118" t="e">
        <f ca="1"/>
        <v>#NAME?</v>
      </c>
      <c r="P118" t="e">
        <f ca="1"/>
        <v>#NAME?</v>
      </c>
      <c r="Q118" t="e">
        <f ca="1"/>
        <v>#NAME?</v>
      </c>
      <c r="R118" t="e">
        <f ca="1"/>
        <v>#NAME?</v>
      </c>
      <c r="S118" t="e">
        <f ca="1"/>
        <v>#NAME?</v>
      </c>
      <c r="T118" t="e">
        <f ca="1"/>
        <v>#NAME?</v>
      </c>
      <c r="U118" t="e">
        <f ca="1"/>
        <v>#NAME?</v>
      </c>
      <c r="V118" s="5" t="e">
        <f ca="1"/>
        <v>#NAME?</v>
      </c>
      <c r="W118" t="e">
        <f ca="1"/>
        <v>#NAME?</v>
      </c>
      <c r="X118" t="e">
        <f ca="1"/>
        <v>#NAME?</v>
      </c>
      <c r="Y118" t="e">
        <f ca="1"/>
        <v>#NAME?</v>
      </c>
      <c r="Z118" t="e">
        <f ca="1"/>
        <v>#NAME?</v>
      </c>
      <c r="AA118" t="e">
        <f ca="1"/>
        <v>#NAME?</v>
      </c>
      <c r="AB118" t="e">
        <f ca="1"/>
        <v>#NAME?</v>
      </c>
    </row>
    <row r="119" spans="1:28" x14ac:dyDescent="0.2">
      <c r="A119" t="e">
        <f ca="1"/>
        <v>#NAME?</v>
      </c>
      <c r="B119" t="e">
        <f ca="1"/>
        <v>#NAME?</v>
      </c>
      <c r="C119" t="e">
        <f ca="1"/>
        <v>#NAME?</v>
      </c>
      <c r="D119" t="e">
        <f ca="1"/>
        <v>#NAME?</v>
      </c>
      <c r="E119" t="e">
        <f ca="1"/>
        <v>#NAME?</v>
      </c>
      <c r="F119" t="e">
        <f ca="1"/>
        <v>#NAME?</v>
      </c>
      <c r="G119" t="e">
        <f ca="1"/>
        <v>#NAME?</v>
      </c>
      <c r="H119" t="e">
        <f ca="1"/>
        <v>#NAME?</v>
      </c>
      <c r="I119" t="e">
        <f ca="1"/>
        <v>#NAME?</v>
      </c>
      <c r="J119" t="e">
        <f ca="1"/>
        <v>#NAME?</v>
      </c>
      <c r="K119" t="e">
        <f ca="1"/>
        <v>#NAME?</v>
      </c>
      <c r="L119" t="e">
        <f ca="1"/>
        <v>#NAME?</v>
      </c>
      <c r="M119" t="e">
        <f ca="1"/>
        <v>#NAME?</v>
      </c>
      <c r="N119" t="e">
        <f ca="1"/>
        <v>#NAME?</v>
      </c>
      <c r="O119" t="e">
        <f ca="1"/>
        <v>#NAME?</v>
      </c>
      <c r="P119" t="e">
        <f ca="1"/>
        <v>#NAME?</v>
      </c>
      <c r="Q119" t="e">
        <f ca="1"/>
        <v>#NAME?</v>
      </c>
      <c r="R119" t="e">
        <f ca="1"/>
        <v>#NAME?</v>
      </c>
      <c r="S119" t="e">
        <f ca="1"/>
        <v>#NAME?</v>
      </c>
      <c r="T119" t="e">
        <f ca="1"/>
        <v>#NAME?</v>
      </c>
      <c r="U119" t="e">
        <f ca="1"/>
        <v>#NAME?</v>
      </c>
      <c r="V119" s="5" t="e">
        <f ca="1"/>
        <v>#NAME?</v>
      </c>
      <c r="W119" t="e">
        <f ca="1"/>
        <v>#NAME?</v>
      </c>
      <c r="X119" t="e">
        <f ca="1"/>
        <v>#NAME?</v>
      </c>
      <c r="Y119" t="e">
        <f ca="1"/>
        <v>#NAME?</v>
      </c>
      <c r="Z119" t="e">
        <f ca="1"/>
        <v>#NAME?</v>
      </c>
      <c r="AA119" t="e">
        <f ca="1"/>
        <v>#NAME?</v>
      </c>
      <c r="AB119" t="e">
        <f ca="1"/>
        <v>#NAME?</v>
      </c>
    </row>
    <row r="120" spans="1:28" x14ac:dyDescent="0.2">
      <c r="A120" t="e">
        <f ca="1"/>
        <v>#NAME?</v>
      </c>
      <c r="B120" t="e">
        <f ca="1"/>
        <v>#NAME?</v>
      </c>
      <c r="C120" t="e">
        <f ca="1"/>
        <v>#NAME?</v>
      </c>
      <c r="D120" t="e">
        <f ca="1"/>
        <v>#NAME?</v>
      </c>
      <c r="E120" t="e">
        <f ca="1"/>
        <v>#NAME?</v>
      </c>
      <c r="F120" t="e">
        <f ca="1"/>
        <v>#NAME?</v>
      </c>
      <c r="G120" t="e">
        <f ca="1"/>
        <v>#NAME?</v>
      </c>
      <c r="H120" t="e">
        <f ca="1"/>
        <v>#NAME?</v>
      </c>
      <c r="I120" t="e">
        <f ca="1"/>
        <v>#NAME?</v>
      </c>
      <c r="J120" t="e">
        <f ca="1"/>
        <v>#NAME?</v>
      </c>
      <c r="K120" t="e">
        <f ca="1"/>
        <v>#NAME?</v>
      </c>
      <c r="L120" t="e">
        <f ca="1"/>
        <v>#NAME?</v>
      </c>
      <c r="M120" t="e">
        <f ca="1"/>
        <v>#NAME?</v>
      </c>
      <c r="N120" t="e">
        <f ca="1"/>
        <v>#NAME?</v>
      </c>
      <c r="O120" t="e">
        <f ca="1"/>
        <v>#NAME?</v>
      </c>
      <c r="P120" t="e">
        <f ca="1"/>
        <v>#NAME?</v>
      </c>
      <c r="Q120" t="e">
        <f ca="1"/>
        <v>#NAME?</v>
      </c>
      <c r="R120" t="e">
        <f ca="1"/>
        <v>#NAME?</v>
      </c>
      <c r="S120" t="e">
        <f ca="1"/>
        <v>#NAME?</v>
      </c>
      <c r="T120" t="e">
        <f ca="1"/>
        <v>#NAME?</v>
      </c>
      <c r="U120" t="e">
        <f ca="1"/>
        <v>#NAME?</v>
      </c>
      <c r="V120" s="5" t="e">
        <f ca="1"/>
        <v>#NAME?</v>
      </c>
      <c r="W120" t="e">
        <f ca="1"/>
        <v>#NAME?</v>
      </c>
      <c r="X120" t="e">
        <f ca="1"/>
        <v>#NAME?</v>
      </c>
      <c r="Y120" t="e">
        <f ca="1"/>
        <v>#NAME?</v>
      </c>
      <c r="Z120" t="e">
        <f ca="1"/>
        <v>#NAME?</v>
      </c>
      <c r="AA120" t="e">
        <f ca="1"/>
        <v>#NAME?</v>
      </c>
      <c r="AB120" t="e">
        <f ca="1"/>
        <v>#NAME?</v>
      </c>
    </row>
    <row r="121" spans="1:28" x14ac:dyDescent="0.2">
      <c r="A121" t="e">
        <f ca="1"/>
        <v>#NAME?</v>
      </c>
      <c r="B121" t="e">
        <f ca="1"/>
        <v>#NAME?</v>
      </c>
      <c r="C121" t="e">
        <f ca="1"/>
        <v>#NAME?</v>
      </c>
      <c r="D121" t="e">
        <f ca="1"/>
        <v>#NAME?</v>
      </c>
      <c r="E121" t="e">
        <f ca="1"/>
        <v>#NAME?</v>
      </c>
      <c r="F121" t="e">
        <f ca="1"/>
        <v>#NAME?</v>
      </c>
      <c r="G121" t="e">
        <f ca="1"/>
        <v>#NAME?</v>
      </c>
      <c r="H121" t="e">
        <f ca="1"/>
        <v>#NAME?</v>
      </c>
      <c r="I121" t="e">
        <f ca="1"/>
        <v>#NAME?</v>
      </c>
      <c r="J121" t="e">
        <f ca="1"/>
        <v>#NAME?</v>
      </c>
      <c r="K121" t="e">
        <f ca="1"/>
        <v>#NAME?</v>
      </c>
      <c r="L121" t="e">
        <f ca="1"/>
        <v>#NAME?</v>
      </c>
      <c r="M121" t="e">
        <f ca="1"/>
        <v>#NAME?</v>
      </c>
      <c r="N121" t="e">
        <f ca="1"/>
        <v>#NAME?</v>
      </c>
      <c r="O121" t="e">
        <f ca="1"/>
        <v>#NAME?</v>
      </c>
      <c r="P121" t="e">
        <f ca="1"/>
        <v>#NAME?</v>
      </c>
      <c r="Q121" t="e">
        <f ca="1"/>
        <v>#NAME?</v>
      </c>
      <c r="R121" t="e">
        <f ca="1"/>
        <v>#NAME?</v>
      </c>
      <c r="S121" t="e">
        <f ca="1"/>
        <v>#NAME?</v>
      </c>
      <c r="T121" t="e">
        <f ca="1"/>
        <v>#NAME?</v>
      </c>
      <c r="U121" t="e">
        <f ca="1"/>
        <v>#NAME?</v>
      </c>
      <c r="V121" s="5" t="e">
        <f ca="1"/>
        <v>#NAME?</v>
      </c>
      <c r="W121" t="e">
        <f ca="1"/>
        <v>#NAME?</v>
      </c>
      <c r="X121" t="e">
        <f ca="1"/>
        <v>#NAME?</v>
      </c>
      <c r="Y121" t="e">
        <f ca="1"/>
        <v>#NAME?</v>
      </c>
      <c r="Z121" t="e">
        <f ca="1"/>
        <v>#NAME?</v>
      </c>
      <c r="AA121" t="e">
        <f ca="1"/>
        <v>#NAME?</v>
      </c>
      <c r="AB121" t="e">
        <f ca="1"/>
        <v>#NAME?</v>
      </c>
    </row>
    <row r="122" spans="1:28" x14ac:dyDescent="0.2">
      <c r="A122" t="e">
        <f ca="1"/>
        <v>#NAME?</v>
      </c>
      <c r="B122" t="e">
        <f ca="1"/>
        <v>#NAME?</v>
      </c>
      <c r="C122" t="e">
        <f ca="1"/>
        <v>#NAME?</v>
      </c>
      <c r="D122" t="e">
        <f ca="1"/>
        <v>#NAME?</v>
      </c>
      <c r="E122" t="e">
        <f ca="1"/>
        <v>#NAME?</v>
      </c>
      <c r="F122" t="e">
        <f ca="1"/>
        <v>#NAME?</v>
      </c>
      <c r="G122" t="e">
        <f ca="1"/>
        <v>#NAME?</v>
      </c>
      <c r="H122" t="e">
        <f ca="1"/>
        <v>#NAME?</v>
      </c>
      <c r="I122" t="e">
        <f ca="1"/>
        <v>#NAME?</v>
      </c>
      <c r="J122" t="e">
        <f ca="1"/>
        <v>#NAME?</v>
      </c>
      <c r="K122" t="e">
        <f ca="1"/>
        <v>#NAME?</v>
      </c>
      <c r="L122" t="e">
        <f ca="1"/>
        <v>#NAME?</v>
      </c>
      <c r="M122" t="e">
        <f ca="1"/>
        <v>#NAME?</v>
      </c>
      <c r="N122" t="e">
        <f ca="1"/>
        <v>#NAME?</v>
      </c>
      <c r="O122" t="e">
        <f ca="1"/>
        <v>#NAME?</v>
      </c>
      <c r="P122" t="e">
        <f ca="1"/>
        <v>#NAME?</v>
      </c>
      <c r="Q122" t="e">
        <f ca="1"/>
        <v>#NAME?</v>
      </c>
      <c r="R122" t="e">
        <f ca="1"/>
        <v>#NAME?</v>
      </c>
      <c r="S122" t="e">
        <f ca="1"/>
        <v>#NAME?</v>
      </c>
      <c r="T122" t="e">
        <f ca="1"/>
        <v>#NAME?</v>
      </c>
      <c r="U122" t="e">
        <f ca="1"/>
        <v>#NAME?</v>
      </c>
      <c r="V122" s="5" t="e">
        <f ca="1"/>
        <v>#NAME?</v>
      </c>
      <c r="W122" t="e">
        <f ca="1"/>
        <v>#NAME?</v>
      </c>
      <c r="X122" t="e">
        <f ca="1"/>
        <v>#NAME?</v>
      </c>
      <c r="Y122" t="e">
        <f ca="1"/>
        <v>#NAME?</v>
      </c>
      <c r="Z122" t="e">
        <f ca="1"/>
        <v>#NAME?</v>
      </c>
      <c r="AA122" t="e">
        <f ca="1"/>
        <v>#NAME?</v>
      </c>
      <c r="AB122" t="e">
        <f ca="1"/>
        <v>#NAME?</v>
      </c>
    </row>
    <row r="123" spans="1:28" x14ac:dyDescent="0.2">
      <c r="A123" t="e">
        <f ca="1"/>
        <v>#NAME?</v>
      </c>
      <c r="B123" t="e">
        <f ca="1"/>
        <v>#NAME?</v>
      </c>
      <c r="C123" t="e">
        <f ca="1"/>
        <v>#NAME?</v>
      </c>
      <c r="D123" t="e">
        <f ca="1"/>
        <v>#NAME?</v>
      </c>
      <c r="E123" t="e">
        <f ca="1"/>
        <v>#NAME?</v>
      </c>
      <c r="F123" t="e">
        <f ca="1"/>
        <v>#NAME?</v>
      </c>
      <c r="G123" t="e">
        <f ca="1"/>
        <v>#NAME?</v>
      </c>
      <c r="H123" t="e">
        <f ca="1"/>
        <v>#NAME?</v>
      </c>
      <c r="I123" t="e">
        <f ca="1"/>
        <v>#NAME?</v>
      </c>
      <c r="J123" t="e">
        <f ca="1"/>
        <v>#NAME?</v>
      </c>
      <c r="K123" t="e">
        <f ca="1"/>
        <v>#NAME?</v>
      </c>
      <c r="L123" t="e">
        <f ca="1"/>
        <v>#NAME?</v>
      </c>
      <c r="M123" t="e">
        <f ca="1"/>
        <v>#NAME?</v>
      </c>
      <c r="N123" t="e">
        <f ca="1"/>
        <v>#NAME?</v>
      </c>
      <c r="O123" t="e">
        <f ca="1"/>
        <v>#NAME?</v>
      </c>
      <c r="P123" t="e">
        <f ca="1"/>
        <v>#NAME?</v>
      </c>
      <c r="Q123" t="e">
        <f ca="1"/>
        <v>#NAME?</v>
      </c>
      <c r="R123" t="e">
        <f ca="1"/>
        <v>#NAME?</v>
      </c>
      <c r="S123" t="e">
        <f ca="1"/>
        <v>#NAME?</v>
      </c>
      <c r="T123" t="e">
        <f ca="1"/>
        <v>#NAME?</v>
      </c>
      <c r="U123" t="e">
        <f ca="1"/>
        <v>#NAME?</v>
      </c>
      <c r="V123" s="5" t="e">
        <f ca="1"/>
        <v>#NAME?</v>
      </c>
      <c r="W123" t="e">
        <f ca="1"/>
        <v>#NAME?</v>
      </c>
      <c r="X123" t="e">
        <f ca="1"/>
        <v>#NAME?</v>
      </c>
      <c r="Y123" t="e">
        <f ca="1"/>
        <v>#NAME?</v>
      </c>
      <c r="Z123" t="e">
        <f ca="1"/>
        <v>#NAME?</v>
      </c>
      <c r="AA123" t="e">
        <f ca="1"/>
        <v>#NAME?</v>
      </c>
      <c r="AB123" t="e">
        <f ca="1"/>
        <v>#NAME?</v>
      </c>
    </row>
    <row r="124" spans="1:28" x14ac:dyDescent="0.2">
      <c r="A124" t="e">
        <f ca="1"/>
        <v>#NAME?</v>
      </c>
      <c r="B124" t="e">
        <f ca="1"/>
        <v>#NAME?</v>
      </c>
      <c r="C124" t="e">
        <f ca="1"/>
        <v>#NAME?</v>
      </c>
      <c r="D124" t="e">
        <f ca="1"/>
        <v>#NAME?</v>
      </c>
      <c r="E124" t="e">
        <f ca="1"/>
        <v>#NAME?</v>
      </c>
      <c r="F124" t="e">
        <f ca="1"/>
        <v>#NAME?</v>
      </c>
      <c r="G124" t="e">
        <f ca="1"/>
        <v>#NAME?</v>
      </c>
      <c r="H124" t="e">
        <f ca="1"/>
        <v>#NAME?</v>
      </c>
      <c r="I124" t="e">
        <f ca="1"/>
        <v>#NAME?</v>
      </c>
      <c r="J124" t="e">
        <f ca="1"/>
        <v>#NAME?</v>
      </c>
      <c r="K124" t="e">
        <f ca="1"/>
        <v>#NAME?</v>
      </c>
      <c r="L124" t="e">
        <f ca="1"/>
        <v>#NAME?</v>
      </c>
      <c r="M124" t="e">
        <f ca="1"/>
        <v>#NAME?</v>
      </c>
      <c r="N124" t="e">
        <f ca="1"/>
        <v>#NAME?</v>
      </c>
      <c r="O124" t="e">
        <f ca="1"/>
        <v>#NAME?</v>
      </c>
      <c r="P124" t="e">
        <f ca="1"/>
        <v>#NAME?</v>
      </c>
      <c r="Q124" t="e">
        <f ca="1"/>
        <v>#NAME?</v>
      </c>
      <c r="R124" t="e">
        <f ca="1"/>
        <v>#NAME?</v>
      </c>
      <c r="S124" t="e">
        <f ca="1"/>
        <v>#NAME?</v>
      </c>
      <c r="T124" t="e">
        <f ca="1"/>
        <v>#NAME?</v>
      </c>
      <c r="U124" t="e">
        <f ca="1"/>
        <v>#NAME?</v>
      </c>
      <c r="V124" s="5" t="e">
        <f ca="1"/>
        <v>#NAME?</v>
      </c>
      <c r="W124" t="e">
        <f ca="1"/>
        <v>#NAME?</v>
      </c>
      <c r="X124" t="e">
        <f ca="1"/>
        <v>#NAME?</v>
      </c>
      <c r="Y124" t="e">
        <f ca="1"/>
        <v>#NAME?</v>
      </c>
      <c r="Z124" t="e">
        <f ca="1"/>
        <v>#NAME?</v>
      </c>
      <c r="AA124" t="e">
        <f ca="1"/>
        <v>#NAME?</v>
      </c>
      <c r="AB124" t="e">
        <f ca="1"/>
        <v>#NAME?</v>
      </c>
    </row>
    <row r="125" spans="1:28" x14ac:dyDescent="0.2">
      <c r="A125" t="e">
        <f ca="1"/>
        <v>#NAME?</v>
      </c>
      <c r="B125" t="e">
        <f ca="1"/>
        <v>#NAME?</v>
      </c>
      <c r="C125" t="e">
        <f ca="1"/>
        <v>#NAME?</v>
      </c>
      <c r="D125" t="e">
        <f ca="1"/>
        <v>#NAME?</v>
      </c>
      <c r="E125" t="e">
        <f ca="1"/>
        <v>#NAME?</v>
      </c>
      <c r="F125" t="e">
        <f ca="1"/>
        <v>#NAME?</v>
      </c>
      <c r="G125" t="e">
        <f ca="1"/>
        <v>#NAME?</v>
      </c>
      <c r="H125" t="e">
        <f ca="1"/>
        <v>#NAME?</v>
      </c>
      <c r="I125" t="e">
        <f ca="1"/>
        <v>#NAME?</v>
      </c>
      <c r="J125" t="e">
        <f ca="1"/>
        <v>#NAME?</v>
      </c>
      <c r="K125" t="e">
        <f ca="1"/>
        <v>#NAME?</v>
      </c>
      <c r="L125" t="e">
        <f ca="1"/>
        <v>#NAME?</v>
      </c>
      <c r="M125" t="e">
        <f ca="1"/>
        <v>#NAME?</v>
      </c>
      <c r="N125" t="e">
        <f ca="1"/>
        <v>#NAME?</v>
      </c>
      <c r="O125" t="e">
        <f ca="1"/>
        <v>#NAME?</v>
      </c>
      <c r="P125" t="e">
        <f ca="1"/>
        <v>#NAME?</v>
      </c>
      <c r="Q125" t="e">
        <f ca="1"/>
        <v>#NAME?</v>
      </c>
      <c r="R125" t="e">
        <f ca="1"/>
        <v>#NAME?</v>
      </c>
      <c r="S125" t="e">
        <f ca="1"/>
        <v>#NAME?</v>
      </c>
      <c r="T125" t="e">
        <f ca="1"/>
        <v>#NAME?</v>
      </c>
      <c r="U125" t="e">
        <f ca="1"/>
        <v>#NAME?</v>
      </c>
      <c r="V125" s="5" t="e">
        <f ca="1"/>
        <v>#NAME?</v>
      </c>
      <c r="W125" t="e">
        <f ca="1"/>
        <v>#NAME?</v>
      </c>
      <c r="X125" t="e">
        <f ca="1"/>
        <v>#NAME?</v>
      </c>
      <c r="Y125" t="e">
        <f ca="1"/>
        <v>#NAME?</v>
      </c>
      <c r="Z125" t="e">
        <f ca="1"/>
        <v>#NAME?</v>
      </c>
      <c r="AA125" t="e">
        <f ca="1"/>
        <v>#NAME?</v>
      </c>
      <c r="AB125" t="e">
        <f ca="1"/>
        <v>#NAME?</v>
      </c>
    </row>
    <row r="126" spans="1:28" x14ac:dyDescent="0.2">
      <c r="A126" t="e">
        <f ca="1"/>
        <v>#NAME?</v>
      </c>
      <c r="B126" t="e">
        <f ca="1"/>
        <v>#NAME?</v>
      </c>
      <c r="C126" t="e">
        <f ca="1"/>
        <v>#NAME?</v>
      </c>
      <c r="D126" t="e">
        <f ca="1"/>
        <v>#NAME?</v>
      </c>
      <c r="E126" t="e">
        <f ca="1"/>
        <v>#NAME?</v>
      </c>
      <c r="F126" t="e">
        <f ca="1"/>
        <v>#NAME?</v>
      </c>
      <c r="G126" t="e">
        <f ca="1"/>
        <v>#NAME?</v>
      </c>
      <c r="H126" t="e">
        <f ca="1"/>
        <v>#NAME?</v>
      </c>
      <c r="I126" t="e">
        <f ca="1"/>
        <v>#NAME?</v>
      </c>
      <c r="J126" t="e">
        <f ca="1"/>
        <v>#NAME?</v>
      </c>
      <c r="K126" t="e">
        <f ca="1"/>
        <v>#NAME?</v>
      </c>
      <c r="L126" t="e">
        <f ca="1"/>
        <v>#NAME?</v>
      </c>
      <c r="M126" t="e">
        <f ca="1"/>
        <v>#NAME?</v>
      </c>
      <c r="N126" t="e">
        <f ca="1"/>
        <v>#NAME?</v>
      </c>
      <c r="O126" t="e">
        <f ca="1"/>
        <v>#NAME?</v>
      </c>
      <c r="P126" t="e">
        <f ca="1"/>
        <v>#NAME?</v>
      </c>
      <c r="Q126" t="e">
        <f ca="1"/>
        <v>#NAME?</v>
      </c>
      <c r="R126" t="e">
        <f ca="1"/>
        <v>#NAME?</v>
      </c>
      <c r="S126" t="e">
        <f ca="1"/>
        <v>#NAME?</v>
      </c>
      <c r="T126" t="e">
        <f ca="1"/>
        <v>#NAME?</v>
      </c>
      <c r="U126" t="e">
        <f ca="1"/>
        <v>#NAME?</v>
      </c>
      <c r="V126" s="5" t="e">
        <f ca="1"/>
        <v>#NAME?</v>
      </c>
      <c r="W126" t="e">
        <f ca="1"/>
        <v>#NAME?</v>
      </c>
      <c r="X126" t="e">
        <f ca="1"/>
        <v>#NAME?</v>
      </c>
      <c r="Y126" t="e">
        <f ca="1"/>
        <v>#NAME?</v>
      </c>
      <c r="Z126" t="e">
        <f ca="1"/>
        <v>#NAME?</v>
      </c>
      <c r="AA126" t="e">
        <f ca="1"/>
        <v>#NAME?</v>
      </c>
      <c r="AB126" t="e">
        <f ca="1"/>
        <v>#NAME?</v>
      </c>
    </row>
    <row r="127" spans="1:28" x14ac:dyDescent="0.2">
      <c r="A127" t="e">
        <f ca="1"/>
        <v>#NAME?</v>
      </c>
      <c r="B127" t="e">
        <f ca="1"/>
        <v>#NAME?</v>
      </c>
      <c r="C127" t="e">
        <f ca="1"/>
        <v>#NAME?</v>
      </c>
      <c r="D127" t="e">
        <f ca="1"/>
        <v>#NAME?</v>
      </c>
      <c r="E127" t="e">
        <f ca="1"/>
        <v>#NAME?</v>
      </c>
      <c r="F127" t="e">
        <f ca="1"/>
        <v>#NAME?</v>
      </c>
      <c r="G127" t="e">
        <f ca="1"/>
        <v>#NAME?</v>
      </c>
      <c r="H127" t="e">
        <f ca="1"/>
        <v>#NAME?</v>
      </c>
      <c r="I127" t="e">
        <f ca="1"/>
        <v>#NAME?</v>
      </c>
      <c r="J127" t="e">
        <f ca="1"/>
        <v>#NAME?</v>
      </c>
      <c r="K127" t="e">
        <f ca="1"/>
        <v>#NAME?</v>
      </c>
      <c r="L127" t="e">
        <f ca="1"/>
        <v>#NAME?</v>
      </c>
      <c r="M127" t="e">
        <f ca="1"/>
        <v>#NAME?</v>
      </c>
      <c r="N127" t="e">
        <f ca="1"/>
        <v>#NAME?</v>
      </c>
      <c r="O127" t="e">
        <f ca="1"/>
        <v>#NAME?</v>
      </c>
      <c r="P127" t="e">
        <f ca="1"/>
        <v>#NAME?</v>
      </c>
      <c r="Q127" t="e">
        <f ca="1"/>
        <v>#NAME?</v>
      </c>
      <c r="R127" t="e">
        <f ca="1"/>
        <v>#NAME?</v>
      </c>
      <c r="S127" t="e">
        <f ca="1"/>
        <v>#NAME?</v>
      </c>
      <c r="T127" t="e">
        <f ca="1"/>
        <v>#NAME?</v>
      </c>
      <c r="U127" t="e">
        <f ca="1"/>
        <v>#NAME?</v>
      </c>
      <c r="V127" s="5" t="e">
        <f ca="1"/>
        <v>#NAME?</v>
      </c>
      <c r="W127" t="e">
        <f ca="1"/>
        <v>#NAME?</v>
      </c>
      <c r="X127" t="e">
        <f ca="1"/>
        <v>#NAME?</v>
      </c>
      <c r="Y127" t="e">
        <f ca="1"/>
        <v>#NAME?</v>
      </c>
      <c r="Z127" t="e">
        <f ca="1"/>
        <v>#NAME?</v>
      </c>
      <c r="AA127" t="e">
        <f ca="1"/>
        <v>#NAME?</v>
      </c>
      <c r="AB127" t="e">
        <f ca="1"/>
        <v>#NAME?</v>
      </c>
    </row>
    <row r="128" spans="1:28" x14ac:dyDescent="0.2">
      <c r="A128" t="e">
        <f ca="1"/>
        <v>#NAME?</v>
      </c>
      <c r="B128" t="e">
        <f ca="1"/>
        <v>#NAME?</v>
      </c>
      <c r="C128" t="e">
        <f ca="1"/>
        <v>#NAME?</v>
      </c>
      <c r="D128" t="e">
        <f ca="1"/>
        <v>#NAME?</v>
      </c>
      <c r="E128" t="e">
        <f ca="1"/>
        <v>#NAME?</v>
      </c>
      <c r="F128" t="e">
        <f ca="1"/>
        <v>#NAME?</v>
      </c>
      <c r="G128" t="e">
        <f ca="1"/>
        <v>#NAME?</v>
      </c>
      <c r="H128" t="e">
        <f ca="1"/>
        <v>#NAME?</v>
      </c>
      <c r="I128" t="e">
        <f ca="1"/>
        <v>#NAME?</v>
      </c>
      <c r="J128" t="e">
        <f ca="1"/>
        <v>#NAME?</v>
      </c>
      <c r="K128" t="e">
        <f ca="1"/>
        <v>#NAME?</v>
      </c>
      <c r="L128" t="e">
        <f ca="1"/>
        <v>#NAME?</v>
      </c>
      <c r="M128" t="e">
        <f ca="1"/>
        <v>#NAME?</v>
      </c>
      <c r="N128" t="e">
        <f ca="1"/>
        <v>#NAME?</v>
      </c>
      <c r="O128" t="e">
        <f ca="1"/>
        <v>#NAME?</v>
      </c>
      <c r="P128" t="e">
        <f ca="1"/>
        <v>#NAME?</v>
      </c>
      <c r="Q128" t="e">
        <f ca="1"/>
        <v>#NAME?</v>
      </c>
      <c r="R128" t="e">
        <f ca="1"/>
        <v>#NAME?</v>
      </c>
      <c r="S128" t="e">
        <f ca="1"/>
        <v>#NAME?</v>
      </c>
      <c r="T128" t="e">
        <f ca="1"/>
        <v>#NAME?</v>
      </c>
      <c r="U128" t="e">
        <f ca="1"/>
        <v>#NAME?</v>
      </c>
      <c r="V128" s="5" t="e">
        <f ca="1"/>
        <v>#NAME?</v>
      </c>
      <c r="W128" t="e">
        <f ca="1"/>
        <v>#NAME?</v>
      </c>
      <c r="X128" t="e">
        <f ca="1"/>
        <v>#NAME?</v>
      </c>
      <c r="Y128" t="e">
        <f ca="1"/>
        <v>#NAME?</v>
      </c>
      <c r="Z128" t="e">
        <f ca="1"/>
        <v>#NAME?</v>
      </c>
      <c r="AA128" t="e">
        <f ca="1"/>
        <v>#NAME?</v>
      </c>
      <c r="AB128" t="e">
        <f ca="1"/>
        <v>#NAME?</v>
      </c>
    </row>
    <row r="129" spans="1:28" x14ac:dyDescent="0.2">
      <c r="A129" t="e">
        <f ca="1"/>
        <v>#NAME?</v>
      </c>
      <c r="B129" t="e">
        <f ca="1"/>
        <v>#NAME?</v>
      </c>
      <c r="C129" t="e">
        <f ca="1"/>
        <v>#NAME?</v>
      </c>
      <c r="D129" t="e">
        <f ca="1"/>
        <v>#NAME?</v>
      </c>
      <c r="E129" t="e">
        <f ca="1"/>
        <v>#NAME?</v>
      </c>
      <c r="F129" t="e">
        <f ca="1"/>
        <v>#NAME?</v>
      </c>
      <c r="G129" t="e">
        <f ca="1"/>
        <v>#NAME?</v>
      </c>
      <c r="H129" t="e">
        <f ca="1"/>
        <v>#NAME?</v>
      </c>
      <c r="I129" t="e">
        <f ca="1"/>
        <v>#NAME?</v>
      </c>
      <c r="J129" t="e">
        <f ca="1"/>
        <v>#NAME?</v>
      </c>
      <c r="K129" t="e">
        <f ca="1"/>
        <v>#NAME?</v>
      </c>
      <c r="L129" t="e">
        <f ca="1"/>
        <v>#NAME?</v>
      </c>
      <c r="M129" t="e">
        <f ca="1"/>
        <v>#NAME?</v>
      </c>
      <c r="N129" t="e">
        <f ca="1"/>
        <v>#NAME?</v>
      </c>
      <c r="O129" t="e">
        <f ca="1"/>
        <v>#NAME?</v>
      </c>
      <c r="P129" t="e">
        <f ca="1"/>
        <v>#NAME?</v>
      </c>
      <c r="Q129" t="e">
        <f ca="1"/>
        <v>#NAME?</v>
      </c>
      <c r="R129" t="e">
        <f ca="1"/>
        <v>#NAME?</v>
      </c>
      <c r="S129" t="e">
        <f ca="1"/>
        <v>#NAME?</v>
      </c>
      <c r="T129" t="e">
        <f ca="1"/>
        <v>#NAME?</v>
      </c>
      <c r="U129" t="e">
        <f ca="1"/>
        <v>#NAME?</v>
      </c>
      <c r="V129" s="5" t="e">
        <f ca="1"/>
        <v>#NAME?</v>
      </c>
      <c r="W129" t="e">
        <f ca="1"/>
        <v>#NAME?</v>
      </c>
      <c r="X129" t="e">
        <f ca="1"/>
        <v>#NAME?</v>
      </c>
      <c r="Y129" t="e">
        <f ca="1"/>
        <v>#NAME?</v>
      </c>
      <c r="Z129" t="e">
        <f ca="1"/>
        <v>#NAME?</v>
      </c>
      <c r="AA129" t="e">
        <f ca="1"/>
        <v>#NAME?</v>
      </c>
      <c r="AB129" t="e">
        <f ca="1"/>
        <v>#NAME?</v>
      </c>
    </row>
    <row r="130" spans="1:28" x14ac:dyDescent="0.2">
      <c r="A130" t="e">
        <f ca="1"/>
        <v>#NAME?</v>
      </c>
      <c r="B130" t="e">
        <f ca="1"/>
        <v>#NAME?</v>
      </c>
      <c r="C130" t="e">
        <f ca="1"/>
        <v>#NAME?</v>
      </c>
      <c r="D130" t="e">
        <f ca="1"/>
        <v>#NAME?</v>
      </c>
      <c r="E130" t="e">
        <f ca="1"/>
        <v>#NAME?</v>
      </c>
      <c r="F130" t="e">
        <f ca="1"/>
        <v>#NAME?</v>
      </c>
      <c r="G130" t="e">
        <f ca="1"/>
        <v>#NAME?</v>
      </c>
      <c r="H130" t="e">
        <f ca="1"/>
        <v>#NAME?</v>
      </c>
      <c r="I130" t="e">
        <f ca="1"/>
        <v>#NAME?</v>
      </c>
      <c r="J130" t="e">
        <f ca="1"/>
        <v>#NAME?</v>
      </c>
      <c r="K130" t="e">
        <f ca="1"/>
        <v>#NAME?</v>
      </c>
      <c r="L130" t="e">
        <f ca="1"/>
        <v>#NAME?</v>
      </c>
      <c r="M130" t="e">
        <f ca="1"/>
        <v>#NAME?</v>
      </c>
      <c r="N130" t="e">
        <f ca="1"/>
        <v>#NAME?</v>
      </c>
      <c r="O130" t="e">
        <f ca="1"/>
        <v>#NAME?</v>
      </c>
      <c r="P130" t="e">
        <f ca="1"/>
        <v>#NAME?</v>
      </c>
      <c r="Q130" t="e">
        <f ca="1"/>
        <v>#NAME?</v>
      </c>
      <c r="R130" t="e">
        <f ca="1"/>
        <v>#NAME?</v>
      </c>
      <c r="S130" t="e">
        <f ca="1"/>
        <v>#NAME?</v>
      </c>
      <c r="T130" t="e">
        <f ca="1"/>
        <v>#NAME?</v>
      </c>
      <c r="U130" t="e">
        <f ca="1"/>
        <v>#NAME?</v>
      </c>
      <c r="V130" s="5" t="e">
        <f ca="1"/>
        <v>#NAME?</v>
      </c>
      <c r="W130" t="e">
        <f ca="1"/>
        <v>#NAME?</v>
      </c>
      <c r="X130" t="e">
        <f ca="1"/>
        <v>#NAME?</v>
      </c>
      <c r="Y130" t="e">
        <f ca="1"/>
        <v>#NAME?</v>
      </c>
      <c r="Z130" t="e">
        <f ca="1"/>
        <v>#NAME?</v>
      </c>
      <c r="AA130" t="e">
        <f ca="1"/>
        <v>#NAME?</v>
      </c>
      <c r="AB130" t="e">
        <f ca="1"/>
        <v>#NAME?</v>
      </c>
    </row>
    <row r="131" spans="1:28" x14ac:dyDescent="0.2">
      <c r="A131" t="e">
        <f ca="1"/>
        <v>#NAME?</v>
      </c>
      <c r="B131" t="e">
        <f ca="1"/>
        <v>#NAME?</v>
      </c>
      <c r="C131" t="e">
        <f ca="1"/>
        <v>#NAME?</v>
      </c>
      <c r="D131" t="e">
        <f ca="1"/>
        <v>#NAME?</v>
      </c>
      <c r="E131" t="e">
        <f ca="1"/>
        <v>#NAME?</v>
      </c>
      <c r="F131" t="e">
        <f ca="1"/>
        <v>#NAME?</v>
      </c>
      <c r="G131" t="e">
        <f ca="1"/>
        <v>#NAME?</v>
      </c>
      <c r="H131" t="e">
        <f ca="1"/>
        <v>#NAME?</v>
      </c>
      <c r="I131" t="e">
        <f ca="1"/>
        <v>#NAME?</v>
      </c>
      <c r="J131" t="e">
        <f ca="1"/>
        <v>#NAME?</v>
      </c>
      <c r="K131" t="e">
        <f ca="1"/>
        <v>#NAME?</v>
      </c>
      <c r="L131" t="e">
        <f ca="1"/>
        <v>#NAME?</v>
      </c>
      <c r="M131" t="e">
        <f ca="1"/>
        <v>#NAME?</v>
      </c>
      <c r="N131" t="e">
        <f ca="1"/>
        <v>#NAME?</v>
      </c>
      <c r="O131" t="e">
        <f ca="1"/>
        <v>#NAME?</v>
      </c>
      <c r="P131" t="e">
        <f ca="1"/>
        <v>#NAME?</v>
      </c>
      <c r="Q131" t="e">
        <f ca="1"/>
        <v>#NAME?</v>
      </c>
      <c r="R131" t="e">
        <f ca="1"/>
        <v>#NAME?</v>
      </c>
      <c r="S131" t="e">
        <f ca="1"/>
        <v>#NAME?</v>
      </c>
      <c r="T131" t="e">
        <f ca="1"/>
        <v>#NAME?</v>
      </c>
      <c r="U131" t="e">
        <f ca="1"/>
        <v>#NAME?</v>
      </c>
      <c r="V131" s="5" t="e">
        <f ca="1"/>
        <v>#NAME?</v>
      </c>
      <c r="W131" t="e">
        <f ca="1"/>
        <v>#NAME?</v>
      </c>
      <c r="X131" t="e">
        <f ca="1"/>
        <v>#NAME?</v>
      </c>
      <c r="Y131" t="e">
        <f ca="1"/>
        <v>#NAME?</v>
      </c>
      <c r="Z131" t="e">
        <f ca="1"/>
        <v>#NAME?</v>
      </c>
      <c r="AA131" t="e">
        <f ca="1"/>
        <v>#NAME?</v>
      </c>
      <c r="AB131" t="e">
        <f ca="1"/>
        <v>#NAME?</v>
      </c>
    </row>
    <row r="132" spans="1:28" x14ac:dyDescent="0.2">
      <c r="A132" t="e">
        <f ca="1"/>
        <v>#NAME?</v>
      </c>
      <c r="B132" t="e">
        <f ca="1"/>
        <v>#NAME?</v>
      </c>
      <c r="C132" t="e">
        <f ca="1"/>
        <v>#NAME?</v>
      </c>
      <c r="D132" t="e">
        <f ca="1"/>
        <v>#NAME?</v>
      </c>
      <c r="E132" t="e">
        <f ca="1"/>
        <v>#NAME?</v>
      </c>
      <c r="F132" t="e">
        <f ca="1"/>
        <v>#NAME?</v>
      </c>
      <c r="G132" t="e">
        <f ca="1"/>
        <v>#NAME?</v>
      </c>
      <c r="H132" t="e">
        <f ca="1"/>
        <v>#NAME?</v>
      </c>
      <c r="I132" t="e">
        <f ca="1"/>
        <v>#NAME?</v>
      </c>
      <c r="J132" t="e">
        <f ca="1"/>
        <v>#NAME?</v>
      </c>
      <c r="K132" t="e">
        <f ca="1"/>
        <v>#NAME?</v>
      </c>
      <c r="L132" t="e">
        <f ca="1"/>
        <v>#NAME?</v>
      </c>
      <c r="M132" t="e">
        <f ca="1"/>
        <v>#NAME?</v>
      </c>
      <c r="N132" t="e">
        <f ca="1"/>
        <v>#NAME?</v>
      </c>
      <c r="O132" t="e">
        <f ca="1"/>
        <v>#NAME?</v>
      </c>
      <c r="P132" t="e">
        <f ca="1"/>
        <v>#NAME?</v>
      </c>
      <c r="Q132" t="e">
        <f ca="1"/>
        <v>#NAME?</v>
      </c>
      <c r="R132" t="e">
        <f ca="1"/>
        <v>#NAME?</v>
      </c>
      <c r="S132" t="e">
        <f ca="1"/>
        <v>#NAME?</v>
      </c>
      <c r="T132" t="e">
        <f ca="1"/>
        <v>#NAME?</v>
      </c>
      <c r="U132" t="e">
        <f ca="1"/>
        <v>#NAME?</v>
      </c>
      <c r="V132" s="5" t="e">
        <f ca="1"/>
        <v>#NAME?</v>
      </c>
      <c r="W132" t="e">
        <f ca="1"/>
        <v>#NAME?</v>
      </c>
      <c r="X132" t="e">
        <f ca="1"/>
        <v>#NAME?</v>
      </c>
      <c r="Y132" t="e">
        <f ca="1"/>
        <v>#NAME?</v>
      </c>
      <c r="Z132" t="e">
        <f ca="1"/>
        <v>#NAME?</v>
      </c>
      <c r="AA132" t="e">
        <f ca="1"/>
        <v>#NAME?</v>
      </c>
      <c r="AB132" t="e">
        <f ca="1"/>
        <v>#NAME?</v>
      </c>
    </row>
    <row r="133" spans="1:28" x14ac:dyDescent="0.2">
      <c r="A133" t="e">
        <f ca="1"/>
        <v>#NAME?</v>
      </c>
      <c r="B133" t="e">
        <f ca="1"/>
        <v>#NAME?</v>
      </c>
      <c r="C133" t="e">
        <f ca="1"/>
        <v>#NAME?</v>
      </c>
      <c r="D133" t="e">
        <f ca="1"/>
        <v>#NAME?</v>
      </c>
      <c r="E133" t="e">
        <f ca="1"/>
        <v>#NAME?</v>
      </c>
      <c r="F133" t="e">
        <f ca="1"/>
        <v>#NAME?</v>
      </c>
      <c r="G133" t="e">
        <f ca="1"/>
        <v>#NAME?</v>
      </c>
      <c r="H133" t="e">
        <f ca="1"/>
        <v>#NAME?</v>
      </c>
      <c r="I133" t="e">
        <f ca="1"/>
        <v>#NAME?</v>
      </c>
      <c r="J133" t="e">
        <f ca="1"/>
        <v>#NAME?</v>
      </c>
      <c r="K133" t="e">
        <f ca="1"/>
        <v>#NAME?</v>
      </c>
      <c r="L133" t="e">
        <f ca="1"/>
        <v>#NAME?</v>
      </c>
      <c r="M133" t="e">
        <f ca="1"/>
        <v>#NAME?</v>
      </c>
      <c r="N133" t="e">
        <f ca="1"/>
        <v>#NAME?</v>
      </c>
      <c r="O133" t="e">
        <f ca="1"/>
        <v>#NAME?</v>
      </c>
      <c r="P133" t="e">
        <f ca="1"/>
        <v>#NAME?</v>
      </c>
      <c r="Q133" t="e">
        <f ca="1"/>
        <v>#NAME?</v>
      </c>
      <c r="R133" t="e">
        <f ca="1"/>
        <v>#NAME?</v>
      </c>
      <c r="S133" t="e">
        <f ca="1"/>
        <v>#NAME?</v>
      </c>
      <c r="T133" t="e">
        <f ca="1"/>
        <v>#NAME?</v>
      </c>
      <c r="U133" t="e">
        <f ca="1"/>
        <v>#NAME?</v>
      </c>
      <c r="V133" s="5" t="e">
        <f ca="1"/>
        <v>#NAME?</v>
      </c>
      <c r="W133" t="e">
        <f ca="1"/>
        <v>#NAME?</v>
      </c>
      <c r="X133" t="e">
        <f ca="1"/>
        <v>#NAME?</v>
      </c>
      <c r="Y133" t="e">
        <f ca="1"/>
        <v>#NAME?</v>
      </c>
      <c r="Z133" t="e">
        <f ca="1"/>
        <v>#NAME?</v>
      </c>
      <c r="AA133" t="e">
        <f ca="1"/>
        <v>#NAME?</v>
      </c>
      <c r="AB133" t="e">
        <f ca="1"/>
        <v>#NAME?</v>
      </c>
    </row>
    <row r="134" spans="1:28" x14ac:dyDescent="0.2">
      <c r="A134" t="e">
        <f ca="1"/>
        <v>#NAME?</v>
      </c>
      <c r="B134" t="e">
        <f ca="1"/>
        <v>#NAME?</v>
      </c>
      <c r="C134" t="e">
        <f ca="1"/>
        <v>#NAME?</v>
      </c>
      <c r="D134" t="e">
        <f ca="1"/>
        <v>#NAME?</v>
      </c>
      <c r="E134" t="e">
        <f ca="1"/>
        <v>#NAME?</v>
      </c>
      <c r="F134" t="e">
        <f ca="1"/>
        <v>#NAME?</v>
      </c>
      <c r="G134" t="e">
        <f ca="1"/>
        <v>#NAME?</v>
      </c>
      <c r="H134" t="e">
        <f ca="1"/>
        <v>#NAME?</v>
      </c>
      <c r="I134" t="e">
        <f ca="1"/>
        <v>#NAME?</v>
      </c>
      <c r="J134" t="e">
        <f ca="1"/>
        <v>#NAME?</v>
      </c>
      <c r="K134" t="e">
        <f ca="1"/>
        <v>#NAME?</v>
      </c>
      <c r="L134" t="e">
        <f ca="1"/>
        <v>#NAME?</v>
      </c>
      <c r="M134" t="e">
        <f ca="1"/>
        <v>#NAME?</v>
      </c>
      <c r="N134" t="e">
        <f ca="1"/>
        <v>#NAME?</v>
      </c>
      <c r="O134" t="e">
        <f ca="1"/>
        <v>#NAME?</v>
      </c>
      <c r="P134" t="e">
        <f ca="1"/>
        <v>#NAME?</v>
      </c>
      <c r="Q134" t="e">
        <f ca="1"/>
        <v>#NAME?</v>
      </c>
      <c r="R134" t="e">
        <f ca="1"/>
        <v>#NAME?</v>
      </c>
      <c r="S134" t="e">
        <f ca="1"/>
        <v>#NAME?</v>
      </c>
      <c r="T134" t="e">
        <f ca="1"/>
        <v>#NAME?</v>
      </c>
      <c r="U134" t="e">
        <f ca="1"/>
        <v>#NAME?</v>
      </c>
      <c r="V134" s="5" t="e">
        <f ca="1"/>
        <v>#NAME?</v>
      </c>
      <c r="W134" t="e">
        <f ca="1"/>
        <v>#NAME?</v>
      </c>
      <c r="X134" t="e">
        <f ca="1"/>
        <v>#NAME?</v>
      </c>
      <c r="Y134" t="e">
        <f ca="1"/>
        <v>#NAME?</v>
      </c>
      <c r="Z134" t="e">
        <f ca="1"/>
        <v>#NAME?</v>
      </c>
      <c r="AA134" t="e">
        <f ca="1"/>
        <v>#NAME?</v>
      </c>
      <c r="AB134" t="e">
        <f ca="1"/>
        <v>#NAME?</v>
      </c>
    </row>
    <row r="135" spans="1:28" x14ac:dyDescent="0.2">
      <c r="A135" t="e">
        <f ca="1"/>
        <v>#NAME?</v>
      </c>
      <c r="B135" t="e">
        <f ca="1"/>
        <v>#NAME?</v>
      </c>
      <c r="C135" t="e">
        <f ca="1"/>
        <v>#NAME?</v>
      </c>
      <c r="D135" t="e">
        <f ca="1"/>
        <v>#NAME?</v>
      </c>
      <c r="E135" t="e">
        <f ca="1"/>
        <v>#NAME?</v>
      </c>
      <c r="F135" t="e">
        <f ca="1"/>
        <v>#NAME?</v>
      </c>
      <c r="G135" t="e">
        <f ca="1"/>
        <v>#NAME?</v>
      </c>
      <c r="H135" t="e">
        <f ca="1"/>
        <v>#NAME?</v>
      </c>
      <c r="I135" t="e">
        <f ca="1"/>
        <v>#NAME?</v>
      </c>
      <c r="J135" t="e">
        <f ca="1"/>
        <v>#NAME?</v>
      </c>
      <c r="K135" t="e">
        <f ca="1"/>
        <v>#NAME?</v>
      </c>
      <c r="L135" t="e">
        <f ca="1"/>
        <v>#NAME?</v>
      </c>
      <c r="M135" t="e">
        <f ca="1"/>
        <v>#NAME?</v>
      </c>
      <c r="N135" t="e">
        <f ca="1"/>
        <v>#NAME?</v>
      </c>
      <c r="O135" t="e">
        <f ca="1"/>
        <v>#NAME?</v>
      </c>
      <c r="P135" t="e">
        <f ca="1"/>
        <v>#NAME?</v>
      </c>
      <c r="Q135" t="e">
        <f ca="1"/>
        <v>#NAME?</v>
      </c>
      <c r="R135" t="e">
        <f ca="1"/>
        <v>#NAME?</v>
      </c>
      <c r="S135" t="e">
        <f ca="1"/>
        <v>#NAME?</v>
      </c>
      <c r="T135" t="e">
        <f ca="1"/>
        <v>#NAME?</v>
      </c>
      <c r="U135" t="e">
        <f ca="1"/>
        <v>#NAME?</v>
      </c>
      <c r="V135" s="5" t="e">
        <f ca="1"/>
        <v>#NAME?</v>
      </c>
      <c r="W135" t="e">
        <f ca="1"/>
        <v>#NAME?</v>
      </c>
      <c r="X135" t="e">
        <f ca="1"/>
        <v>#NAME?</v>
      </c>
      <c r="Y135" t="e">
        <f ca="1"/>
        <v>#NAME?</v>
      </c>
      <c r="Z135" t="e">
        <f ca="1"/>
        <v>#NAME?</v>
      </c>
      <c r="AA135" t="e">
        <f ca="1"/>
        <v>#NAME?</v>
      </c>
      <c r="AB135" t="e">
        <f ca="1"/>
        <v>#NAME?</v>
      </c>
    </row>
    <row r="136" spans="1:28" x14ac:dyDescent="0.2">
      <c r="A136" t="e">
        <f ca="1"/>
        <v>#NAME?</v>
      </c>
      <c r="B136" t="e">
        <f ca="1"/>
        <v>#NAME?</v>
      </c>
      <c r="C136" t="e">
        <f ca="1"/>
        <v>#NAME?</v>
      </c>
      <c r="D136" t="e">
        <f ca="1"/>
        <v>#NAME?</v>
      </c>
      <c r="E136" t="e">
        <f ca="1"/>
        <v>#NAME?</v>
      </c>
      <c r="F136" t="e">
        <f ca="1"/>
        <v>#NAME?</v>
      </c>
      <c r="G136" t="e">
        <f ca="1"/>
        <v>#NAME?</v>
      </c>
      <c r="H136" t="e">
        <f ca="1"/>
        <v>#NAME?</v>
      </c>
      <c r="I136" t="e">
        <f ca="1"/>
        <v>#NAME?</v>
      </c>
      <c r="J136" t="e">
        <f ca="1"/>
        <v>#NAME?</v>
      </c>
      <c r="K136" t="e">
        <f ca="1"/>
        <v>#NAME?</v>
      </c>
      <c r="L136" t="e">
        <f ca="1"/>
        <v>#NAME?</v>
      </c>
      <c r="M136" t="e">
        <f ca="1"/>
        <v>#NAME?</v>
      </c>
      <c r="N136" t="e">
        <f ca="1"/>
        <v>#NAME?</v>
      </c>
      <c r="O136" t="e">
        <f ca="1"/>
        <v>#NAME?</v>
      </c>
      <c r="P136" t="e">
        <f ca="1"/>
        <v>#NAME?</v>
      </c>
      <c r="Q136" t="e">
        <f ca="1"/>
        <v>#NAME?</v>
      </c>
      <c r="R136" t="e">
        <f ca="1"/>
        <v>#NAME?</v>
      </c>
      <c r="S136" t="e">
        <f ca="1"/>
        <v>#NAME?</v>
      </c>
      <c r="T136" t="e">
        <f ca="1"/>
        <v>#NAME?</v>
      </c>
      <c r="U136" t="e">
        <f ca="1"/>
        <v>#NAME?</v>
      </c>
      <c r="V136" s="5" t="e">
        <f ca="1"/>
        <v>#NAME?</v>
      </c>
      <c r="W136" t="e">
        <f ca="1"/>
        <v>#NAME?</v>
      </c>
      <c r="X136" t="e">
        <f ca="1"/>
        <v>#NAME?</v>
      </c>
      <c r="Y136" t="e">
        <f ca="1"/>
        <v>#NAME?</v>
      </c>
      <c r="Z136" t="e">
        <f ca="1"/>
        <v>#NAME?</v>
      </c>
      <c r="AA136" t="e">
        <f ca="1"/>
        <v>#NAME?</v>
      </c>
      <c r="AB136" t="e">
        <f ca="1"/>
        <v>#NAME?</v>
      </c>
    </row>
    <row r="137" spans="1:28" x14ac:dyDescent="0.2">
      <c r="A137" t="e">
        <f ca="1"/>
        <v>#NAME?</v>
      </c>
      <c r="B137" t="e">
        <f ca="1"/>
        <v>#NAME?</v>
      </c>
      <c r="C137" t="e">
        <f ca="1"/>
        <v>#NAME?</v>
      </c>
      <c r="D137" t="e">
        <f ca="1"/>
        <v>#NAME?</v>
      </c>
      <c r="E137" t="e">
        <f ca="1"/>
        <v>#NAME?</v>
      </c>
      <c r="F137" t="e">
        <f ca="1"/>
        <v>#NAME?</v>
      </c>
      <c r="G137" t="e">
        <f ca="1"/>
        <v>#NAME?</v>
      </c>
      <c r="H137" t="e">
        <f ca="1"/>
        <v>#NAME?</v>
      </c>
      <c r="I137" t="e">
        <f ca="1"/>
        <v>#NAME?</v>
      </c>
      <c r="J137" t="e">
        <f ca="1"/>
        <v>#NAME?</v>
      </c>
      <c r="K137" t="e">
        <f ca="1"/>
        <v>#NAME?</v>
      </c>
      <c r="L137" t="e">
        <f ca="1"/>
        <v>#NAME?</v>
      </c>
      <c r="M137" t="e">
        <f ca="1"/>
        <v>#NAME?</v>
      </c>
      <c r="N137" t="e">
        <f ca="1"/>
        <v>#NAME?</v>
      </c>
      <c r="O137" t="e">
        <f ca="1"/>
        <v>#NAME?</v>
      </c>
      <c r="P137" t="e">
        <f ca="1"/>
        <v>#NAME?</v>
      </c>
      <c r="Q137" t="e">
        <f ca="1"/>
        <v>#NAME?</v>
      </c>
      <c r="R137" t="e">
        <f ca="1"/>
        <v>#NAME?</v>
      </c>
      <c r="S137" t="e">
        <f ca="1"/>
        <v>#NAME?</v>
      </c>
      <c r="T137" t="e">
        <f ca="1"/>
        <v>#NAME?</v>
      </c>
      <c r="U137" t="e">
        <f ca="1"/>
        <v>#NAME?</v>
      </c>
      <c r="V137" s="5" t="e">
        <f ca="1"/>
        <v>#NAME?</v>
      </c>
      <c r="W137" t="e">
        <f ca="1"/>
        <v>#NAME?</v>
      </c>
      <c r="X137" t="e">
        <f ca="1"/>
        <v>#NAME?</v>
      </c>
      <c r="Y137" t="e">
        <f ca="1"/>
        <v>#NAME?</v>
      </c>
      <c r="Z137" t="e">
        <f ca="1"/>
        <v>#NAME?</v>
      </c>
      <c r="AA137" t="e">
        <f ca="1"/>
        <v>#NAME?</v>
      </c>
      <c r="AB137" t="e">
        <f ca="1"/>
        <v>#NAME?</v>
      </c>
    </row>
    <row r="138" spans="1:28" x14ac:dyDescent="0.2">
      <c r="A138" t="e">
        <f ca="1"/>
        <v>#NAME?</v>
      </c>
      <c r="B138" t="e">
        <f ca="1"/>
        <v>#NAME?</v>
      </c>
      <c r="C138" t="e">
        <f ca="1"/>
        <v>#NAME?</v>
      </c>
      <c r="D138" t="e">
        <f ca="1"/>
        <v>#NAME?</v>
      </c>
      <c r="E138" t="e">
        <f ca="1"/>
        <v>#NAME?</v>
      </c>
      <c r="F138" t="e">
        <f ca="1"/>
        <v>#NAME?</v>
      </c>
      <c r="G138" t="e">
        <f ca="1"/>
        <v>#NAME?</v>
      </c>
      <c r="H138" t="e">
        <f ca="1"/>
        <v>#NAME?</v>
      </c>
      <c r="I138" t="e">
        <f ca="1"/>
        <v>#NAME?</v>
      </c>
      <c r="J138" t="e">
        <f ca="1"/>
        <v>#NAME?</v>
      </c>
      <c r="K138" t="e">
        <f ca="1"/>
        <v>#NAME?</v>
      </c>
      <c r="L138" t="e">
        <f ca="1"/>
        <v>#NAME?</v>
      </c>
      <c r="M138" t="e">
        <f ca="1"/>
        <v>#NAME?</v>
      </c>
      <c r="N138" t="e">
        <f ca="1"/>
        <v>#NAME?</v>
      </c>
      <c r="O138" t="e">
        <f ca="1"/>
        <v>#NAME?</v>
      </c>
      <c r="P138" t="e">
        <f ca="1"/>
        <v>#NAME?</v>
      </c>
      <c r="Q138" t="e">
        <f ca="1"/>
        <v>#NAME?</v>
      </c>
      <c r="R138" t="e">
        <f ca="1"/>
        <v>#NAME?</v>
      </c>
      <c r="S138" t="e">
        <f ca="1"/>
        <v>#NAME?</v>
      </c>
      <c r="T138" t="e">
        <f ca="1"/>
        <v>#NAME?</v>
      </c>
      <c r="U138" t="e">
        <f ca="1"/>
        <v>#NAME?</v>
      </c>
      <c r="V138" s="5" t="e">
        <f ca="1"/>
        <v>#NAME?</v>
      </c>
      <c r="W138" t="e">
        <f ca="1"/>
        <v>#NAME?</v>
      </c>
      <c r="X138" t="e">
        <f ca="1"/>
        <v>#NAME?</v>
      </c>
      <c r="Y138" t="e">
        <f ca="1"/>
        <v>#NAME?</v>
      </c>
      <c r="Z138" t="e">
        <f ca="1"/>
        <v>#NAME?</v>
      </c>
      <c r="AA138" t="e">
        <f ca="1"/>
        <v>#NAME?</v>
      </c>
      <c r="AB138" t="e">
        <f ca="1"/>
        <v>#NAME?</v>
      </c>
    </row>
    <row r="139" spans="1:28" x14ac:dyDescent="0.2">
      <c r="A139" t="e">
        <f ca="1"/>
        <v>#NAME?</v>
      </c>
      <c r="B139" t="e">
        <f ca="1"/>
        <v>#NAME?</v>
      </c>
      <c r="C139" t="e">
        <f ca="1"/>
        <v>#NAME?</v>
      </c>
      <c r="D139" t="e">
        <f ca="1"/>
        <v>#NAME?</v>
      </c>
      <c r="E139" t="e">
        <f ca="1"/>
        <v>#NAME?</v>
      </c>
      <c r="F139" t="e">
        <f ca="1"/>
        <v>#NAME?</v>
      </c>
      <c r="G139" t="e">
        <f ca="1"/>
        <v>#NAME?</v>
      </c>
      <c r="H139" t="e">
        <f ca="1"/>
        <v>#NAME?</v>
      </c>
      <c r="I139" t="e">
        <f ca="1"/>
        <v>#NAME?</v>
      </c>
      <c r="J139" t="e">
        <f ca="1"/>
        <v>#NAME?</v>
      </c>
      <c r="K139" t="e">
        <f ca="1"/>
        <v>#NAME?</v>
      </c>
      <c r="L139" t="e">
        <f ca="1"/>
        <v>#NAME?</v>
      </c>
      <c r="M139" t="e">
        <f ca="1"/>
        <v>#NAME?</v>
      </c>
      <c r="N139" t="e">
        <f ca="1"/>
        <v>#NAME?</v>
      </c>
      <c r="O139" t="e">
        <f ca="1"/>
        <v>#NAME?</v>
      </c>
      <c r="P139" t="e">
        <f ca="1"/>
        <v>#NAME?</v>
      </c>
      <c r="Q139" t="e">
        <f ca="1"/>
        <v>#NAME?</v>
      </c>
      <c r="R139" t="e">
        <f ca="1"/>
        <v>#NAME?</v>
      </c>
      <c r="S139" t="e">
        <f ca="1"/>
        <v>#NAME?</v>
      </c>
      <c r="T139" t="e">
        <f ca="1"/>
        <v>#NAME?</v>
      </c>
      <c r="U139" t="e">
        <f ca="1"/>
        <v>#NAME?</v>
      </c>
      <c r="V139" s="5" t="e">
        <f ca="1"/>
        <v>#NAME?</v>
      </c>
      <c r="W139" t="e">
        <f ca="1"/>
        <v>#NAME?</v>
      </c>
      <c r="X139" t="e">
        <f ca="1"/>
        <v>#NAME?</v>
      </c>
      <c r="Y139" t="e">
        <f ca="1"/>
        <v>#NAME?</v>
      </c>
      <c r="Z139" t="e">
        <f ca="1"/>
        <v>#NAME?</v>
      </c>
      <c r="AA139" t="e">
        <f ca="1"/>
        <v>#NAME?</v>
      </c>
      <c r="AB139" t="e">
        <f ca="1"/>
        <v>#NAME?</v>
      </c>
    </row>
    <row r="140" spans="1:28" x14ac:dyDescent="0.2">
      <c r="A140" t="e">
        <f ca="1"/>
        <v>#NAME?</v>
      </c>
      <c r="B140" t="e">
        <f ca="1"/>
        <v>#NAME?</v>
      </c>
      <c r="C140" t="e">
        <f ca="1"/>
        <v>#NAME?</v>
      </c>
      <c r="D140" t="e">
        <f ca="1"/>
        <v>#NAME?</v>
      </c>
      <c r="E140" t="e">
        <f ca="1"/>
        <v>#NAME?</v>
      </c>
      <c r="F140" t="e">
        <f ca="1"/>
        <v>#NAME?</v>
      </c>
      <c r="G140" t="e">
        <f ca="1"/>
        <v>#NAME?</v>
      </c>
      <c r="H140" t="e">
        <f ca="1"/>
        <v>#NAME?</v>
      </c>
      <c r="I140" t="e">
        <f ca="1"/>
        <v>#NAME?</v>
      </c>
      <c r="J140" t="e">
        <f ca="1"/>
        <v>#NAME?</v>
      </c>
      <c r="K140" t="e">
        <f ca="1"/>
        <v>#NAME?</v>
      </c>
      <c r="L140" t="e">
        <f ca="1"/>
        <v>#NAME?</v>
      </c>
      <c r="M140" t="e">
        <f ca="1"/>
        <v>#NAME?</v>
      </c>
      <c r="N140" t="e">
        <f ca="1"/>
        <v>#NAME?</v>
      </c>
      <c r="O140" t="e">
        <f ca="1"/>
        <v>#NAME?</v>
      </c>
      <c r="P140" t="e">
        <f ca="1"/>
        <v>#NAME?</v>
      </c>
      <c r="Q140" t="e">
        <f ca="1"/>
        <v>#NAME?</v>
      </c>
      <c r="R140" t="e">
        <f ca="1"/>
        <v>#NAME?</v>
      </c>
      <c r="S140" t="e">
        <f ca="1"/>
        <v>#NAME?</v>
      </c>
      <c r="T140" t="e">
        <f ca="1"/>
        <v>#NAME?</v>
      </c>
      <c r="U140" t="e">
        <f ca="1"/>
        <v>#NAME?</v>
      </c>
      <c r="V140" s="5" t="e">
        <f ca="1"/>
        <v>#NAME?</v>
      </c>
      <c r="W140" t="e">
        <f ca="1"/>
        <v>#NAME?</v>
      </c>
      <c r="X140" t="e">
        <f ca="1"/>
        <v>#NAME?</v>
      </c>
      <c r="Y140" t="e">
        <f ca="1"/>
        <v>#NAME?</v>
      </c>
      <c r="Z140" t="e">
        <f ca="1"/>
        <v>#NAME?</v>
      </c>
      <c r="AA140" t="e">
        <f ca="1"/>
        <v>#NAME?</v>
      </c>
      <c r="AB140" t="e">
        <f ca="1"/>
        <v>#NAME?</v>
      </c>
    </row>
    <row r="141" spans="1:28" x14ac:dyDescent="0.2">
      <c r="A141" t="e">
        <f ca="1"/>
        <v>#NAME?</v>
      </c>
      <c r="B141" t="e">
        <f ca="1"/>
        <v>#NAME?</v>
      </c>
      <c r="C141" t="e">
        <f ca="1"/>
        <v>#NAME?</v>
      </c>
      <c r="D141" t="e">
        <f ca="1"/>
        <v>#NAME?</v>
      </c>
      <c r="E141" t="e">
        <f ca="1"/>
        <v>#NAME?</v>
      </c>
      <c r="F141" t="e">
        <f ca="1"/>
        <v>#NAME?</v>
      </c>
      <c r="G141" t="e">
        <f ca="1"/>
        <v>#NAME?</v>
      </c>
      <c r="H141" t="e">
        <f ca="1"/>
        <v>#NAME?</v>
      </c>
      <c r="I141" t="e">
        <f ca="1"/>
        <v>#NAME?</v>
      </c>
      <c r="J141" t="e">
        <f ca="1"/>
        <v>#NAME?</v>
      </c>
      <c r="K141" t="e">
        <f ca="1"/>
        <v>#NAME?</v>
      </c>
      <c r="L141" t="e">
        <f ca="1"/>
        <v>#NAME?</v>
      </c>
      <c r="M141" t="e">
        <f ca="1"/>
        <v>#NAME?</v>
      </c>
      <c r="N141" t="e">
        <f ca="1"/>
        <v>#NAME?</v>
      </c>
      <c r="O141" t="e">
        <f ca="1"/>
        <v>#NAME?</v>
      </c>
      <c r="P141" t="e">
        <f ca="1"/>
        <v>#NAME?</v>
      </c>
      <c r="Q141" t="e">
        <f ca="1"/>
        <v>#NAME?</v>
      </c>
      <c r="R141" t="e">
        <f ca="1"/>
        <v>#NAME?</v>
      </c>
      <c r="S141" t="e">
        <f ca="1"/>
        <v>#NAME?</v>
      </c>
      <c r="T141" t="e">
        <f ca="1"/>
        <v>#NAME?</v>
      </c>
      <c r="U141" t="e">
        <f ca="1"/>
        <v>#NAME?</v>
      </c>
      <c r="V141" s="5" t="e">
        <f ca="1"/>
        <v>#NAME?</v>
      </c>
      <c r="W141" t="e">
        <f ca="1"/>
        <v>#NAME?</v>
      </c>
      <c r="X141" t="e">
        <f ca="1"/>
        <v>#NAME?</v>
      </c>
      <c r="Y141" t="e">
        <f ca="1"/>
        <v>#NAME?</v>
      </c>
      <c r="Z141" t="e">
        <f ca="1"/>
        <v>#NAME?</v>
      </c>
      <c r="AA141" t="e">
        <f ca="1"/>
        <v>#NAME?</v>
      </c>
      <c r="AB141" t="e">
        <f ca="1"/>
        <v>#NAME?</v>
      </c>
    </row>
    <row r="142" spans="1:28" x14ac:dyDescent="0.2">
      <c r="A142" t="e">
        <f ca="1"/>
        <v>#NAME?</v>
      </c>
      <c r="B142" t="e">
        <f ca="1"/>
        <v>#NAME?</v>
      </c>
      <c r="C142" t="e">
        <f ca="1"/>
        <v>#NAME?</v>
      </c>
      <c r="D142" t="e">
        <f ca="1"/>
        <v>#NAME?</v>
      </c>
      <c r="E142" t="e">
        <f ca="1"/>
        <v>#NAME?</v>
      </c>
      <c r="F142" t="e">
        <f ca="1"/>
        <v>#NAME?</v>
      </c>
      <c r="G142" t="e">
        <f ca="1"/>
        <v>#NAME?</v>
      </c>
      <c r="H142" t="e">
        <f ca="1"/>
        <v>#NAME?</v>
      </c>
      <c r="I142" t="e">
        <f ca="1"/>
        <v>#NAME?</v>
      </c>
      <c r="J142" t="e">
        <f ca="1"/>
        <v>#NAME?</v>
      </c>
      <c r="K142" t="e">
        <f ca="1"/>
        <v>#NAME?</v>
      </c>
      <c r="L142" t="e">
        <f ca="1"/>
        <v>#NAME?</v>
      </c>
      <c r="M142" t="e">
        <f ca="1"/>
        <v>#NAME?</v>
      </c>
      <c r="N142" t="e">
        <f ca="1"/>
        <v>#NAME?</v>
      </c>
      <c r="O142" t="e">
        <f ca="1"/>
        <v>#NAME?</v>
      </c>
      <c r="P142" t="e">
        <f ca="1"/>
        <v>#NAME?</v>
      </c>
      <c r="Q142" t="e">
        <f ca="1"/>
        <v>#NAME?</v>
      </c>
      <c r="R142" t="e">
        <f ca="1"/>
        <v>#NAME?</v>
      </c>
      <c r="S142" t="e">
        <f ca="1"/>
        <v>#NAME?</v>
      </c>
      <c r="T142" t="e">
        <f ca="1"/>
        <v>#NAME?</v>
      </c>
      <c r="U142" t="e">
        <f ca="1"/>
        <v>#NAME?</v>
      </c>
      <c r="V142" s="5" t="e">
        <f ca="1"/>
        <v>#NAME?</v>
      </c>
      <c r="W142" t="e">
        <f ca="1"/>
        <v>#NAME?</v>
      </c>
      <c r="X142" t="e">
        <f ca="1"/>
        <v>#NAME?</v>
      </c>
      <c r="Y142" t="e">
        <f ca="1"/>
        <v>#NAME?</v>
      </c>
      <c r="Z142" t="e">
        <f ca="1"/>
        <v>#NAME?</v>
      </c>
      <c r="AA142" t="e">
        <f ca="1"/>
        <v>#NAME?</v>
      </c>
      <c r="AB142" t="e">
        <f ca="1"/>
        <v>#NAME?</v>
      </c>
    </row>
    <row r="143" spans="1:28" x14ac:dyDescent="0.2">
      <c r="A143" t="e">
        <f ca="1"/>
        <v>#NAME?</v>
      </c>
      <c r="B143" t="e">
        <f ca="1"/>
        <v>#NAME?</v>
      </c>
      <c r="C143" t="e">
        <f ca="1"/>
        <v>#NAME?</v>
      </c>
      <c r="D143" t="e">
        <f ca="1"/>
        <v>#NAME?</v>
      </c>
      <c r="E143" t="e">
        <f ca="1"/>
        <v>#NAME?</v>
      </c>
      <c r="F143" t="e">
        <f ca="1"/>
        <v>#NAME?</v>
      </c>
      <c r="G143" t="e">
        <f ca="1"/>
        <v>#NAME?</v>
      </c>
      <c r="H143" t="e">
        <f ca="1"/>
        <v>#NAME?</v>
      </c>
      <c r="I143" t="e">
        <f ca="1"/>
        <v>#NAME?</v>
      </c>
      <c r="J143" t="e">
        <f ca="1"/>
        <v>#NAME?</v>
      </c>
      <c r="K143" t="e">
        <f ca="1"/>
        <v>#NAME?</v>
      </c>
      <c r="L143" t="e">
        <f ca="1"/>
        <v>#NAME?</v>
      </c>
      <c r="M143" t="e">
        <f ca="1"/>
        <v>#NAME?</v>
      </c>
      <c r="N143" t="e">
        <f ca="1"/>
        <v>#NAME?</v>
      </c>
      <c r="O143" t="e">
        <f ca="1"/>
        <v>#NAME?</v>
      </c>
      <c r="P143" t="e">
        <f ca="1"/>
        <v>#NAME?</v>
      </c>
      <c r="Q143" t="e">
        <f ca="1"/>
        <v>#NAME?</v>
      </c>
      <c r="R143" t="e">
        <f ca="1"/>
        <v>#NAME?</v>
      </c>
      <c r="S143" t="e">
        <f ca="1"/>
        <v>#NAME?</v>
      </c>
      <c r="T143" t="e">
        <f ca="1"/>
        <v>#NAME?</v>
      </c>
      <c r="U143" t="e">
        <f ca="1"/>
        <v>#NAME?</v>
      </c>
      <c r="V143" s="5" t="e">
        <f ca="1"/>
        <v>#NAME?</v>
      </c>
      <c r="W143" t="e">
        <f ca="1"/>
        <v>#NAME?</v>
      </c>
      <c r="X143" t="e">
        <f ca="1"/>
        <v>#NAME?</v>
      </c>
      <c r="Y143" t="e">
        <f ca="1"/>
        <v>#NAME?</v>
      </c>
      <c r="Z143" t="e">
        <f ca="1"/>
        <v>#NAME?</v>
      </c>
      <c r="AA143" t="e">
        <f ca="1"/>
        <v>#NAME?</v>
      </c>
      <c r="AB143" t="e">
        <f ca="1"/>
        <v>#NAME?</v>
      </c>
    </row>
    <row r="144" spans="1:28" x14ac:dyDescent="0.2">
      <c r="A144" t="e">
        <f ca="1"/>
        <v>#NAME?</v>
      </c>
      <c r="B144" t="e">
        <f ca="1"/>
        <v>#NAME?</v>
      </c>
      <c r="C144" t="e">
        <f ca="1"/>
        <v>#NAME?</v>
      </c>
      <c r="D144" t="e">
        <f ca="1"/>
        <v>#NAME?</v>
      </c>
      <c r="E144" t="e">
        <f ca="1"/>
        <v>#NAME?</v>
      </c>
      <c r="F144" t="e">
        <f ca="1"/>
        <v>#NAME?</v>
      </c>
      <c r="G144" t="e">
        <f ca="1"/>
        <v>#NAME?</v>
      </c>
      <c r="H144" t="e">
        <f ca="1"/>
        <v>#NAME?</v>
      </c>
      <c r="I144" t="e">
        <f ca="1"/>
        <v>#NAME?</v>
      </c>
      <c r="J144" t="e">
        <f ca="1"/>
        <v>#NAME?</v>
      </c>
      <c r="K144" t="e">
        <f ca="1"/>
        <v>#NAME?</v>
      </c>
      <c r="L144" t="e">
        <f ca="1"/>
        <v>#NAME?</v>
      </c>
      <c r="M144" t="e">
        <f ca="1"/>
        <v>#NAME?</v>
      </c>
      <c r="N144" t="e">
        <f ca="1"/>
        <v>#NAME?</v>
      </c>
      <c r="O144" t="e">
        <f ca="1"/>
        <v>#NAME?</v>
      </c>
      <c r="P144" t="e">
        <f ca="1"/>
        <v>#NAME?</v>
      </c>
      <c r="Q144" t="e">
        <f ca="1"/>
        <v>#NAME?</v>
      </c>
      <c r="R144" t="e">
        <f ca="1"/>
        <v>#NAME?</v>
      </c>
      <c r="S144" t="e">
        <f ca="1"/>
        <v>#NAME?</v>
      </c>
      <c r="T144" t="e">
        <f ca="1"/>
        <v>#NAME?</v>
      </c>
      <c r="U144" t="e">
        <f ca="1"/>
        <v>#NAME?</v>
      </c>
      <c r="V144" s="5" t="e">
        <f ca="1"/>
        <v>#NAME?</v>
      </c>
      <c r="W144" t="e">
        <f ca="1"/>
        <v>#NAME?</v>
      </c>
      <c r="X144" t="e">
        <f ca="1"/>
        <v>#NAME?</v>
      </c>
      <c r="Y144" t="e">
        <f ca="1"/>
        <v>#NAME?</v>
      </c>
      <c r="Z144" t="e">
        <f ca="1"/>
        <v>#NAME?</v>
      </c>
      <c r="AA144" t="e">
        <f ca="1"/>
        <v>#NAME?</v>
      </c>
      <c r="AB144" t="e">
        <f ca="1"/>
        <v>#NAME?</v>
      </c>
    </row>
    <row r="145" spans="1:28" x14ac:dyDescent="0.2">
      <c r="A145" t="e">
        <f ca="1"/>
        <v>#NAME?</v>
      </c>
      <c r="B145" t="e">
        <f ca="1"/>
        <v>#NAME?</v>
      </c>
      <c r="C145" t="e">
        <f ca="1"/>
        <v>#NAME?</v>
      </c>
      <c r="D145" t="e">
        <f ca="1"/>
        <v>#NAME?</v>
      </c>
      <c r="E145" t="e">
        <f ca="1"/>
        <v>#NAME?</v>
      </c>
      <c r="F145" t="e">
        <f ca="1"/>
        <v>#NAME?</v>
      </c>
      <c r="G145" t="e">
        <f ca="1"/>
        <v>#NAME?</v>
      </c>
      <c r="H145" t="e">
        <f ca="1"/>
        <v>#NAME?</v>
      </c>
      <c r="I145" t="e">
        <f ca="1"/>
        <v>#NAME?</v>
      </c>
      <c r="J145" t="e">
        <f ca="1"/>
        <v>#NAME?</v>
      </c>
      <c r="K145" t="e">
        <f ca="1"/>
        <v>#NAME?</v>
      </c>
      <c r="L145" t="e">
        <f ca="1"/>
        <v>#NAME?</v>
      </c>
      <c r="M145" t="e">
        <f ca="1"/>
        <v>#NAME?</v>
      </c>
      <c r="N145" t="e">
        <f ca="1"/>
        <v>#NAME?</v>
      </c>
      <c r="O145" t="e">
        <f ca="1"/>
        <v>#NAME?</v>
      </c>
      <c r="P145" t="e">
        <f ca="1"/>
        <v>#NAME?</v>
      </c>
      <c r="Q145" t="e">
        <f ca="1"/>
        <v>#NAME?</v>
      </c>
      <c r="R145" t="e">
        <f ca="1"/>
        <v>#NAME?</v>
      </c>
      <c r="S145" t="e">
        <f ca="1"/>
        <v>#NAME?</v>
      </c>
      <c r="T145" t="e">
        <f ca="1"/>
        <v>#NAME?</v>
      </c>
      <c r="U145" t="e">
        <f ca="1"/>
        <v>#NAME?</v>
      </c>
      <c r="V145" s="5" t="e">
        <f ca="1"/>
        <v>#NAME?</v>
      </c>
      <c r="W145" t="e">
        <f ca="1"/>
        <v>#NAME?</v>
      </c>
      <c r="X145" t="e">
        <f ca="1"/>
        <v>#NAME?</v>
      </c>
      <c r="Y145" t="e">
        <f ca="1"/>
        <v>#NAME?</v>
      </c>
      <c r="Z145" t="e">
        <f ca="1"/>
        <v>#NAME?</v>
      </c>
      <c r="AA145" t="e">
        <f ca="1"/>
        <v>#NAME?</v>
      </c>
      <c r="AB145" t="e">
        <f ca="1"/>
        <v>#NAME?</v>
      </c>
    </row>
    <row r="146" spans="1:28" x14ac:dyDescent="0.2">
      <c r="A146" t="e">
        <f ca="1"/>
        <v>#NAME?</v>
      </c>
      <c r="B146" t="e">
        <f ca="1"/>
        <v>#NAME?</v>
      </c>
      <c r="C146" t="e">
        <f ca="1"/>
        <v>#NAME?</v>
      </c>
      <c r="D146" t="e">
        <f ca="1"/>
        <v>#NAME?</v>
      </c>
      <c r="E146" t="e">
        <f ca="1"/>
        <v>#NAME?</v>
      </c>
      <c r="F146" t="e">
        <f ca="1"/>
        <v>#NAME?</v>
      </c>
      <c r="G146" t="e">
        <f ca="1"/>
        <v>#NAME?</v>
      </c>
      <c r="H146" t="e">
        <f ca="1"/>
        <v>#NAME?</v>
      </c>
      <c r="I146" t="e">
        <f ca="1"/>
        <v>#NAME?</v>
      </c>
      <c r="J146" t="e">
        <f ca="1"/>
        <v>#NAME?</v>
      </c>
      <c r="K146" t="e">
        <f ca="1"/>
        <v>#NAME?</v>
      </c>
      <c r="L146" t="e">
        <f ca="1"/>
        <v>#NAME?</v>
      </c>
      <c r="M146" t="e">
        <f ca="1"/>
        <v>#NAME?</v>
      </c>
      <c r="N146" t="e">
        <f ca="1"/>
        <v>#NAME?</v>
      </c>
      <c r="O146" t="e">
        <f ca="1"/>
        <v>#NAME?</v>
      </c>
      <c r="P146" t="e">
        <f ca="1"/>
        <v>#NAME?</v>
      </c>
      <c r="Q146" t="e">
        <f ca="1"/>
        <v>#NAME?</v>
      </c>
      <c r="R146" t="e">
        <f ca="1"/>
        <v>#NAME?</v>
      </c>
      <c r="S146" t="e">
        <f ca="1"/>
        <v>#NAME?</v>
      </c>
      <c r="T146" t="e">
        <f ca="1"/>
        <v>#NAME?</v>
      </c>
      <c r="U146" t="e">
        <f ca="1"/>
        <v>#NAME?</v>
      </c>
      <c r="V146" s="5" t="e">
        <f ca="1"/>
        <v>#NAME?</v>
      </c>
      <c r="W146" t="e">
        <f ca="1"/>
        <v>#NAME?</v>
      </c>
      <c r="X146" t="e">
        <f ca="1"/>
        <v>#NAME?</v>
      </c>
      <c r="Y146" t="e">
        <f ca="1"/>
        <v>#NAME?</v>
      </c>
      <c r="Z146" t="e">
        <f ca="1"/>
        <v>#NAME?</v>
      </c>
      <c r="AA146" t="e">
        <f ca="1"/>
        <v>#NAME?</v>
      </c>
      <c r="AB146" t="e">
        <f ca="1"/>
        <v>#NAME?</v>
      </c>
    </row>
    <row r="147" spans="1:28" x14ac:dyDescent="0.2">
      <c r="A147" t="e">
        <f ca="1"/>
        <v>#NAME?</v>
      </c>
      <c r="B147" t="e">
        <f ca="1"/>
        <v>#NAME?</v>
      </c>
      <c r="C147" t="e">
        <f ca="1"/>
        <v>#NAME?</v>
      </c>
      <c r="D147" t="e">
        <f ca="1"/>
        <v>#NAME?</v>
      </c>
      <c r="E147" t="e">
        <f ca="1"/>
        <v>#NAME?</v>
      </c>
      <c r="F147" t="e">
        <f ca="1"/>
        <v>#NAME?</v>
      </c>
      <c r="G147" t="e">
        <f ca="1"/>
        <v>#NAME?</v>
      </c>
      <c r="H147" t="e">
        <f ca="1"/>
        <v>#NAME?</v>
      </c>
      <c r="I147" t="e">
        <f ca="1"/>
        <v>#NAME?</v>
      </c>
      <c r="J147" t="e">
        <f ca="1"/>
        <v>#NAME?</v>
      </c>
      <c r="K147" t="e">
        <f ca="1"/>
        <v>#NAME?</v>
      </c>
      <c r="L147" t="e">
        <f ca="1"/>
        <v>#NAME?</v>
      </c>
      <c r="M147" t="e">
        <f ca="1"/>
        <v>#NAME?</v>
      </c>
      <c r="N147" t="e">
        <f ca="1"/>
        <v>#NAME?</v>
      </c>
      <c r="O147" t="e">
        <f ca="1"/>
        <v>#NAME?</v>
      </c>
      <c r="P147" t="e">
        <f ca="1"/>
        <v>#NAME?</v>
      </c>
      <c r="Q147" t="e">
        <f ca="1"/>
        <v>#NAME?</v>
      </c>
      <c r="R147" t="e">
        <f ca="1"/>
        <v>#NAME?</v>
      </c>
      <c r="S147" t="e">
        <f ca="1"/>
        <v>#NAME?</v>
      </c>
      <c r="T147" t="e">
        <f ca="1"/>
        <v>#NAME?</v>
      </c>
      <c r="U147" t="e">
        <f ca="1"/>
        <v>#NAME?</v>
      </c>
      <c r="V147" s="5" t="e">
        <f ca="1"/>
        <v>#NAME?</v>
      </c>
      <c r="W147" t="e">
        <f ca="1"/>
        <v>#NAME?</v>
      </c>
      <c r="X147" t="e">
        <f ca="1"/>
        <v>#NAME?</v>
      </c>
      <c r="Y147" t="e">
        <f ca="1"/>
        <v>#NAME?</v>
      </c>
      <c r="Z147" t="e">
        <f ca="1"/>
        <v>#NAME?</v>
      </c>
      <c r="AA147" t="e">
        <f ca="1"/>
        <v>#NAME?</v>
      </c>
      <c r="AB147" t="e">
        <f ca="1"/>
        <v>#NAME?</v>
      </c>
    </row>
    <row r="148" spans="1:28" x14ac:dyDescent="0.2">
      <c r="A148" t="e">
        <f ca="1"/>
        <v>#NAME?</v>
      </c>
      <c r="B148" t="e">
        <f ca="1"/>
        <v>#NAME?</v>
      </c>
      <c r="C148" t="e">
        <f ca="1"/>
        <v>#NAME?</v>
      </c>
      <c r="D148" t="e">
        <f ca="1"/>
        <v>#NAME?</v>
      </c>
      <c r="E148" t="e">
        <f ca="1"/>
        <v>#NAME?</v>
      </c>
      <c r="F148" t="e">
        <f ca="1"/>
        <v>#NAME?</v>
      </c>
      <c r="G148" t="e">
        <f ca="1"/>
        <v>#NAME?</v>
      </c>
      <c r="H148" t="e">
        <f ca="1"/>
        <v>#NAME?</v>
      </c>
      <c r="I148" t="e">
        <f ca="1"/>
        <v>#NAME?</v>
      </c>
      <c r="J148" t="e">
        <f ca="1"/>
        <v>#NAME?</v>
      </c>
      <c r="K148" t="e">
        <f ca="1"/>
        <v>#NAME?</v>
      </c>
      <c r="L148" t="e">
        <f ca="1"/>
        <v>#NAME?</v>
      </c>
      <c r="M148" t="e">
        <f ca="1"/>
        <v>#NAME?</v>
      </c>
      <c r="N148" t="e">
        <f ca="1"/>
        <v>#NAME?</v>
      </c>
      <c r="O148" t="e">
        <f ca="1"/>
        <v>#NAME?</v>
      </c>
      <c r="P148" t="e">
        <f ca="1"/>
        <v>#NAME?</v>
      </c>
      <c r="Q148" t="e">
        <f ca="1"/>
        <v>#NAME?</v>
      </c>
      <c r="R148" t="e">
        <f ca="1"/>
        <v>#NAME?</v>
      </c>
      <c r="S148" t="e">
        <f ca="1"/>
        <v>#NAME?</v>
      </c>
      <c r="T148" t="e">
        <f ca="1"/>
        <v>#NAME?</v>
      </c>
      <c r="U148" t="e">
        <f ca="1"/>
        <v>#NAME?</v>
      </c>
      <c r="V148" s="5" t="e">
        <f ca="1"/>
        <v>#NAME?</v>
      </c>
      <c r="W148" t="e">
        <f ca="1"/>
        <v>#NAME?</v>
      </c>
      <c r="X148" t="e">
        <f ca="1"/>
        <v>#NAME?</v>
      </c>
      <c r="Y148" t="e">
        <f ca="1"/>
        <v>#NAME?</v>
      </c>
      <c r="Z148" t="e">
        <f ca="1"/>
        <v>#NAME?</v>
      </c>
      <c r="AA148" t="e">
        <f ca="1"/>
        <v>#NAME?</v>
      </c>
      <c r="AB148" t="e">
        <f ca="1"/>
        <v>#NAME?</v>
      </c>
    </row>
    <row r="149" spans="1:28" x14ac:dyDescent="0.2">
      <c r="A149" t="e">
        <f ca="1"/>
        <v>#NAME?</v>
      </c>
      <c r="B149" t="e">
        <f ca="1"/>
        <v>#NAME?</v>
      </c>
      <c r="C149" t="e">
        <f ca="1"/>
        <v>#NAME?</v>
      </c>
      <c r="D149" t="e">
        <f ca="1"/>
        <v>#NAME?</v>
      </c>
      <c r="E149" t="e">
        <f ca="1"/>
        <v>#NAME?</v>
      </c>
      <c r="F149" t="e">
        <f ca="1"/>
        <v>#NAME?</v>
      </c>
      <c r="G149" t="e">
        <f ca="1"/>
        <v>#NAME?</v>
      </c>
      <c r="H149" t="e">
        <f ca="1"/>
        <v>#NAME?</v>
      </c>
      <c r="I149" t="e">
        <f ca="1"/>
        <v>#NAME?</v>
      </c>
      <c r="J149" t="e">
        <f ca="1"/>
        <v>#NAME?</v>
      </c>
      <c r="K149" t="e">
        <f ca="1"/>
        <v>#NAME?</v>
      </c>
      <c r="L149" t="e">
        <f ca="1"/>
        <v>#NAME?</v>
      </c>
      <c r="M149" t="e">
        <f ca="1"/>
        <v>#NAME?</v>
      </c>
      <c r="N149" t="e">
        <f ca="1"/>
        <v>#NAME?</v>
      </c>
      <c r="O149" t="e">
        <f ca="1"/>
        <v>#NAME?</v>
      </c>
      <c r="P149" t="e">
        <f ca="1"/>
        <v>#NAME?</v>
      </c>
      <c r="Q149" t="e">
        <f ca="1"/>
        <v>#NAME?</v>
      </c>
      <c r="R149" t="e">
        <f ca="1"/>
        <v>#NAME?</v>
      </c>
      <c r="S149" t="e">
        <f ca="1"/>
        <v>#NAME?</v>
      </c>
      <c r="T149" t="e">
        <f ca="1"/>
        <v>#NAME?</v>
      </c>
      <c r="U149" t="e">
        <f ca="1"/>
        <v>#NAME?</v>
      </c>
      <c r="V149" s="5" t="e">
        <f ca="1"/>
        <v>#NAME?</v>
      </c>
      <c r="W149" t="e">
        <f ca="1"/>
        <v>#NAME?</v>
      </c>
      <c r="X149" t="e">
        <f ca="1"/>
        <v>#NAME?</v>
      </c>
      <c r="Y149" t="e">
        <f ca="1"/>
        <v>#NAME?</v>
      </c>
      <c r="Z149" t="e">
        <f ca="1"/>
        <v>#NAME?</v>
      </c>
      <c r="AA149" t="e">
        <f ca="1"/>
        <v>#NAME?</v>
      </c>
      <c r="AB149" t="e">
        <f ca="1"/>
        <v>#NAME?</v>
      </c>
    </row>
    <row r="150" spans="1:28" x14ac:dyDescent="0.2">
      <c r="A150" t="e">
        <f ca="1"/>
        <v>#NAME?</v>
      </c>
      <c r="B150" t="e">
        <f ca="1"/>
        <v>#NAME?</v>
      </c>
      <c r="C150" t="e">
        <f ca="1"/>
        <v>#NAME?</v>
      </c>
      <c r="D150" t="e">
        <f ca="1"/>
        <v>#NAME?</v>
      </c>
      <c r="E150" t="e">
        <f ca="1"/>
        <v>#NAME?</v>
      </c>
      <c r="F150" t="e">
        <f ca="1"/>
        <v>#NAME?</v>
      </c>
      <c r="G150" t="e">
        <f ca="1"/>
        <v>#NAME?</v>
      </c>
      <c r="H150" t="e">
        <f ca="1"/>
        <v>#NAME?</v>
      </c>
      <c r="I150" t="e">
        <f ca="1"/>
        <v>#NAME?</v>
      </c>
      <c r="J150" t="e">
        <f ca="1"/>
        <v>#NAME?</v>
      </c>
      <c r="K150" t="e">
        <f ca="1"/>
        <v>#NAME?</v>
      </c>
      <c r="L150" t="e">
        <f ca="1"/>
        <v>#NAME?</v>
      </c>
      <c r="M150" t="e">
        <f ca="1"/>
        <v>#NAME?</v>
      </c>
      <c r="N150" t="e">
        <f ca="1"/>
        <v>#NAME?</v>
      </c>
      <c r="O150" t="e">
        <f ca="1"/>
        <v>#NAME?</v>
      </c>
      <c r="P150" t="e">
        <f ca="1"/>
        <v>#NAME?</v>
      </c>
      <c r="Q150" t="e">
        <f ca="1"/>
        <v>#NAME?</v>
      </c>
      <c r="R150" t="e">
        <f ca="1"/>
        <v>#NAME?</v>
      </c>
      <c r="S150" t="e">
        <f ca="1"/>
        <v>#NAME?</v>
      </c>
      <c r="T150" t="e">
        <f ca="1"/>
        <v>#NAME?</v>
      </c>
      <c r="U150" t="e">
        <f ca="1"/>
        <v>#NAME?</v>
      </c>
      <c r="V150" s="5" t="e">
        <f ca="1"/>
        <v>#NAME?</v>
      </c>
      <c r="W150" t="e">
        <f ca="1"/>
        <v>#NAME?</v>
      </c>
      <c r="X150" t="e">
        <f ca="1"/>
        <v>#NAME?</v>
      </c>
      <c r="Y150" t="e">
        <f ca="1"/>
        <v>#NAME?</v>
      </c>
      <c r="Z150" t="e">
        <f ca="1"/>
        <v>#NAME?</v>
      </c>
      <c r="AA150" t="e">
        <f ca="1"/>
        <v>#NAME?</v>
      </c>
      <c r="AB150" t="e">
        <f ca="1"/>
        <v>#NAME?</v>
      </c>
    </row>
    <row r="151" spans="1:28" x14ac:dyDescent="0.2">
      <c r="A151" t="e">
        <f ca="1"/>
        <v>#NAME?</v>
      </c>
      <c r="B151" t="e">
        <f ca="1"/>
        <v>#NAME?</v>
      </c>
      <c r="C151" t="e">
        <f ca="1"/>
        <v>#NAME?</v>
      </c>
      <c r="D151" t="e">
        <f ca="1"/>
        <v>#NAME?</v>
      </c>
      <c r="E151" t="e">
        <f ca="1"/>
        <v>#NAME?</v>
      </c>
      <c r="F151" t="e">
        <f ca="1"/>
        <v>#NAME?</v>
      </c>
      <c r="G151" t="e">
        <f ca="1"/>
        <v>#NAME?</v>
      </c>
      <c r="H151" t="e">
        <f ca="1"/>
        <v>#NAME?</v>
      </c>
      <c r="I151" t="e">
        <f ca="1"/>
        <v>#NAME?</v>
      </c>
      <c r="J151" t="e">
        <f ca="1"/>
        <v>#NAME?</v>
      </c>
      <c r="K151" t="e">
        <f ca="1"/>
        <v>#NAME?</v>
      </c>
      <c r="L151" t="e">
        <f ca="1"/>
        <v>#NAME?</v>
      </c>
      <c r="M151" t="e">
        <f ca="1"/>
        <v>#NAME?</v>
      </c>
      <c r="N151" t="e">
        <f ca="1"/>
        <v>#NAME?</v>
      </c>
      <c r="O151" t="e">
        <f ca="1"/>
        <v>#NAME?</v>
      </c>
      <c r="P151" t="e">
        <f ca="1"/>
        <v>#NAME?</v>
      </c>
      <c r="Q151" t="e">
        <f ca="1"/>
        <v>#NAME?</v>
      </c>
      <c r="R151" t="e">
        <f ca="1"/>
        <v>#NAME?</v>
      </c>
      <c r="S151" t="e">
        <f ca="1"/>
        <v>#NAME?</v>
      </c>
      <c r="T151" t="e">
        <f ca="1"/>
        <v>#NAME?</v>
      </c>
      <c r="U151" t="e">
        <f ca="1"/>
        <v>#NAME?</v>
      </c>
      <c r="V151" s="5" t="e">
        <f ca="1"/>
        <v>#NAME?</v>
      </c>
      <c r="W151" t="e">
        <f ca="1"/>
        <v>#NAME?</v>
      </c>
      <c r="X151" t="e">
        <f ca="1"/>
        <v>#NAME?</v>
      </c>
      <c r="Y151" t="e">
        <f ca="1"/>
        <v>#NAME?</v>
      </c>
      <c r="Z151" t="e">
        <f ca="1"/>
        <v>#NAME?</v>
      </c>
      <c r="AA151" t="e">
        <f ca="1"/>
        <v>#NAME?</v>
      </c>
      <c r="AB151" t="e">
        <f ca="1"/>
        <v>#NAME?</v>
      </c>
    </row>
    <row r="152" spans="1:28" x14ac:dyDescent="0.2">
      <c r="A152" t="e">
        <f ca="1"/>
        <v>#NAME?</v>
      </c>
      <c r="B152" t="e">
        <f ca="1"/>
        <v>#NAME?</v>
      </c>
      <c r="C152" t="e">
        <f ca="1"/>
        <v>#NAME?</v>
      </c>
      <c r="D152" t="e">
        <f ca="1"/>
        <v>#NAME?</v>
      </c>
      <c r="E152" t="e">
        <f ca="1"/>
        <v>#NAME?</v>
      </c>
      <c r="F152" t="e">
        <f ca="1"/>
        <v>#NAME?</v>
      </c>
      <c r="G152" t="e">
        <f ca="1"/>
        <v>#NAME?</v>
      </c>
      <c r="H152" t="e">
        <f ca="1"/>
        <v>#NAME?</v>
      </c>
      <c r="I152" t="e">
        <f ca="1"/>
        <v>#NAME?</v>
      </c>
      <c r="J152" t="e">
        <f ca="1"/>
        <v>#NAME?</v>
      </c>
      <c r="K152" t="e">
        <f ca="1"/>
        <v>#NAME?</v>
      </c>
      <c r="L152" t="e">
        <f ca="1"/>
        <v>#NAME?</v>
      </c>
      <c r="M152" t="e">
        <f ca="1"/>
        <v>#NAME?</v>
      </c>
      <c r="N152" t="e">
        <f ca="1"/>
        <v>#NAME?</v>
      </c>
      <c r="O152" t="e">
        <f ca="1"/>
        <v>#NAME?</v>
      </c>
      <c r="P152" t="e">
        <f ca="1"/>
        <v>#NAME?</v>
      </c>
      <c r="Q152" t="e">
        <f ca="1"/>
        <v>#NAME?</v>
      </c>
      <c r="R152" t="e">
        <f ca="1"/>
        <v>#NAME?</v>
      </c>
      <c r="S152" t="e">
        <f ca="1"/>
        <v>#NAME?</v>
      </c>
      <c r="T152" t="e">
        <f ca="1"/>
        <v>#NAME?</v>
      </c>
      <c r="U152" t="e">
        <f ca="1"/>
        <v>#NAME?</v>
      </c>
      <c r="V152" s="5" t="e">
        <f ca="1"/>
        <v>#NAME?</v>
      </c>
      <c r="W152" t="e">
        <f ca="1"/>
        <v>#NAME?</v>
      </c>
      <c r="X152" t="e">
        <f ca="1"/>
        <v>#NAME?</v>
      </c>
      <c r="Y152" t="e">
        <f ca="1"/>
        <v>#NAME?</v>
      </c>
      <c r="Z152" t="e">
        <f ca="1"/>
        <v>#NAME?</v>
      </c>
      <c r="AA152" t="e">
        <f ca="1"/>
        <v>#NAME?</v>
      </c>
      <c r="AB152" t="e">
        <f ca="1"/>
        <v>#NAME?</v>
      </c>
    </row>
    <row r="153" spans="1:28" x14ac:dyDescent="0.2">
      <c r="A153" t="e">
        <f ca="1"/>
        <v>#NAME?</v>
      </c>
      <c r="B153" t="e">
        <f ca="1"/>
        <v>#NAME?</v>
      </c>
      <c r="C153" t="e">
        <f ca="1"/>
        <v>#NAME?</v>
      </c>
      <c r="D153" t="e">
        <f ca="1"/>
        <v>#NAME?</v>
      </c>
      <c r="E153" t="e">
        <f ca="1"/>
        <v>#NAME?</v>
      </c>
      <c r="F153" t="e">
        <f ca="1"/>
        <v>#NAME?</v>
      </c>
      <c r="G153" t="e">
        <f ca="1"/>
        <v>#NAME?</v>
      </c>
      <c r="H153" t="e">
        <f ca="1"/>
        <v>#NAME?</v>
      </c>
      <c r="I153" t="e">
        <f ca="1"/>
        <v>#NAME?</v>
      </c>
      <c r="J153" t="e">
        <f ca="1"/>
        <v>#NAME?</v>
      </c>
      <c r="K153" t="e">
        <f ca="1"/>
        <v>#NAME?</v>
      </c>
      <c r="L153" t="e">
        <f ca="1"/>
        <v>#NAME?</v>
      </c>
      <c r="M153" t="e">
        <f ca="1"/>
        <v>#NAME?</v>
      </c>
      <c r="N153" t="e">
        <f ca="1"/>
        <v>#NAME?</v>
      </c>
      <c r="O153" t="e">
        <f ca="1"/>
        <v>#NAME?</v>
      </c>
      <c r="P153" t="e">
        <f ca="1"/>
        <v>#NAME?</v>
      </c>
      <c r="Q153" t="e">
        <f ca="1"/>
        <v>#NAME?</v>
      </c>
      <c r="R153" t="e">
        <f ca="1"/>
        <v>#NAME?</v>
      </c>
      <c r="S153" t="e">
        <f ca="1"/>
        <v>#NAME?</v>
      </c>
      <c r="T153" t="e">
        <f ca="1"/>
        <v>#NAME?</v>
      </c>
      <c r="U153" t="e">
        <f ca="1"/>
        <v>#NAME?</v>
      </c>
      <c r="V153" s="5" t="e">
        <f ca="1"/>
        <v>#NAME?</v>
      </c>
      <c r="W153" t="e">
        <f ca="1"/>
        <v>#NAME?</v>
      </c>
      <c r="X153" t="e">
        <f ca="1"/>
        <v>#NAME?</v>
      </c>
      <c r="Y153" t="e">
        <f ca="1"/>
        <v>#NAME?</v>
      </c>
      <c r="Z153" t="e">
        <f ca="1"/>
        <v>#NAME?</v>
      </c>
      <c r="AA153" t="e">
        <f ca="1"/>
        <v>#NAME?</v>
      </c>
      <c r="AB153" t="e">
        <f ca="1"/>
        <v>#NAME?</v>
      </c>
    </row>
    <row r="154" spans="1:28" x14ac:dyDescent="0.2">
      <c r="A154" t="e">
        <f ca="1"/>
        <v>#NAME?</v>
      </c>
      <c r="B154" t="e">
        <f ca="1"/>
        <v>#NAME?</v>
      </c>
      <c r="C154" t="e">
        <f ca="1"/>
        <v>#NAME?</v>
      </c>
      <c r="D154" t="e">
        <f ca="1"/>
        <v>#NAME?</v>
      </c>
      <c r="E154" t="e">
        <f ca="1"/>
        <v>#NAME?</v>
      </c>
      <c r="F154" t="e">
        <f ca="1"/>
        <v>#NAME?</v>
      </c>
      <c r="G154" t="e">
        <f ca="1"/>
        <v>#NAME?</v>
      </c>
      <c r="H154" t="e">
        <f ca="1"/>
        <v>#NAME?</v>
      </c>
      <c r="I154" t="e">
        <f ca="1"/>
        <v>#NAME?</v>
      </c>
      <c r="J154" t="e">
        <f ca="1"/>
        <v>#NAME?</v>
      </c>
      <c r="K154" t="e">
        <f ca="1"/>
        <v>#NAME?</v>
      </c>
      <c r="L154" t="e">
        <f ca="1"/>
        <v>#NAME?</v>
      </c>
      <c r="M154" t="e">
        <f ca="1"/>
        <v>#NAME?</v>
      </c>
      <c r="N154" t="e">
        <f ca="1"/>
        <v>#NAME?</v>
      </c>
      <c r="O154" t="e">
        <f ca="1"/>
        <v>#NAME?</v>
      </c>
      <c r="P154" t="e">
        <f ca="1"/>
        <v>#NAME?</v>
      </c>
      <c r="Q154" t="e">
        <f ca="1"/>
        <v>#NAME?</v>
      </c>
      <c r="R154" t="e">
        <f ca="1"/>
        <v>#NAME?</v>
      </c>
      <c r="S154" t="e">
        <f ca="1"/>
        <v>#NAME?</v>
      </c>
      <c r="T154" t="e">
        <f ca="1"/>
        <v>#NAME?</v>
      </c>
      <c r="U154" t="e">
        <f ca="1"/>
        <v>#NAME?</v>
      </c>
      <c r="V154" s="5" t="e">
        <f ca="1"/>
        <v>#NAME?</v>
      </c>
      <c r="W154" t="e">
        <f ca="1"/>
        <v>#NAME?</v>
      </c>
      <c r="X154" t="e">
        <f ca="1"/>
        <v>#NAME?</v>
      </c>
      <c r="Y154" t="e">
        <f ca="1"/>
        <v>#NAME?</v>
      </c>
      <c r="Z154" t="e">
        <f ca="1"/>
        <v>#NAME?</v>
      </c>
      <c r="AA154" t="e">
        <f ca="1"/>
        <v>#NAME?</v>
      </c>
      <c r="AB154" t="e">
        <f ca="1"/>
        <v>#NAME?</v>
      </c>
    </row>
    <row r="155" spans="1:28" x14ac:dyDescent="0.2">
      <c r="A155" t="e">
        <f ca="1"/>
        <v>#NAME?</v>
      </c>
      <c r="B155" t="e">
        <f ca="1"/>
        <v>#NAME?</v>
      </c>
      <c r="C155" t="e">
        <f ca="1"/>
        <v>#NAME?</v>
      </c>
      <c r="D155" t="e">
        <f ca="1"/>
        <v>#NAME?</v>
      </c>
      <c r="E155" t="e">
        <f ca="1"/>
        <v>#NAME?</v>
      </c>
      <c r="F155" t="e">
        <f ca="1"/>
        <v>#NAME?</v>
      </c>
      <c r="G155" t="e">
        <f ca="1"/>
        <v>#NAME?</v>
      </c>
      <c r="H155" t="e">
        <f ca="1"/>
        <v>#NAME?</v>
      </c>
      <c r="I155" t="e">
        <f ca="1"/>
        <v>#NAME?</v>
      </c>
      <c r="J155" t="e">
        <f ca="1"/>
        <v>#NAME?</v>
      </c>
      <c r="K155" t="e">
        <f ca="1"/>
        <v>#NAME?</v>
      </c>
      <c r="L155" t="e">
        <f ca="1"/>
        <v>#NAME?</v>
      </c>
      <c r="M155" t="e">
        <f ca="1"/>
        <v>#NAME?</v>
      </c>
      <c r="N155" t="e">
        <f ca="1"/>
        <v>#NAME?</v>
      </c>
      <c r="O155" t="e">
        <f ca="1"/>
        <v>#NAME?</v>
      </c>
      <c r="P155" t="e">
        <f ca="1"/>
        <v>#NAME?</v>
      </c>
      <c r="Q155" t="e">
        <f ca="1"/>
        <v>#NAME?</v>
      </c>
      <c r="R155" t="e">
        <f ca="1"/>
        <v>#NAME?</v>
      </c>
      <c r="S155" t="e">
        <f ca="1"/>
        <v>#NAME?</v>
      </c>
      <c r="T155" t="e">
        <f ca="1"/>
        <v>#NAME?</v>
      </c>
      <c r="U155" t="e">
        <f ca="1"/>
        <v>#NAME?</v>
      </c>
      <c r="V155" s="5" t="e">
        <f ca="1"/>
        <v>#NAME?</v>
      </c>
      <c r="W155" t="e">
        <f ca="1"/>
        <v>#NAME?</v>
      </c>
      <c r="X155" t="e">
        <f ca="1"/>
        <v>#NAME?</v>
      </c>
      <c r="Y155" t="e">
        <f ca="1"/>
        <v>#NAME?</v>
      </c>
      <c r="Z155" t="e">
        <f ca="1"/>
        <v>#NAME?</v>
      </c>
      <c r="AA155" t="e">
        <f ca="1"/>
        <v>#NAME?</v>
      </c>
      <c r="AB155" t="e">
        <f ca="1"/>
        <v>#NAME?</v>
      </c>
    </row>
    <row r="156" spans="1:28" x14ac:dyDescent="0.2">
      <c r="A156" t="e">
        <f ca="1"/>
        <v>#NAME?</v>
      </c>
      <c r="B156" t="e">
        <f ca="1"/>
        <v>#NAME?</v>
      </c>
      <c r="C156" t="e">
        <f ca="1"/>
        <v>#NAME?</v>
      </c>
      <c r="D156" t="e">
        <f ca="1"/>
        <v>#NAME?</v>
      </c>
      <c r="E156" t="e">
        <f ca="1"/>
        <v>#NAME?</v>
      </c>
      <c r="F156" t="e">
        <f ca="1"/>
        <v>#NAME?</v>
      </c>
      <c r="G156" t="e">
        <f ca="1"/>
        <v>#NAME?</v>
      </c>
      <c r="H156" t="e">
        <f ca="1"/>
        <v>#NAME?</v>
      </c>
      <c r="I156" t="e">
        <f ca="1"/>
        <v>#NAME?</v>
      </c>
      <c r="J156" t="e">
        <f ca="1"/>
        <v>#NAME?</v>
      </c>
      <c r="K156" t="e">
        <f ca="1"/>
        <v>#NAME?</v>
      </c>
      <c r="L156" t="e">
        <f ca="1"/>
        <v>#NAME?</v>
      </c>
      <c r="M156" t="e">
        <f ca="1"/>
        <v>#NAME?</v>
      </c>
      <c r="N156" t="e">
        <f ca="1"/>
        <v>#NAME?</v>
      </c>
      <c r="O156" t="e">
        <f ca="1"/>
        <v>#NAME?</v>
      </c>
      <c r="P156" t="e">
        <f ca="1"/>
        <v>#NAME?</v>
      </c>
      <c r="Q156" t="e">
        <f ca="1"/>
        <v>#NAME?</v>
      </c>
      <c r="R156" t="e">
        <f ca="1"/>
        <v>#NAME?</v>
      </c>
      <c r="S156" t="e">
        <f ca="1"/>
        <v>#NAME?</v>
      </c>
      <c r="T156" t="e">
        <f ca="1"/>
        <v>#NAME?</v>
      </c>
      <c r="U156" t="e">
        <f ca="1"/>
        <v>#NAME?</v>
      </c>
      <c r="V156" s="5" t="e">
        <f ca="1"/>
        <v>#NAME?</v>
      </c>
      <c r="W156" t="e">
        <f ca="1"/>
        <v>#NAME?</v>
      </c>
      <c r="X156" t="e">
        <f ca="1"/>
        <v>#NAME?</v>
      </c>
      <c r="Y156" t="e">
        <f ca="1"/>
        <v>#NAME?</v>
      </c>
      <c r="Z156" t="e">
        <f ca="1"/>
        <v>#NAME?</v>
      </c>
      <c r="AA156" t="e">
        <f ca="1"/>
        <v>#NAME?</v>
      </c>
      <c r="AB156" t="e">
        <f ca="1"/>
        <v>#NAME?</v>
      </c>
    </row>
    <row r="157" spans="1:28" x14ac:dyDescent="0.2">
      <c r="A157" t="e">
        <f ca="1"/>
        <v>#NAME?</v>
      </c>
      <c r="B157" t="e">
        <f ca="1"/>
        <v>#NAME?</v>
      </c>
      <c r="C157" t="e">
        <f ca="1"/>
        <v>#NAME?</v>
      </c>
      <c r="D157" t="e">
        <f ca="1"/>
        <v>#NAME?</v>
      </c>
      <c r="E157" t="e">
        <f ca="1"/>
        <v>#NAME?</v>
      </c>
      <c r="F157" t="e">
        <f ca="1"/>
        <v>#NAME?</v>
      </c>
      <c r="G157" t="e">
        <f ca="1"/>
        <v>#NAME?</v>
      </c>
      <c r="H157" t="e">
        <f ca="1"/>
        <v>#NAME?</v>
      </c>
      <c r="I157" t="e">
        <f ca="1"/>
        <v>#NAME?</v>
      </c>
      <c r="J157" t="e">
        <f ca="1"/>
        <v>#NAME?</v>
      </c>
      <c r="K157" t="e">
        <f ca="1"/>
        <v>#NAME?</v>
      </c>
      <c r="L157" t="e">
        <f ca="1"/>
        <v>#NAME?</v>
      </c>
      <c r="M157" t="e">
        <f ca="1"/>
        <v>#NAME?</v>
      </c>
      <c r="N157" t="e">
        <f ca="1"/>
        <v>#NAME?</v>
      </c>
      <c r="O157" t="e">
        <f ca="1"/>
        <v>#NAME?</v>
      </c>
      <c r="P157" t="e">
        <f ca="1"/>
        <v>#NAME?</v>
      </c>
      <c r="Q157" t="e">
        <f ca="1"/>
        <v>#NAME?</v>
      </c>
      <c r="R157" t="e">
        <f ca="1"/>
        <v>#NAME?</v>
      </c>
      <c r="S157" t="e">
        <f ca="1"/>
        <v>#NAME?</v>
      </c>
      <c r="T157" t="e">
        <f ca="1"/>
        <v>#NAME?</v>
      </c>
      <c r="U157" t="e">
        <f ca="1"/>
        <v>#NAME?</v>
      </c>
      <c r="V157" s="5" t="e">
        <f ca="1"/>
        <v>#NAME?</v>
      </c>
      <c r="W157" t="e">
        <f ca="1"/>
        <v>#NAME?</v>
      </c>
      <c r="X157" t="e">
        <f ca="1"/>
        <v>#NAME?</v>
      </c>
      <c r="Y157" t="e">
        <f ca="1"/>
        <v>#NAME?</v>
      </c>
      <c r="Z157" t="e">
        <f ca="1"/>
        <v>#NAME?</v>
      </c>
      <c r="AA157" t="e">
        <f ca="1"/>
        <v>#NAME?</v>
      </c>
      <c r="AB157" t="e">
        <f ca="1"/>
        <v>#NAME?</v>
      </c>
    </row>
    <row r="158" spans="1:28" x14ac:dyDescent="0.2">
      <c r="A158" t="e">
        <f ca="1"/>
        <v>#NAME?</v>
      </c>
      <c r="B158" t="e">
        <f ca="1"/>
        <v>#NAME?</v>
      </c>
      <c r="C158" t="e">
        <f ca="1"/>
        <v>#NAME?</v>
      </c>
      <c r="D158" t="e">
        <f ca="1"/>
        <v>#NAME?</v>
      </c>
      <c r="E158" t="e">
        <f ca="1"/>
        <v>#NAME?</v>
      </c>
      <c r="F158" t="e">
        <f ca="1"/>
        <v>#NAME?</v>
      </c>
      <c r="G158" t="e">
        <f ca="1"/>
        <v>#NAME?</v>
      </c>
      <c r="H158" t="e">
        <f ca="1"/>
        <v>#NAME?</v>
      </c>
      <c r="I158" t="e">
        <f ca="1"/>
        <v>#NAME?</v>
      </c>
      <c r="J158" t="e">
        <f ca="1"/>
        <v>#NAME?</v>
      </c>
      <c r="K158" t="e">
        <f ca="1"/>
        <v>#NAME?</v>
      </c>
      <c r="L158" t="e">
        <f ca="1"/>
        <v>#NAME?</v>
      </c>
      <c r="M158" t="e">
        <f ca="1"/>
        <v>#NAME?</v>
      </c>
      <c r="N158" t="e">
        <f ca="1"/>
        <v>#NAME?</v>
      </c>
      <c r="O158" t="e">
        <f ca="1"/>
        <v>#NAME?</v>
      </c>
      <c r="P158" t="e">
        <f ca="1"/>
        <v>#NAME?</v>
      </c>
      <c r="Q158" t="e">
        <f ca="1"/>
        <v>#NAME?</v>
      </c>
      <c r="R158" t="e">
        <f ca="1"/>
        <v>#NAME?</v>
      </c>
      <c r="S158" t="e">
        <f ca="1"/>
        <v>#NAME?</v>
      </c>
      <c r="T158" t="e">
        <f ca="1"/>
        <v>#NAME?</v>
      </c>
      <c r="U158" t="e">
        <f ca="1"/>
        <v>#NAME?</v>
      </c>
      <c r="V158" s="5" t="e">
        <f ca="1"/>
        <v>#NAME?</v>
      </c>
      <c r="W158" t="e">
        <f ca="1"/>
        <v>#NAME?</v>
      </c>
      <c r="X158" t="e">
        <f ca="1"/>
        <v>#NAME?</v>
      </c>
      <c r="Y158" t="e">
        <f ca="1"/>
        <v>#NAME?</v>
      </c>
      <c r="Z158" t="e">
        <f ca="1"/>
        <v>#NAME?</v>
      </c>
      <c r="AA158" t="e">
        <f ca="1"/>
        <v>#NAME?</v>
      </c>
      <c r="AB158" t="e">
        <f ca="1"/>
        <v>#NAME?</v>
      </c>
    </row>
    <row r="159" spans="1:28" x14ac:dyDescent="0.2">
      <c r="A159" t="e">
        <f ca="1"/>
        <v>#NAME?</v>
      </c>
      <c r="B159" t="e">
        <f ca="1"/>
        <v>#NAME?</v>
      </c>
      <c r="C159" t="e">
        <f ca="1"/>
        <v>#NAME?</v>
      </c>
      <c r="D159" t="e">
        <f ca="1"/>
        <v>#NAME?</v>
      </c>
      <c r="E159" t="e">
        <f ca="1"/>
        <v>#NAME?</v>
      </c>
      <c r="F159" t="e">
        <f ca="1"/>
        <v>#NAME?</v>
      </c>
      <c r="G159" t="e">
        <f ca="1"/>
        <v>#NAME?</v>
      </c>
      <c r="H159" t="e">
        <f ca="1"/>
        <v>#NAME?</v>
      </c>
      <c r="I159" t="e">
        <f ca="1"/>
        <v>#NAME?</v>
      </c>
      <c r="J159" t="e">
        <f ca="1"/>
        <v>#NAME?</v>
      </c>
      <c r="K159" t="e">
        <f ca="1"/>
        <v>#NAME?</v>
      </c>
      <c r="L159" t="e">
        <f ca="1"/>
        <v>#NAME?</v>
      </c>
      <c r="M159" t="e">
        <f ca="1"/>
        <v>#NAME?</v>
      </c>
      <c r="N159" t="e">
        <f ca="1"/>
        <v>#NAME?</v>
      </c>
      <c r="O159" t="e">
        <f ca="1"/>
        <v>#NAME?</v>
      </c>
      <c r="P159" t="e">
        <f ca="1"/>
        <v>#NAME?</v>
      </c>
      <c r="Q159" t="e">
        <f ca="1"/>
        <v>#NAME?</v>
      </c>
      <c r="R159" t="e">
        <f ca="1"/>
        <v>#NAME?</v>
      </c>
      <c r="S159" t="e">
        <f ca="1"/>
        <v>#NAME?</v>
      </c>
      <c r="T159" t="e">
        <f ca="1"/>
        <v>#NAME?</v>
      </c>
      <c r="U159" t="e">
        <f ca="1"/>
        <v>#NAME?</v>
      </c>
      <c r="V159" s="5" t="e">
        <f ca="1"/>
        <v>#NAME?</v>
      </c>
      <c r="W159" t="e">
        <f ca="1"/>
        <v>#NAME?</v>
      </c>
      <c r="X159" t="e">
        <f ca="1"/>
        <v>#NAME?</v>
      </c>
      <c r="Y159" t="e">
        <f ca="1"/>
        <v>#NAME?</v>
      </c>
      <c r="Z159" t="e">
        <f ca="1"/>
        <v>#NAME?</v>
      </c>
      <c r="AA159" t="e">
        <f ca="1"/>
        <v>#NAME?</v>
      </c>
      <c r="AB159" t="e">
        <f ca="1"/>
        <v>#NAME?</v>
      </c>
    </row>
    <row r="160" spans="1:28" x14ac:dyDescent="0.2">
      <c r="A160" t="e">
        <f ca="1"/>
        <v>#NAME?</v>
      </c>
      <c r="B160" t="e">
        <f ca="1"/>
        <v>#NAME?</v>
      </c>
      <c r="C160" t="e">
        <f ca="1"/>
        <v>#NAME?</v>
      </c>
      <c r="D160" t="e">
        <f ca="1"/>
        <v>#NAME?</v>
      </c>
      <c r="E160" t="e">
        <f ca="1"/>
        <v>#NAME?</v>
      </c>
      <c r="F160" t="e">
        <f ca="1"/>
        <v>#NAME?</v>
      </c>
      <c r="G160" t="e">
        <f ca="1"/>
        <v>#NAME?</v>
      </c>
      <c r="H160" t="e">
        <f ca="1"/>
        <v>#NAME?</v>
      </c>
      <c r="I160" t="e">
        <f ca="1"/>
        <v>#NAME?</v>
      </c>
      <c r="J160" t="e">
        <f ca="1"/>
        <v>#NAME?</v>
      </c>
      <c r="K160" t="e">
        <f ca="1"/>
        <v>#NAME?</v>
      </c>
      <c r="L160" t="e">
        <f ca="1"/>
        <v>#NAME?</v>
      </c>
      <c r="M160" t="e">
        <f ca="1"/>
        <v>#NAME?</v>
      </c>
      <c r="N160" t="e">
        <f ca="1"/>
        <v>#NAME?</v>
      </c>
      <c r="O160" t="e">
        <f ca="1"/>
        <v>#NAME?</v>
      </c>
      <c r="P160" t="e">
        <f ca="1"/>
        <v>#NAME?</v>
      </c>
      <c r="Q160" t="e">
        <f ca="1"/>
        <v>#NAME?</v>
      </c>
      <c r="R160" t="e">
        <f ca="1"/>
        <v>#NAME?</v>
      </c>
      <c r="S160" t="e">
        <f ca="1"/>
        <v>#NAME?</v>
      </c>
      <c r="T160" t="e">
        <f ca="1"/>
        <v>#NAME?</v>
      </c>
      <c r="U160" t="e">
        <f ca="1"/>
        <v>#NAME?</v>
      </c>
      <c r="V160" s="5" t="e">
        <f ca="1"/>
        <v>#NAME?</v>
      </c>
      <c r="W160" t="e">
        <f ca="1"/>
        <v>#NAME?</v>
      </c>
      <c r="X160" t="e">
        <f ca="1"/>
        <v>#NAME?</v>
      </c>
      <c r="Y160" t="e">
        <f ca="1"/>
        <v>#NAME?</v>
      </c>
      <c r="Z160" t="e">
        <f ca="1"/>
        <v>#NAME?</v>
      </c>
      <c r="AA160" t="e">
        <f ca="1"/>
        <v>#NAME?</v>
      </c>
      <c r="AB160" t="e">
        <f ca="1"/>
        <v>#NAME?</v>
      </c>
    </row>
    <row r="161" spans="1:28" x14ac:dyDescent="0.2">
      <c r="A161" t="e">
        <f ca="1"/>
        <v>#NAME?</v>
      </c>
      <c r="B161" t="e">
        <f ca="1"/>
        <v>#NAME?</v>
      </c>
      <c r="C161" t="e">
        <f ca="1"/>
        <v>#NAME?</v>
      </c>
      <c r="D161" t="e">
        <f ca="1"/>
        <v>#NAME?</v>
      </c>
      <c r="E161" t="e">
        <f ca="1"/>
        <v>#NAME?</v>
      </c>
      <c r="F161" t="e">
        <f ca="1"/>
        <v>#NAME?</v>
      </c>
      <c r="G161" t="e">
        <f ca="1"/>
        <v>#NAME?</v>
      </c>
      <c r="H161" t="e">
        <f ca="1"/>
        <v>#NAME?</v>
      </c>
      <c r="I161" t="e">
        <f ca="1"/>
        <v>#NAME?</v>
      </c>
      <c r="J161" t="e">
        <f ca="1"/>
        <v>#NAME?</v>
      </c>
      <c r="K161" t="e">
        <f ca="1"/>
        <v>#NAME?</v>
      </c>
      <c r="L161" t="e">
        <f ca="1"/>
        <v>#NAME?</v>
      </c>
      <c r="M161" t="e">
        <f ca="1"/>
        <v>#NAME?</v>
      </c>
      <c r="N161" t="e">
        <f ca="1"/>
        <v>#NAME?</v>
      </c>
      <c r="O161" t="e">
        <f ca="1"/>
        <v>#NAME?</v>
      </c>
      <c r="P161" t="e">
        <f ca="1"/>
        <v>#NAME?</v>
      </c>
      <c r="Q161" t="e">
        <f ca="1"/>
        <v>#NAME?</v>
      </c>
      <c r="R161" t="e">
        <f ca="1"/>
        <v>#NAME?</v>
      </c>
      <c r="S161" t="e">
        <f ca="1"/>
        <v>#NAME?</v>
      </c>
      <c r="T161" t="e">
        <f ca="1"/>
        <v>#NAME?</v>
      </c>
      <c r="U161" t="e">
        <f ca="1"/>
        <v>#NAME?</v>
      </c>
      <c r="V161" s="5" t="e">
        <f ca="1"/>
        <v>#NAME?</v>
      </c>
      <c r="W161" t="e">
        <f ca="1"/>
        <v>#NAME?</v>
      </c>
      <c r="X161" t="e">
        <f ca="1"/>
        <v>#NAME?</v>
      </c>
      <c r="Y161" t="e">
        <f ca="1"/>
        <v>#NAME?</v>
      </c>
      <c r="Z161" t="e">
        <f ca="1"/>
        <v>#NAME?</v>
      </c>
      <c r="AA161" t="e">
        <f ca="1"/>
        <v>#NAME?</v>
      </c>
      <c r="AB161" t="e">
        <f ca="1"/>
        <v>#NAME?</v>
      </c>
    </row>
    <row r="162" spans="1:28" x14ac:dyDescent="0.2">
      <c r="A162" t="e">
        <f ca="1"/>
        <v>#NAME?</v>
      </c>
      <c r="B162" t="e">
        <f ca="1"/>
        <v>#NAME?</v>
      </c>
      <c r="C162" t="e">
        <f ca="1"/>
        <v>#NAME?</v>
      </c>
      <c r="D162" t="e">
        <f ca="1"/>
        <v>#NAME?</v>
      </c>
      <c r="E162" t="e">
        <f ca="1"/>
        <v>#NAME?</v>
      </c>
      <c r="F162" t="e">
        <f ca="1"/>
        <v>#NAME?</v>
      </c>
      <c r="G162" t="e">
        <f ca="1"/>
        <v>#NAME?</v>
      </c>
      <c r="H162" t="e">
        <f ca="1"/>
        <v>#NAME?</v>
      </c>
      <c r="I162" t="e">
        <f ca="1"/>
        <v>#NAME?</v>
      </c>
      <c r="J162" t="e">
        <f ca="1"/>
        <v>#NAME?</v>
      </c>
      <c r="K162" t="e">
        <f ca="1"/>
        <v>#NAME?</v>
      </c>
      <c r="L162" t="e">
        <f ca="1"/>
        <v>#NAME?</v>
      </c>
      <c r="M162" t="e">
        <f ca="1"/>
        <v>#NAME?</v>
      </c>
      <c r="N162" t="e">
        <f ca="1"/>
        <v>#NAME?</v>
      </c>
      <c r="O162" t="e">
        <f ca="1"/>
        <v>#NAME?</v>
      </c>
      <c r="P162" t="e">
        <f ca="1"/>
        <v>#NAME?</v>
      </c>
      <c r="Q162" t="e">
        <f ca="1"/>
        <v>#NAME?</v>
      </c>
      <c r="R162" t="e">
        <f ca="1"/>
        <v>#NAME?</v>
      </c>
      <c r="S162" t="e">
        <f ca="1"/>
        <v>#NAME?</v>
      </c>
      <c r="T162" t="e">
        <f ca="1"/>
        <v>#NAME?</v>
      </c>
      <c r="U162" t="e">
        <f ca="1"/>
        <v>#NAME?</v>
      </c>
      <c r="V162" s="5" t="e">
        <f ca="1"/>
        <v>#NAME?</v>
      </c>
      <c r="W162" t="e">
        <f ca="1"/>
        <v>#NAME?</v>
      </c>
      <c r="X162" t="e">
        <f ca="1"/>
        <v>#NAME?</v>
      </c>
      <c r="Y162" t="e">
        <f ca="1"/>
        <v>#NAME?</v>
      </c>
      <c r="Z162" t="e">
        <f ca="1"/>
        <v>#NAME?</v>
      </c>
      <c r="AA162" t="e">
        <f ca="1"/>
        <v>#NAME?</v>
      </c>
      <c r="AB162" t="e">
        <f ca="1"/>
        <v>#NAME?</v>
      </c>
    </row>
    <row r="163" spans="1:28" x14ac:dyDescent="0.2">
      <c r="A163" t="e">
        <f ca="1"/>
        <v>#NAME?</v>
      </c>
      <c r="B163" t="e">
        <f ca="1"/>
        <v>#NAME?</v>
      </c>
      <c r="C163" t="e">
        <f ca="1"/>
        <v>#NAME?</v>
      </c>
      <c r="D163" t="e">
        <f ca="1"/>
        <v>#NAME?</v>
      </c>
      <c r="E163" t="e">
        <f ca="1"/>
        <v>#NAME?</v>
      </c>
      <c r="F163" t="e">
        <f ca="1"/>
        <v>#NAME?</v>
      </c>
      <c r="G163" t="e">
        <f ca="1"/>
        <v>#NAME?</v>
      </c>
      <c r="H163" t="e">
        <f ca="1"/>
        <v>#NAME?</v>
      </c>
      <c r="I163" t="e">
        <f ca="1"/>
        <v>#NAME?</v>
      </c>
      <c r="J163" t="e">
        <f ca="1"/>
        <v>#NAME?</v>
      </c>
      <c r="K163" t="e">
        <f ca="1"/>
        <v>#NAME?</v>
      </c>
      <c r="L163" t="e">
        <f ca="1"/>
        <v>#NAME?</v>
      </c>
      <c r="M163" t="e">
        <f ca="1"/>
        <v>#NAME?</v>
      </c>
      <c r="N163" t="e">
        <f ca="1"/>
        <v>#NAME?</v>
      </c>
      <c r="O163" t="e">
        <f ca="1"/>
        <v>#NAME?</v>
      </c>
      <c r="P163" t="e">
        <f ca="1"/>
        <v>#NAME?</v>
      </c>
      <c r="Q163" t="e">
        <f ca="1"/>
        <v>#NAME?</v>
      </c>
      <c r="R163" t="e">
        <f ca="1"/>
        <v>#NAME?</v>
      </c>
      <c r="S163" t="e">
        <f ca="1"/>
        <v>#NAME?</v>
      </c>
      <c r="T163" t="e">
        <f ca="1"/>
        <v>#NAME?</v>
      </c>
      <c r="U163" t="e">
        <f ca="1"/>
        <v>#NAME?</v>
      </c>
      <c r="V163" s="5" t="e">
        <f ca="1"/>
        <v>#NAME?</v>
      </c>
      <c r="W163" t="e">
        <f ca="1"/>
        <v>#NAME?</v>
      </c>
      <c r="X163" t="e">
        <f ca="1"/>
        <v>#NAME?</v>
      </c>
      <c r="Y163" t="e">
        <f ca="1"/>
        <v>#NAME?</v>
      </c>
      <c r="Z163" t="e">
        <f ca="1"/>
        <v>#NAME?</v>
      </c>
      <c r="AA163" t="e">
        <f ca="1"/>
        <v>#NAME?</v>
      </c>
      <c r="AB163" t="e">
        <f ca="1"/>
        <v>#NAME?</v>
      </c>
    </row>
    <row r="164" spans="1:28" x14ac:dyDescent="0.2">
      <c r="A164" t="e">
        <f ca="1"/>
        <v>#NAME?</v>
      </c>
      <c r="B164" t="e">
        <f ca="1"/>
        <v>#NAME?</v>
      </c>
      <c r="C164" t="e">
        <f ca="1"/>
        <v>#NAME?</v>
      </c>
      <c r="D164" t="e">
        <f ca="1"/>
        <v>#NAME?</v>
      </c>
      <c r="E164" t="e">
        <f ca="1"/>
        <v>#NAME?</v>
      </c>
      <c r="F164" t="e">
        <f ca="1"/>
        <v>#NAME?</v>
      </c>
      <c r="G164" t="e">
        <f ca="1"/>
        <v>#NAME?</v>
      </c>
      <c r="H164" t="e">
        <f ca="1"/>
        <v>#NAME?</v>
      </c>
      <c r="I164" t="e">
        <f ca="1"/>
        <v>#NAME?</v>
      </c>
      <c r="J164" t="e">
        <f ca="1"/>
        <v>#NAME?</v>
      </c>
      <c r="K164" t="e">
        <f ca="1"/>
        <v>#NAME?</v>
      </c>
      <c r="L164" t="e">
        <f ca="1"/>
        <v>#NAME?</v>
      </c>
      <c r="M164" t="e">
        <f ca="1"/>
        <v>#NAME?</v>
      </c>
      <c r="N164" t="e">
        <f ca="1"/>
        <v>#NAME?</v>
      </c>
      <c r="O164" t="e">
        <f ca="1"/>
        <v>#NAME?</v>
      </c>
      <c r="P164" t="e">
        <f ca="1"/>
        <v>#NAME?</v>
      </c>
      <c r="Q164" t="e">
        <f ca="1"/>
        <v>#NAME?</v>
      </c>
      <c r="R164" t="e">
        <f ca="1"/>
        <v>#NAME?</v>
      </c>
      <c r="S164" t="e">
        <f ca="1"/>
        <v>#NAME?</v>
      </c>
      <c r="T164" t="e">
        <f ca="1"/>
        <v>#NAME?</v>
      </c>
      <c r="U164" t="e">
        <f ca="1"/>
        <v>#NAME?</v>
      </c>
      <c r="V164" s="5" t="e">
        <f ca="1"/>
        <v>#NAME?</v>
      </c>
      <c r="W164" t="e">
        <f ca="1"/>
        <v>#NAME?</v>
      </c>
      <c r="X164" t="e">
        <f ca="1"/>
        <v>#NAME?</v>
      </c>
      <c r="Y164" t="e">
        <f ca="1"/>
        <v>#NAME?</v>
      </c>
      <c r="Z164" t="e">
        <f ca="1"/>
        <v>#NAME?</v>
      </c>
      <c r="AA164" t="e">
        <f ca="1"/>
        <v>#NAME?</v>
      </c>
      <c r="AB164" t="e">
        <f ca="1"/>
        <v>#NAME?</v>
      </c>
    </row>
    <row r="165" spans="1:28" x14ac:dyDescent="0.2">
      <c r="A165" t="e">
        <f ca="1"/>
        <v>#NAME?</v>
      </c>
      <c r="B165" t="e">
        <f ca="1"/>
        <v>#NAME?</v>
      </c>
      <c r="C165" t="e">
        <f ca="1"/>
        <v>#NAME?</v>
      </c>
      <c r="D165" t="e">
        <f ca="1"/>
        <v>#NAME?</v>
      </c>
      <c r="E165" t="e">
        <f ca="1"/>
        <v>#NAME?</v>
      </c>
      <c r="F165" t="e">
        <f ca="1"/>
        <v>#NAME?</v>
      </c>
      <c r="G165" t="e">
        <f ca="1"/>
        <v>#NAME?</v>
      </c>
      <c r="H165" t="e">
        <f ca="1"/>
        <v>#NAME?</v>
      </c>
      <c r="I165" t="e">
        <f ca="1"/>
        <v>#NAME?</v>
      </c>
      <c r="J165" t="e">
        <f ca="1"/>
        <v>#NAME?</v>
      </c>
      <c r="K165" t="e">
        <f ca="1"/>
        <v>#NAME?</v>
      </c>
      <c r="L165" t="e">
        <f ca="1"/>
        <v>#NAME?</v>
      </c>
      <c r="M165" t="e">
        <f ca="1"/>
        <v>#NAME?</v>
      </c>
      <c r="N165" t="e">
        <f ca="1"/>
        <v>#NAME?</v>
      </c>
      <c r="O165" t="e">
        <f ca="1"/>
        <v>#NAME?</v>
      </c>
      <c r="P165" t="e">
        <f ca="1"/>
        <v>#NAME?</v>
      </c>
      <c r="Q165" t="e">
        <f ca="1"/>
        <v>#NAME?</v>
      </c>
      <c r="R165" t="e">
        <f ca="1"/>
        <v>#NAME?</v>
      </c>
      <c r="S165" t="e">
        <f ca="1"/>
        <v>#NAME?</v>
      </c>
      <c r="T165" t="e">
        <f ca="1"/>
        <v>#NAME?</v>
      </c>
      <c r="U165" t="e">
        <f ca="1"/>
        <v>#NAME?</v>
      </c>
      <c r="V165" s="5" t="e">
        <f ca="1"/>
        <v>#NAME?</v>
      </c>
      <c r="W165" t="e">
        <f ca="1"/>
        <v>#NAME?</v>
      </c>
      <c r="X165" t="e">
        <f ca="1"/>
        <v>#NAME?</v>
      </c>
      <c r="Y165" t="e">
        <f ca="1"/>
        <v>#NAME?</v>
      </c>
      <c r="Z165" t="e">
        <f ca="1"/>
        <v>#NAME?</v>
      </c>
      <c r="AA165" t="e">
        <f ca="1"/>
        <v>#NAME?</v>
      </c>
      <c r="AB165" t="e">
        <f ca="1"/>
        <v>#NAME?</v>
      </c>
    </row>
    <row r="166" spans="1:28" x14ac:dyDescent="0.2">
      <c r="A166" t="e">
        <f ca="1"/>
        <v>#NAME?</v>
      </c>
      <c r="B166" t="e">
        <f ca="1"/>
        <v>#NAME?</v>
      </c>
      <c r="C166" t="e">
        <f ca="1"/>
        <v>#NAME?</v>
      </c>
      <c r="D166" t="e">
        <f ca="1"/>
        <v>#NAME?</v>
      </c>
      <c r="E166" t="e">
        <f ca="1"/>
        <v>#NAME?</v>
      </c>
      <c r="F166" t="e">
        <f ca="1"/>
        <v>#NAME?</v>
      </c>
      <c r="G166" t="e">
        <f ca="1"/>
        <v>#NAME?</v>
      </c>
      <c r="H166" t="e">
        <f ca="1"/>
        <v>#NAME?</v>
      </c>
      <c r="I166" t="e">
        <f ca="1"/>
        <v>#NAME?</v>
      </c>
      <c r="J166" t="e">
        <f ca="1"/>
        <v>#NAME?</v>
      </c>
      <c r="K166" t="e">
        <f ca="1"/>
        <v>#NAME?</v>
      </c>
      <c r="L166" t="e">
        <f ca="1"/>
        <v>#NAME?</v>
      </c>
      <c r="M166" t="e">
        <f ca="1"/>
        <v>#NAME?</v>
      </c>
      <c r="N166" t="e">
        <f ca="1"/>
        <v>#NAME?</v>
      </c>
      <c r="O166" t="e">
        <f ca="1"/>
        <v>#NAME?</v>
      </c>
      <c r="P166" t="e">
        <f ca="1"/>
        <v>#NAME?</v>
      </c>
      <c r="Q166" t="e">
        <f ca="1"/>
        <v>#NAME?</v>
      </c>
      <c r="R166" t="e">
        <f ca="1"/>
        <v>#NAME?</v>
      </c>
      <c r="S166" t="e">
        <f ca="1"/>
        <v>#NAME?</v>
      </c>
      <c r="T166" t="e">
        <f ca="1"/>
        <v>#NAME?</v>
      </c>
      <c r="U166" t="e">
        <f ca="1"/>
        <v>#NAME?</v>
      </c>
      <c r="V166" s="5" t="e">
        <f ca="1"/>
        <v>#NAME?</v>
      </c>
      <c r="W166" t="e">
        <f ca="1"/>
        <v>#NAME?</v>
      </c>
      <c r="X166" t="e">
        <f ca="1"/>
        <v>#NAME?</v>
      </c>
      <c r="Y166" t="e">
        <f ca="1"/>
        <v>#NAME?</v>
      </c>
      <c r="Z166" t="e">
        <f ca="1"/>
        <v>#NAME?</v>
      </c>
      <c r="AA166" t="e">
        <f ca="1"/>
        <v>#NAME?</v>
      </c>
      <c r="AB166" t="e">
        <f ca="1"/>
        <v>#NAME?</v>
      </c>
    </row>
    <row r="167" spans="1:28" x14ac:dyDescent="0.2">
      <c r="A167" t="e">
        <f ca="1"/>
        <v>#NAME?</v>
      </c>
      <c r="B167" t="e">
        <f ca="1"/>
        <v>#NAME?</v>
      </c>
      <c r="C167" t="e">
        <f ca="1"/>
        <v>#NAME?</v>
      </c>
      <c r="D167" t="e">
        <f ca="1"/>
        <v>#NAME?</v>
      </c>
      <c r="E167" t="e">
        <f ca="1"/>
        <v>#NAME?</v>
      </c>
      <c r="F167" t="e">
        <f ca="1"/>
        <v>#NAME?</v>
      </c>
      <c r="G167" t="e">
        <f ca="1"/>
        <v>#NAME?</v>
      </c>
      <c r="H167" t="e">
        <f ca="1"/>
        <v>#NAME?</v>
      </c>
      <c r="I167" t="e">
        <f ca="1"/>
        <v>#NAME?</v>
      </c>
      <c r="J167" t="e">
        <f ca="1"/>
        <v>#NAME?</v>
      </c>
      <c r="K167" t="e">
        <f ca="1"/>
        <v>#NAME?</v>
      </c>
      <c r="L167" t="e">
        <f ca="1"/>
        <v>#NAME?</v>
      </c>
      <c r="M167" t="e">
        <f ca="1"/>
        <v>#NAME?</v>
      </c>
      <c r="N167" t="e">
        <f ca="1"/>
        <v>#NAME?</v>
      </c>
      <c r="O167" t="e">
        <f ca="1"/>
        <v>#NAME?</v>
      </c>
      <c r="P167" t="e">
        <f ca="1"/>
        <v>#NAME?</v>
      </c>
      <c r="Q167" t="e">
        <f ca="1"/>
        <v>#NAME?</v>
      </c>
      <c r="R167" t="e">
        <f ca="1"/>
        <v>#NAME?</v>
      </c>
      <c r="S167" t="e">
        <f ca="1"/>
        <v>#NAME?</v>
      </c>
      <c r="T167" t="e">
        <f ca="1"/>
        <v>#NAME?</v>
      </c>
      <c r="U167" t="e">
        <f ca="1"/>
        <v>#NAME?</v>
      </c>
      <c r="V167" s="5" t="e">
        <f ca="1"/>
        <v>#NAME?</v>
      </c>
      <c r="W167" t="e">
        <f ca="1"/>
        <v>#NAME?</v>
      </c>
      <c r="X167" t="e">
        <f ca="1"/>
        <v>#NAME?</v>
      </c>
      <c r="Y167" t="e">
        <f ca="1"/>
        <v>#NAME?</v>
      </c>
      <c r="Z167" t="e">
        <f ca="1"/>
        <v>#NAME?</v>
      </c>
      <c r="AA167" t="e">
        <f ca="1"/>
        <v>#NAME?</v>
      </c>
      <c r="AB167" t="e">
        <f ca="1"/>
        <v>#NAME?</v>
      </c>
    </row>
    <row r="168" spans="1:28" x14ac:dyDescent="0.2">
      <c r="A168" t="e">
        <f ca="1"/>
        <v>#NAME?</v>
      </c>
      <c r="B168" t="e">
        <f ca="1"/>
        <v>#NAME?</v>
      </c>
      <c r="C168" t="e">
        <f ca="1"/>
        <v>#NAME?</v>
      </c>
      <c r="D168" t="e">
        <f ca="1"/>
        <v>#NAME?</v>
      </c>
      <c r="E168" t="e">
        <f ca="1"/>
        <v>#NAME?</v>
      </c>
      <c r="F168" t="e">
        <f ca="1"/>
        <v>#NAME?</v>
      </c>
      <c r="G168" t="e">
        <f ca="1"/>
        <v>#NAME?</v>
      </c>
      <c r="H168" t="e">
        <f ca="1"/>
        <v>#NAME?</v>
      </c>
      <c r="I168" t="e">
        <f ca="1"/>
        <v>#NAME?</v>
      </c>
      <c r="J168" t="e">
        <f ca="1"/>
        <v>#NAME?</v>
      </c>
      <c r="K168" t="e">
        <f ca="1"/>
        <v>#NAME?</v>
      </c>
      <c r="L168" t="e">
        <f ca="1"/>
        <v>#NAME?</v>
      </c>
      <c r="M168" t="e">
        <f ca="1"/>
        <v>#NAME?</v>
      </c>
      <c r="N168" t="e">
        <f ca="1"/>
        <v>#NAME?</v>
      </c>
      <c r="O168" t="e">
        <f ca="1"/>
        <v>#NAME?</v>
      </c>
      <c r="P168" t="e">
        <f ca="1"/>
        <v>#NAME?</v>
      </c>
      <c r="Q168" t="e">
        <f ca="1"/>
        <v>#NAME?</v>
      </c>
      <c r="R168" t="e">
        <f ca="1"/>
        <v>#NAME?</v>
      </c>
      <c r="S168" t="e">
        <f ca="1"/>
        <v>#NAME?</v>
      </c>
      <c r="T168" t="e">
        <f ca="1"/>
        <v>#NAME?</v>
      </c>
      <c r="U168" t="e">
        <f ca="1"/>
        <v>#NAME?</v>
      </c>
      <c r="V168" s="5" t="e">
        <f ca="1"/>
        <v>#NAME?</v>
      </c>
      <c r="W168" t="e">
        <f ca="1"/>
        <v>#NAME?</v>
      </c>
      <c r="X168" t="e">
        <f ca="1"/>
        <v>#NAME?</v>
      </c>
      <c r="Y168" t="e">
        <f ca="1"/>
        <v>#NAME?</v>
      </c>
      <c r="Z168" t="e">
        <f ca="1"/>
        <v>#NAME?</v>
      </c>
      <c r="AA168" t="e">
        <f ca="1"/>
        <v>#NAME?</v>
      </c>
      <c r="AB168" t="e">
        <f ca="1"/>
        <v>#NAME?</v>
      </c>
    </row>
    <row r="169" spans="1:28" x14ac:dyDescent="0.2">
      <c r="A169" t="e">
        <f ca="1"/>
        <v>#NAME?</v>
      </c>
      <c r="B169" t="e">
        <f ca="1"/>
        <v>#NAME?</v>
      </c>
      <c r="C169" t="e">
        <f ca="1"/>
        <v>#NAME?</v>
      </c>
      <c r="D169" t="e">
        <f ca="1"/>
        <v>#NAME?</v>
      </c>
      <c r="E169" t="e">
        <f ca="1"/>
        <v>#NAME?</v>
      </c>
      <c r="F169" t="e">
        <f ca="1"/>
        <v>#NAME?</v>
      </c>
      <c r="G169" t="e">
        <f ca="1"/>
        <v>#NAME?</v>
      </c>
      <c r="H169" t="e">
        <f ca="1"/>
        <v>#NAME?</v>
      </c>
      <c r="I169" t="e">
        <f ca="1"/>
        <v>#NAME?</v>
      </c>
      <c r="J169" t="e">
        <f ca="1"/>
        <v>#NAME?</v>
      </c>
      <c r="K169" t="e">
        <f ca="1"/>
        <v>#NAME?</v>
      </c>
      <c r="L169" t="e">
        <f ca="1"/>
        <v>#NAME?</v>
      </c>
      <c r="M169" t="e">
        <f ca="1"/>
        <v>#NAME?</v>
      </c>
      <c r="N169" t="e">
        <f ca="1"/>
        <v>#NAME?</v>
      </c>
      <c r="O169" t="e">
        <f ca="1"/>
        <v>#NAME?</v>
      </c>
      <c r="P169" t="e">
        <f ca="1"/>
        <v>#NAME?</v>
      </c>
      <c r="Q169" t="e">
        <f ca="1"/>
        <v>#NAME?</v>
      </c>
      <c r="R169" t="e">
        <f ca="1"/>
        <v>#NAME?</v>
      </c>
      <c r="S169" t="e">
        <f ca="1"/>
        <v>#NAME?</v>
      </c>
      <c r="T169" t="e">
        <f ca="1"/>
        <v>#NAME?</v>
      </c>
      <c r="U169" t="e">
        <f ca="1"/>
        <v>#NAME?</v>
      </c>
      <c r="V169" s="5" t="e">
        <f ca="1"/>
        <v>#NAME?</v>
      </c>
      <c r="W169" t="e">
        <f ca="1"/>
        <v>#NAME?</v>
      </c>
      <c r="X169" t="e">
        <f ca="1"/>
        <v>#NAME?</v>
      </c>
      <c r="Y169" t="e">
        <f ca="1"/>
        <v>#NAME?</v>
      </c>
      <c r="Z169" t="e">
        <f ca="1"/>
        <v>#NAME?</v>
      </c>
      <c r="AA169" t="e">
        <f ca="1"/>
        <v>#NAME?</v>
      </c>
      <c r="AB169" t="e">
        <f ca="1"/>
        <v>#NAME?</v>
      </c>
    </row>
    <row r="170" spans="1:28" x14ac:dyDescent="0.2">
      <c r="A170" t="e">
        <f ca="1"/>
        <v>#NAME?</v>
      </c>
      <c r="B170" t="e">
        <f ca="1"/>
        <v>#NAME?</v>
      </c>
      <c r="C170" t="e">
        <f ca="1"/>
        <v>#NAME?</v>
      </c>
      <c r="D170" t="e">
        <f ca="1"/>
        <v>#NAME?</v>
      </c>
      <c r="E170" t="e">
        <f ca="1"/>
        <v>#NAME?</v>
      </c>
      <c r="F170" t="e">
        <f ca="1"/>
        <v>#NAME?</v>
      </c>
      <c r="G170" t="e">
        <f ca="1"/>
        <v>#NAME?</v>
      </c>
      <c r="H170" t="e">
        <f ca="1"/>
        <v>#NAME?</v>
      </c>
      <c r="I170" t="e">
        <f ca="1"/>
        <v>#NAME?</v>
      </c>
      <c r="J170" t="e">
        <f ca="1"/>
        <v>#NAME?</v>
      </c>
      <c r="K170" t="e">
        <f ca="1"/>
        <v>#NAME?</v>
      </c>
      <c r="L170" t="e">
        <f ca="1"/>
        <v>#NAME?</v>
      </c>
      <c r="M170" t="e">
        <f ca="1"/>
        <v>#NAME?</v>
      </c>
      <c r="N170" t="e">
        <f ca="1"/>
        <v>#NAME?</v>
      </c>
      <c r="O170" t="e">
        <f ca="1"/>
        <v>#NAME?</v>
      </c>
      <c r="P170" t="e">
        <f ca="1"/>
        <v>#NAME?</v>
      </c>
      <c r="Q170" t="e">
        <f ca="1"/>
        <v>#NAME?</v>
      </c>
      <c r="R170" t="e">
        <f ca="1"/>
        <v>#NAME?</v>
      </c>
      <c r="S170" t="e">
        <f ca="1"/>
        <v>#NAME?</v>
      </c>
      <c r="T170" t="e">
        <f ca="1"/>
        <v>#NAME?</v>
      </c>
      <c r="U170" t="e">
        <f ca="1"/>
        <v>#NAME?</v>
      </c>
      <c r="V170" s="5" t="e">
        <f ca="1"/>
        <v>#NAME?</v>
      </c>
      <c r="W170" t="e">
        <f ca="1"/>
        <v>#NAME?</v>
      </c>
      <c r="X170" t="e">
        <f ca="1"/>
        <v>#NAME?</v>
      </c>
      <c r="Y170" t="e">
        <f ca="1"/>
        <v>#NAME?</v>
      </c>
      <c r="Z170" t="e">
        <f ca="1"/>
        <v>#NAME?</v>
      </c>
      <c r="AA170" t="e">
        <f ca="1"/>
        <v>#NAME?</v>
      </c>
      <c r="AB170" t="e">
        <f ca="1"/>
        <v>#NAME?</v>
      </c>
    </row>
    <row r="171" spans="1:28" x14ac:dyDescent="0.2">
      <c r="A171" t="e">
        <f ca="1"/>
        <v>#NAME?</v>
      </c>
      <c r="B171" t="e">
        <f ca="1"/>
        <v>#NAME?</v>
      </c>
      <c r="C171" t="e">
        <f ca="1"/>
        <v>#NAME?</v>
      </c>
      <c r="D171" t="e">
        <f ca="1"/>
        <v>#NAME?</v>
      </c>
      <c r="E171" t="e">
        <f ca="1"/>
        <v>#NAME?</v>
      </c>
      <c r="F171" t="e">
        <f ca="1"/>
        <v>#NAME?</v>
      </c>
      <c r="G171" t="e">
        <f ca="1"/>
        <v>#NAME?</v>
      </c>
      <c r="H171" t="e">
        <f ca="1"/>
        <v>#NAME?</v>
      </c>
      <c r="I171" t="e">
        <f ca="1"/>
        <v>#NAME?</v>
      </c>
      <c r="J171" t="e">
        <f ca="1"/>
        <v>#NAME?</v>
      </c>
      <c r="K171" t="e">
        <f ca="1"/>
        <v>#NAME?</v>
      </c>
      <c r="L171" t="e">
        <f ca="1"/>
        <v>#NAME?</v>
      </c>
      <c r="M171" t="e">
        <f ca="1"/>
        <v>#NAME?</v>
      </c>
      <c r="N171" t="e">
        <f ca="1"/>
        <v>#NAME?</v>
      </c>
      <c r="O171" t="e">
        <f ca="1"/>
        <v>#NAME?</v>
      </c>
      <c r="P171" t="e">
        <f ca="1"/>
        <v>#NAME?</v>
      </c>
      <c r="Q171" t="e">
        <f ca="1"/>
        <v>#NAME?</v>
      </c>
      <c r="R171" t="e">
        <f ca="1"/>
        <v>#NAME?</v>
      </c>
      <c r="S171" t="e">
        <f ca="1"/>
        <v>#NAME?</v>
      </c>
      <c r="T171" t="e">
        <f ca="1"/>
        <v>#NAME?</v>
      </c>
      <c r="U171" t="e">
        <f ca="1"/>
        <v>#NAME?</v>
      </c>
      <c r="V171" s="5" t="e">
        <f ca="1"/>
        <v>#NAME?</v>
      </c>
      <c r="W171" t="e">
        <f ca="1"/>
        <v>#NAME?</v>
      </c>
      <c r="X171" t="e">
        <f ca="1"/>
        <v>#NAME?</v>
      </c>
      <c r="Y171" t="e">
        <f ca="1"/>
        <v>#NAME?</v>
      </c>
      <c r="Z171" t="e">
        <f ca="1"/>
        <v>#NAME?</v>
      </c>
      <c r="AA171" t="e">
        <f ca="1"/>
        <v>#NAME?</v>
      </c>
      <c r="AB171" t="e">
        <f ca="1"/>
        <v>#NAME?</v>
      </c>
    </row>
    <row r="172" spans="1:28" x14ac:dyDescent="0.2">
      <c r="A172" t="e">
        <f ca="1"/>
        <v>#NAME?</v>
      </c>
      <c r="B172" t="e">
        <f ca="1"/>
        <v>#NAME?</v>
      </c>
      <c r="C172" t="e">
        <f ca="1"/>
        <v>#NAME?</v>
      </c>
      <c r="D172" t="e">
        <f ca="1"/>
        <v>#NAME?</v>
      </c>
      <c r="E172" t="e">
        <f ca="1"/>
        <v>#NAME?</v>
      </c>
      <c r="F172" t="e">
        <f ca="1"/>
        <v>#NAME?</v>
      </c>
      <c r="G172" t="e">
        <f ca="1"/>
        <v>#NAME?</v>
      </c>
      <c r="H172" t="e">
        <f ca="1"/>
        <v>#NAME?</v>
      </c>
      <c r="I172" t="e">
        <f ca="1"/>
        <v>#NAME?</v>
      </c>
      <c r="J172" t="e">
        <f ca="1"/>
        <v>#NAME?</v>
      </c>
      <c r="K172" t="e">
        <f ca="1"/>
        <v>#NAME?</v>
      </c>
      <c r="L172" t="e">
        <f ca="1"/>
        <v>#NAME?</v>
      </c>
      <c r="M172" t="e">
        <f ca="1"/>
        <v>#NAME?</v>
      </c>
      <c r="N172" t="e">
        <f ca="1"/>
        <v>#NAME?</v>
      </c>
      <c r="O172" t="e">
        <f ca="1"/>
        <v>#NAME?</v>
      </c>
      <c r="P172" t="e">
        <f ca="1"/>
        <v>#NAME?</v>
      </c>
      <c r="Q172" t="e">
        <f ca="1"/>
        <v>#NAME?</v>
      </c>
      <c r="R172" t="e">
        <f ca="1"/>
        <v>#NAME?</v>
      </c>
      <c r="S172" t="e">
        <f ca="1"/>
        <v>#NAME?</v>
      </c>
      <c r="T172" t="e">
        <f ca="1"/>
        <v>#NAME?</v>
      </c>
      <c r="U172" t="e">
        <f ca="1"/>
        <v>#NAME?</v>
      </c>
      <c r="V172" s="5" t="e">
        <f ca="1"/>
        <v>#NAME?</v>
      </c>
      <c r="W172" t="e">
        <f ca="1"/>
        <v>#NAME?</v>
      </c>
      <c r="X172" t="e">
        <f ca="1"/>
        <v>#NAME?</v>
      </c>
      <c r="Y172" t="e">
        <f ca="1"/>
        <v>#NAME?</v>
      </c>
      <c r="Z172" t="e">
        <f ca="1"/>
        <v>#NAME?</v>
      </c>
      <c r="AA172" t="e">
        <f ca="1"/>
        <v>#NAME?</v>
      </c>
      <c r="AB172" t="e">
        <f ca="1"/>
        <v>#NAME?</v>
      </c>
    </row>
    <row r="173" spans="1:28" x14ac:dyDescent="0.2">
      <c r="A173" t="e">
        <f ca="1"/>
        <v>#NAME?</v>
      </c>
      <c r="B173" t="e">
        <f ca="1"/>
        <v>#NAME?</v>
      </c>
      <c r="C173" t="e">
        <f ca="1"/>
        <v>#NAME?</v>
      </c>
      <c r="D173" t="e">
        <f ca="1"/>
        <v>#NAME?</v>
      </c>
      <c r="E173" t="e">
        <f ca="1"/>
        <v>#NAME?</v>
      </c>
      <c r="F173" t="e">
        <f ca="1"/>
        <v>#NAME?</v>
      </c>
      <c r="G173" t="e">
        <f ca="1"/>
        <v>#NAME?</v>
      </c>
      <c r="H173" t="e">
        <f ca="1"/>
        <v>#NAME?</v>
      </c>
      <c r="I173" t="e">
        <f ca="1"/>
        <v>#NAME?</v>
      </c>
      <c r="J173" t="e">
        <f ca="1"/>
        <v>#NAME?</v>
      </c>
      <c r="K173" t="e">
        <f ca="1"/>
        <v>#NAME?</v>
      </c>
      <c r="L173" t="e">
        <f ca="1"/>
        <v>#NAME?</v>
      </c>
      <c r="M173" t="e">
        <f ca="1"/>
        <v>#NAME?</v>
      </c>
      <c r="N173" t="e">
        <f ca="1"/>
        <v>#NAME?</v>
      </c>
      <c r="O173" t="e">
        <f ca="1"/>
        <v>#NAME?</v>
      </c>
      <c r="P173" t="e">
        <f ca="1"/>
        <v>#NAME?</v>
      </c>
      <c r="Q173" t="e">
        <f ca="1"/>
        <v>#NAME?</v>
      </c>
      <c r="R173" t="e">
        <f ca="1"/>
        <v>#NAME?</v>
      </c>
      <c r="S173" t="e">
        <f ca="1"/>
        <v>#NAME?</v>
      </c>
      <c r="T173" t="e">
        <f ca="1"/>
        <v>#NAME?</v>
      </c>
      <c r="U173" t="e">
        <f ca="1"/>
        <v>#NAME?</v>
      </c>
      <c r="V173" s="5" t="e">
        <f ca="1"/>
        <v>#NAME?</v>
      </c>
      <c r="W173" t="e">
        <f ca="1"/>
        <v>#NAME?</v>
      </c>
      <c r="X173" t="e">
        <f ca="1"/>
        <v>#NAME?</v>
      </c>
      <c r="Y173" t="e">
        <f ca="1"/>
        <v>#NAME?</v>
      </c>
      <c r="Z173" t="e">
        <f ca="1"/>
        <v>#NAME?</v>
      </c>
      <c r="AA173" t="e">
        <f ca="1"/>
        <v>#NAME?</v>
      </c>
      <c r="AB173" t="e">
        <f ca="1"/>
        <v>#NAME?</v>
      </c>
    </row>
    <row r="174" spans="1:28" x14ac:dyDescent="0.2">
      <c r="A174" t="e">
        <f ca="1"/>
        <v>#NAME?</v>
      </c>
      <c r="B174" t="e">
        <f ca="1"/>
        <v>#NAME?</v>
      </c>
      <c r="C174" t="e">
        <f ca="1"/>
        <v>#NAME?</v>
      </c>
      <c r="D174" t="e">
        <f ca="1"/>
        <v>#NAME?</v>
      </c>
      <c r="E174" t="e">
        <f ca="1"/>
        <v>#NAME?</v>
      </c>
      <c r="F174" t="e">
        <f ca="1"/>
        <v>#NAME?</v>
      </c>
      <c r="G174" t="e">
        <f ca="1"/>
        <v>#NAME?</v>
      </c>
      <c r="H174" t="e">
        <f ca="1"/>
        <v>#NAME?</v>
      </c>
      <c r="I174" t="e">
        <f ca="1"/>
        <v>#NAME?</v>
      </c>
      <c r="J174" t="e">
        <f ca="1"/>
        <v>#NAME?</v>
      </c>
      <c r="K174" t="e">
        <f ca="1"/>
        <v>#NAME?</v>
      </c>
      <c r="L174" t="e">
        <f ca="1"/>
        <v>#NAME?</v>
      </c>
      <c r="M174" t="e">
        <f ca="1"/>
        <v>#NAME?</v>
      </c>
      <c r="N174" t="e">
        <f ca="1"/>
        <v>#NAME?</v>
      </c>
      <c r="O174" t="e">
        <f ca="1"/>
        <v>#NAME?</v>
      </c>
      <c r="P174" t="e">
        <f ca="1"/>
        <v>#NAME?</v>
      </c>
      <c r="Q174" t="e">
        <f ca="1"/>
        <v>#NAME?</v>
      </c>
      <c r="R174" t="e">
        <f ca="1"/>
        <v>#NAME?</v>
      </c>
      <c r="S174" t="e">
        <f ca="1"/>
        <v>#NAME?</v>
      </c>
      <c r="T174" t="e">
        <f ca="1"/>
        <v>#NAME?</v>
      </c>
      <c r="U174" t="e">
        <f ca="1"/>
        <v>#NAME?</v>
      </c>
      <c r="V174" s="5" t="e">
        <f ca="1"/>
        <v>#NAME?</v>
      </c>
      <c r="W174" t="e">
        <f ca="1"/>
        <v>#NAME?</v>
      </c>
      <c r="X174" t="e">
        <f ca="1"/>
        <v>#NAME?</v>
      </c>
      <c r="Y174" t="e">
        <f ca="1"/>
        <v>#NAME?</v>
      </c>
      <c r="Z174" t="e">
        <f ca="1"/>
        <v>#NAME?</v>
      </c>
      <c r="AA174" t="e">
        <f ca="1"/>
        <v>#NAME?</v>
      </c>
      <c r="AB174" t="e">
        <f ca="1"/>
        <v>#NAME?</v>
      </c>
    </row>
    <row r="175" spans="1:28" x14ac:dyDescent="0.2">
      <c r="A175" t="e">
        <f ca="1"/>
        <v>#NAME?</v>
      </c>
      <c r="B175" t="e">
        <f ca="1"/>
        <v>#NAME?</v>
      </c>
      <c r="C175" t="e">
        <f ca="1"/>
        <v>#NAME?</v>
      </c>
      <c r="D175" t="e">
        <f ca="1"/>
        <v>#NAME?</v>
      </c>
      <c r="E175" t="e">
        <f ca="1"/>
        <v>#NAME?</v>
      </c>
      <c r="F175" t="e">
        <f ca="1"/>
        <v>#NAME?</v>
      </c>
      <c r="G175" t="e">
        <f ca="1"/>
        <v>#NAME?</v>
      </c>
      <c r="H175" t="e">
        <f ca="1"/>
        <v>#NAME?</v>
      </c>
      <c r="I175" t="e">
        <f ca="1"/>
        <v>#NAME?</v>
      </c>
      <c r="J175" t="e">
        <f ca="1"/>
        <v>#NAME?</v>
      </c>
      <c r="K175" t="e">
        <f ca="1"/>
        <v>#NAME?</v>
      </c>
      <c r="L175" t="e">
        <f ca="1"/>
        <v>#NAME?</v>
      </c>
      <c r="M175" t="e">
        <f ca="1"/>
        <v>#NAME?</v>
      </c>
      <c r="N175" t="e">
        <f ca="1"/>
        <v>#NAME?</v>
      </c>
      <c r="O175" t="e">
        <f ca="1"/>
        <v>#NAME?</v>
      </c>
      <c r="P175" t="e">
        <f ca="1"/>
        <v>#NAME?</v>
      </c>
      <c r="Q175" t="e">
        <f ca="1"/>
        <v>#NAME?</v>
      </c>
      <c r="R175" t="e">
        <f ca="1"/>
        <v>#NAME?</v>
      </c>
      <c r="S175" t="e">
        <f ca="1"/>
        <v>#NAME?</v>
      </c>
      <c r="T175" t="e">
        <f ca="1"/>
        <v>#NAME?</v>
      </c>
      <c r="U175" t="e">
        <f ca="1"/>
        <v>#NAME?</v>
      </c>
      <c r="V175" s="5" t="e">
        <f ca="1"/>
        <v>#NAME?</v>
      </c>
      <c r="W175" t="e">
        <f ca="1"/>
        <v>#NAME?</v>
      </c>
      <c r="X175" t="e">
        <f ca="1"/>
        <v>#NAME?</v>
      </c>
      <c r="Y175" t="e">
        <f ca="1"/>
        <v>#NAME?</v>
      </c>
      <c r="Z175" t="e">
        <f ca="1"/>
        <v>#NAME?</v>
      </c>
      <c r="AA175" t="e">
        <f ca="1"/>
        <v>#NAME?</v>
      </c>
      <c r="AB175" t="e">
        <f ca="1"/>
        <v>#NAME?</v>
      </c>
    </row>
    <row r="176" spans="1:28" x14ac:dyDescent="0.2">
      <c r="A176" t="e">
        <f ca="1"/>
        <v>#NAME?</v>
      </c>
      <c r="B176" t="e">
        <f ca="1"/>
        <v>#NAME?</v>
      </c>
      <c r="C176" t="e">
        <f ca="1"/>
        <v>#NAME?</v>
      </c>
      <c r="D176" t="e">
        <f ca="1"/>
        <v>#NAME?</v>
      </c>
      <c r="E176" t="e">
        <f ca="1"/>
        <v>#NAME?</v>
      </c>
      <c r="F176" t="e">
        <f ca="1"/>
        <v>#NAME?</v>
      </c>
      <c r="G176" t="e">
        <f ca="1"/>
        <v>#NAME?</v>
      </c>
      <c r="H176" t="e">
        <f ca="1"/>
        <v>#NAME?</v>
      </c>
      <c r="I176" t="e">
        <f ca="1"/>
        <v>#NAME?</v>
      </c>
      <c r="J176" t="e">
        <f ca="1"/>
        <v>#NAME?</v>
      </c>
      <c r="K176" t="e">
        <f ca="1"/>
        <v>#NAME?</v>
      </c>
      <c r="L176" t="e">
        <f ca="1"/>
        <v>#NAME?</v>
      </c>
      <c r="M176" t="e">
        <f ca="1"/>
        <v>#NAME?</v>
      </c>
      <c r="N176" t="e">
        <f ca="1"/>
        <v>#NAME?</v>
      </c>
      <c r="O176" t="e">
        <f ca="1"/>
        <v>#NAME?</v>
      </c>
      <c r="P176" t="e">
        <f ca="1"/>
        <v>#NAME?</v>
      </c>
      <c r="Q176" t="e">
        <f ca="1"/>
        <v>#NAME?</v>
      </c>
      <c r="R176" t="e">
        <f ca="1"/>
        <v>#NAME?</v>
      </c>
      <c r="S176" t="e">
        <f ca="1"/>
        <v>#NAME?</v>
      </c>
      <c r="T176" t="e">
        <f ca="1"/>
        <v>#NAME?</v>
      </c>
      <c r="U176" t="e">
        <f ca="1"/>
        <v>#NAME?</v>
      </c>
      <c r="V176" s="5" t="e">
        <f ca="1"/>
        <v>#NAME?</v>
      </c>
      <c r="W176" t="e">
        <f ca="1"/>
        <v>#NAME?</v>
      </c>
      <c r="X176" t="e">
        <f ca="1"/>
        <v>#NAME?</v>
      </c>
      <c r="Y176" t="e">
        <f ca="1"/>
        <v>#NAME?</v>
      </c>
      <c r="Z176" t="e">
        <f ca="1"/>
        <v>#NAME?</v>
      </c>
      <c r="AA176" t="e">
        <f ca="1"/>
        <v>#NAME?</v>
      </c>
      <c r="AB176" t="e">
        <f ca="1"/>
        <v>#NAME?</v>
      </c>
    </row>
    <row r="177" spans="1:28" x14ac:dyDescent="0.2">
      <c r="A177" t="e">
        <f ca="1"/>
        <v>#NAME?</v>
      </c>
      <c r="B177" t="e">
        <f ca="1"/>
        <v>#NAME?</v>
      </c>
      <c r="C177" t="e">
        <f ca="1"/>
        <v>#NAME?</v>
      </c>
      <c r="D177" t="e">
        <f ca="1"/>
        <v>#NAME?</v>
      </c>
      <c r="E177" t="e">
        <f ca="1"/>
        <v>#NAME?</v>
      </c>
      <c r="F177" t="e">
        <f ca="1"/>
        <v>#NAME?</v>
      </c>
      <c r="G177" t="e">
        <f ca="1"/>
        <v>#NAME?</v>
      </c>
      <c r="H177" t="e">
        <f ca="1"/>
        <v>#NAME?</v>
      </c>
      <c r="I177" t="e">
        <f ca="1"/>
        <v>#NAME?</v>
      </c>
      <c r="J177" t="e">
        <f ca="1"/>
        <v>#NAME?</v>
      </c>
      <c r="K177" t="e">
        <f ca="1"/>
        <v>#NAME?</v>
      </c>
      <c r="L177" t="e">
        <f ca="1"/>
        <v>#NAME?</v>
      </c>
      <c r="M177" t="e">
        <f ca="1"/>
        <v>#NAME?</v>
      </c>
      <c r="N177" t="e">
        <f ca="1"/>
        <v>#NAME?</v>
      </c>
      <c r="O177" t="e">
        <f ca="1"/>
        <v>#NAME?</v>
      </c>
      <c r="P177" t="e">
        <f ca="1"/>
        <v>#NAME?</v>
      </c>
      <c r="Q177" t="e">
        <f ca="1"/>
        <v>#NAME?</v>
      </c>
      <c r="R177" t="e">
        <f ca="1"/>
        <v>#NAME?</v>
      </c>
      <c r="S177" t="e">
        <f ca="1"/>
        <v>#NAME?</v>
      </c>
      <c r="T177" t="e">
        <f ca="1"/>
        <v>#NAME?</v>
      </c>
      <c r="U177" t="e">
        <f ca="1"/>
        <v>#NAME?</v>
      </c>
      <c r="V177" s="5" t="e">
        <f ca="1"/>
        <v>#NAME?</v>
      </c>
      <c r="W177" t="e">
        <f ca="1"/>
        <v>#NAME?</v>
      </c>
      <c r="X177" t="e">
        <f ca="1"/>
        <v>#NAME?</v>
      </c>
      <c r="Y177" t="e">
        <f ca="1"/>
        <v>#NAME?</v>
      </c>
      <c r="Z177" t="e">
        <f ca="1"/>
        <v>#NAME?</v>
      </c>
      <c r="AA177" t="e">
        <f ca="1"/>
        <v>#NAME?</v>
      </c>
      <c r="AB177" t="e">
        <f ca="1"/>
        <v>#NAME?</v>
      </c>
    </row>
    <row r="178" spans="1:28" x14ac:dyDescent="0.2">
      <c r="A178" t="e">
        <f ca="1"/>
        <v>#NAME?</v>
      </c>
      <c r="B178" t="e">
        <f ca="1"/>
        <v>#NAME?</v>
      </c>
      <c r="C178" t="e">
        <f ca="1"/>
        <v>#NAME?</v>
      </c>
      <c r="D178" t="e">
        <f ca="1"/>
        <v>#NAME?</v>
      </c>
      <c r="E178" t="e">
        <f ca="1"/>
        <v>#NAME?</v>
      </c>
      <c r="F178" t="e">
        <f ca="1"/>
        <v>#NAME?</v>
      </c>
      <c r="G178" t="e">
        <f ca="1"/>
        <v>#NAME?</v>
      </c>
      <c r="H178" t="e">
        <f ca="1"/>
        <v>#NAME?</v>
      </c>
      <c r="I178" t="e">
        <f ca="1"/>
        <v>#NAME?</v>
      </c>
      <c r="J178" t="e">
        <f ca="1"/>
        <v>#NAME?</v>
      </c>
      <c r="K178" t="e">
        <f ca="1"/>
        <v>#NAME?</v>
      </c>
      <c r="L178" t="e">
        <f ca="1"/>
        <v>#NAME?</v>
      </c>
      <c r="M178" t="e">
        <f ca="1"/>
        <v>#NAME?</v>
      </c>
      <c r="N178" t="e">
        <f ca="1"/>
        <v>#NAME?</v>
      </c>
      <c r="O178" t="e">
        <f ca="1"/>
        <v>#NAME?</v>
      </c>
      <c r="P178" t="e">
        <f ca="1"/>
        <v>#NAME?</v>
      </c>
      <c r="Q178" t="e">
        <f ca="1"/>
        <v>#NAME?</v>
      </c>
      <c r="R178" t="e">
        <f ca="1"/>
        <v>#NAME?</v>
      </c>
      <c r="S178" t="e">
        <f ca="1"/>
        <v>#NAME?</v>
      </c>
      <c r="T178" t="e">
        <f ca="1"/>
        <v>#NAME?</v>
      </c>
      <c r="U178" t="e">
        <f ca="1"/>
        <v>#NAME?</v>
      </c>
      <c r="V178" s="5" t="e">
        <f ca="1"/>
        <v>#NAME?</v>
      </c>
      <c r="W178" t="e">
        <f ca="1"/>
        <v>#NAME?</v>
      </c>
      <c r="X178" t="e">
        <f ca="1"/>
        <v>#NAME?</v>
      </c>
      <c r="Y178" t="e">
        <f ca="1"/>
        <v>#NAME?</v>
      </c>
      <c r="Z178" t="e">
        <f ca="1"/>
        <v>#NAME?</v>
      </c>
      <c r="AA178" t="e">
        <f ca="1"/>
        <v>#NAME?</v>
      </c>
      <c r="AB178" t="e">
        <f ca="1"/>
        <v>#NAME?</v>
      </c>
    </row>
    <row r="179" spans="1:28" x14ac:dyDescent="0.2">
      <c r="A179" t="e">
        <f ca="1"/>
        <v>#NAME?</v>
      </c>
      <c r="B179" t="e">
        <f ca="1"/>
        <v>#NAME?</v>
      </c>
      <c r="C179" t="e">
        <f ca="1"/>
        <v>#NAME?</v>
      </c>
      <c r="D179" t="e">
        <f ca="1"/>
        <v>#NAME?</v>
      </c>
      <c r="E179" t="e">
        <f ca="1"/>
        <v>#NAME?</v>
      </c>
      <c r="F179" t="e">
        <f ca="1"/>
        <v>#NAME?</v>
      </c>
      <c r="G179" t="e">
        <f ca="1"/>
        <v>#NAME?</v>
      </c>
      <c r="H179" t="e">
        <f ca="1"/>
        <v>#NAME?</v>
      </c>
      <c r="I179" t="e">
        <f ca="1"/>
        <v>#NAME?</v>
      </c>
      <c r="J179" t="e">
        <f ca="1"/>
        <v>#NAME?</v>
      </c>
      <c r="K179" t="e">
        <f ca="1"/>
        <v>#NAME?</v>
      </c>
      <c r="L179" t="e">
        <f ca="1"/>
        <v>#NAME?</v>
      </c>
      <c r="M179" t="e">
        <f ca="1"/>
        <v>#NAME?</v>
      </c>
      <c r="N179" t="e">
        <f ca="1"/>
        <v>#NAME?</v>
      </c>
      <c r="O179" t="e">
        <f ca="1"/>
        <v>#NAME?</v>
      </c>
      <c r="P179" t="e">
        <f ca="1"/>
        <v>#NAME?</v>
      </c>
      <c r="Q179" t="e">
        <f ca="1"/>
        <v>#NAME?</v>
      </c>
      <c r="R179" t="e">
        <f ca="1"/>
        <v>#NAME?</v>
      </c>
      <c r="S179" t="e">
        <f ca="1"/>
        <v>#NAME?</v>
      </c>
      <c r="T179" t="e">
        <f ca="1"/>
        <v>#NAME?</v>
      </c>
      <c r="U179" t="e">
        <f ca="1"/>
        <v>#NAME?</v>
      </c>
      <c r="V179" s="5" t="e">
        <f ca="1"/>
        <v>#NAME?</v>
      </c>
      <c r="W179" t="e">
        <f ca="1"/>
        <v>#NAME?</v>
      </c>
      <c r="X179" t="e">
        <f ca="1"/>
        <v>#NAME?</v>
      </c>
      <c r="Y179" t="e">
        <f ca="1"/>
        <v>#NAME?</v>
      </c>
      <c r="Z179" t="e">
        <f ca="1"/>
        <v>#NAME?</v>
      </c>
      <c r="AA179" t="e">
        <f ca="1"/>
        <v>#NAME?</v>
      </c>
      <c r="AB179" t="e">
        <f ca="1"/>
        <v>#NAME?</v>
      </c>
    </row>
    <row r="180" spans="1:28" x14ac:dyDescent="0.2">
      <c r="A180" t="e">
        <f ca="1"/>
        <v>#NAME?</v>
      </c>
      <c r="B180" t="e">
        <f ca="1"/>
        <v>#NAME?</v>
      </c>
      <c r="C180" t="e">
        <f ca="1"/>
        <v>#NAME?</v>
      </c>
      <c r="D180" t="e">
        <f ca="1"/>
        <v>#NAME?</v>
      </c>
      <c r="E180" t="e">
        <f ca="1"/>
        <v>#NAME?</v>
      </c>
      <c r="F180" t="e">
        <f ca="1"/>
        <v>#NAME?</v>
      </c>
      <c r="G180" t="e">
        <f ca="1"/>
        <v>#NAME?</v>
      </c>
      <c r="H180" t="e">
        <f ca="1"/>
        <v>#NAME?</v>
      </c>
      <c r="I180" t="e">
        <f ca="1"/>
        <v>#NAME?</v>
      </c>
      <c r="J180" t="e">
        <f ca="1"/>
        <v>#NAME?</v>
      </c>
      <c r="K180" t="e">
        <f ca="1"/>
        <v>#NAME?</v>
      </c>
      <c r="L180" t="e">
        <f ca="1"/>
        <v>#NAME?</v>
      </c>
      <c r="M180" t="e">
        <f ca="1"/>
        <v>#NAME?</v>
      </c>
      <c r="N180" t="e">
        <f ca="1"/>
        <v>#NAME?</v>
      </c>
      <c r="O180" t="e">
        <f ca="1"/>
        <v>#NAME?</v>
      </c>
      <c r="P180" t="e">
        <f ca="1"/>
        <v>#NAME?</v>
      </c>
      <c r="Q180" t="e">
        <f ca="1"/>
        <v>#NAME?</v>
      </c>
      <c r="R180" t="e">
        <f ca="1"/>
        <v>#NAME?</v>
      </c>
      <c r="S180" t="e">
        <f ca="1"/>
        <v>#NAME?</v>
      </c>
      <c r="T180" t="e">
        <f ca="1"/>
        <v>#NAME?</v>
      </c>
      <c r="U180" t="e">
        <f ca="1"/>
        <v>#NAME?</v>
      </c>
      <c r="V180" s="5" t="e">
        <f ca="1"/>
        <v>#NAME?</v>
      </c>
      <c r="W180" t="e">
        <f ca="1"/>
        <v>#NAME?</v>
      </c>
      <c r="X180" t="e">
        <f ca="1"/>
        <v>#NAME?</v>
      </c>
      <c r="Y180" t="e">
        <f ca="1"/>
        <v>#NAME?</v>
      </c>
      <c r="Z180" t="e">
        <f ca="1"/>
        <v>#NAME?</v>
      </c>
      <c r="AA180" t="e">
        <f ca="1"/>
        <v>#NAME?</v>
      </c>
      <c r="AB180" t="e">
        <f ca="1"/>
        <v>#NAME?</v>
      </c>
    </row>
    <row r="181" spans="1:28" x14ac:dyDescent="0.2">
      <c r="A181" t="e">
        <f ca="1"/>
        <v>#NAME?</v>
      </c>
      <c r="B181" t="e">
        <f ca="1"/>
        <v>#NAME?</v>
      </c>
      <c r="C181" t="e">
        <f ca="1"/>
        <v>#NAME?</v>
      </c>
      <c r="D181" t="e">
        <f ca="1"/>
        <v>#NAME?</v>
      </c>
      <c r="E181" t="e">
        <f ca="1"/>
        <v>#NAME?</v>
      </c>
      <c r="F181" t="e">
        <f ca="1"/>
        <v>#NAME?</v>
      </c>
      <c r="G181" t="e">
        <f ca="1"/>
        <v>#NAME?</v>
      </c>
      <c r="H181" t="e">
        <f ca="1"/>
        <v>#NAME?</v>
      </c>
      <c r="I181" t="e">
        <f ca="1"/>
        <v>#NAME?</v>
      </c>
      <c r="J181" t="e">
        <f ca="1"/>
        <v>#NAME?</v>
      </c>
      <c r="K181" t="e">
        <f ca="1"/>
        <v>#NAME?</v>
      </c>
      <c r="L181" t="e">
        <f ca="1"/>
        <v>#NAME?</v>
      </c>
      <c r="M181" t="e">
        <f ca="1"/>
        <v>#NAME?</v>
      </c>
      <c r="N181" t="e">
        <f ca="1"/>
        <v>#NAME?</v>
      </c>
      <c r="O181" t="e">
        <f ca="1"/>
        <v>#NAME?</v>
      </c>
      <c r="P181" t="e">
        <f ca="1"/>
        <v>#NAME?</v>
      </c>
      <c r="Q181" t="e">
        <f ca="1"/>
        <v>#NAME?</v>
      </c>
      <c r="R181" t="e">
        <f ca="1"/>
        <v>#NAME?</v>
      </c>
      <c r="S181" t="e">
        <f ca="1"/>
        <v>#NAME?</v>
      </c>
      <c r="T181" t="e">
        <f ca="1"/>
        <v>#NAME?</v>
      </c>
      <c r="U181" t="e">
        <f ca="1"/>
        <v>#NAME?</v>
      </c>
      <c r="V181" s="5" t="e">
        <f ca="1"/>
        <v>#NAME?</v>
      </c>
      <c r="W181" t="e">
        <f ca="1"/>
        <v>#NAME?</v>
      </c>
      <c r="X181" t="e">
        <f ca="1"/>
        <v>#NAME?</v>
      </c>
      <c r="Y181" t="e">
        <f ca="1"/>
        <v>#NAME?</v>
      </c>
      <c r="Z181" t="e">
        <f ca="1"/>
        <v>#NAME?</v>
      </c>
      <c r="AA181" t="e">
        <f ca="1"/>
        <v>#NAME?</v>
      </c>
      <c r="AB181" t="e">
        <f ca="1"/>
        <v>#NAME?</v>
      </c>
    </row>
    <row r="182" spans="1:28" x14ac:dyDescent="0.2">
      <c r="A182" t="e">
        <f ca="1"/>
        <v>#NAME?</v>
      </c>
      <c r="B182" t="e">
        <f ca="1"/>
        <v>#NAME?</v>
      </c>
      <c r="C182" t="e">
        <f ca="1"/>
        <v>#NAME?</v>
      </c>
      <c r="D182" t="e">
        <f ca="1"/>
        <v>#NAME?</v>
      </c>
      <c r="E182" t="e">
        <f ca="1"/>
        <v>#NAME?</v>
      </c>
      <c r="F182" t="e">
        <f ca="1"/>
        <v>#NAME?</v>
      </c>
      <c r="G182" t="e">
        <f ca="1"/>
        <v>#NAME?</v>
      </c>
      <c r="H182" t="e">
        <f ca="1"/>
        <v>#NAME?</v>
      </c>
      <c r="I182" t="e">
        <f ca="1"/>
        <v>#NAME?</v>
      </c>
      <c r="J182" t="e">
        <f ca="1"/>
        <v>#NAME?</v>
      </c>
      <c r="K182" t="e">
        <f ca="1"/>
        <v>#NAME?</v>
      </c>
      <c r="L182" t="e">
        <f ca="1"/>
        <v>#NAME?</v>
      </c>
      <c r="M182" t="e">
        <f ca="1"/>
        <v>#NAME?</v>
      </c>
      <c r="N182" t="e">
        <f ca="1"/>
        <v>#NAME?</v>
      </c>
      <c r="O182" t="e">
        <f ca="1"/>
        <v>#NAME?</v>
      </c>
      <c r="P182" t="e">
        <f ca="1"/>
        <v>#NAME?</v>
      </c>
      <c r="Q182" t="e">
        <f ca="1"/>
        <v>#NAME?</v>
      </c>
      <c r="R182" t="e">
        <f ca="1"/>
        <v>#NAME?</v>
      </c>
      <c r="S182" t="e">
        <f ca="1"/>
        <v>#NAME?</v>
      </c>
      <c r="T182" t="e">
        <f ca="1"/>
        <v>#NAME?</v>
      </c>
      <c r="U182" t="e">
        <f ca="1"/>
        <v>#NAME?</v>
      </c>
      <c r="V182" s="5" t="e">
        <f ca="1"/>
        <v>#NAME?</v>
      </c>
      <c r="W182" t="e">
        <f ca="1"/>
        <v>#NAME?</v>
      </c>
      <c r="X182" t="e">
        <f ca="1"/>
        <v>#NAME?</v>
      </c>
      <c r="Y182" t="e">
        <f ca="1"/>
        <v>#NAME?</v>
      </c>
      <c r="Z182" t="e">
        <f ca="1"/>
        <v>#NAME?</v>
      </c>
      <c r="AA182" t="e">
        <f ca="1"/>
        <v>#NAME?</v>
      </c>
      <c r="AB182" t="e">
        <f ca="1"/>
        <v>#NAME?</v>
      </c>
    </row>
    <row r="183" spans="1:28" x14ac:dyDescent="0.2">
      <c r="A183" t="e">
        <f ca="1"/>
        <v>#NAME?</v>
      </c>
      <c r="B183" t="e">
        <f ca="1"/>
        <v>#NAME?</v>
      </c>
      <c r="C183" t="e">
        <f ca="1"/>
        <v>#NAME?</v>
      </c>
      <c r="D183" t="e">
        <f ca="1"/>
        <v>#NAME?</v>
      </c>
      <c r="E183" t="e">
        <f ca="1"/>
        <v>#NAME?</v>
      </c>
      <c r="F183" t="e">
        <f ca="1"/>
        <v>#NAME?</v>
      </c>
      <c r="G183" t="e">
        <f ca="1"/>
        <v>#NAME?</v>
      </c>
      <c r="H183" t="e">
        <f ca="1"/>
        <v>#NAME?</v>
      </c>
      <c r="I183" t="e">
        <f ca="1"/>
        <v>#NAME?</v>
      </c>
      <c r="J183" t="e">
        <f ca="1"/>
        <v>#NAME?</v>
      </c>
      <c r="K183" t="e">
        <f ca="1"/>
        <v>#NAME?</v>
      </c>
      <c r="L183" t="e">
        <f ca="1"/>
        <v>#NAME?</v>
      </c>
      <c r="M183" t="e">
        <f ca="1"/>
        <v>#NAME?</v>
      </c>
      <c r="N183" t="e">
        <f ca="1"/>
        <v>#NAME?</v>
      </c>
      <c r="O183" t="e">
        <f ca="1"/>
        <v>#NAME?</v>
      </c>
      <c r="P183" t="e">
        <f ca="1"/>
        <v>#NAME?</v>
      </c>
      <c r="Q183" t="e">
        <f ca="1"/>
        <v>#NAME?</v>
      </c>
      <c r="R183" t="e">
        <f ca="1"/>
        <v>#NAME?</v>
      </c>
      <c r="S183" t="e">
        <f ca="1"/>
        <v>#NAME?</v>
      </c>
      <c r="T183" t="e">
        <f ca="1"/>
        <v>#NAME?</v>
      </c>
      <c r="U183" t="e">
        <f ca="1"/>
        <v>#NAME?</v>
      </c>
      <c r="V183" s="5" t="e">
        <f ca="1"/>
        <v>#NAME?</v>
      </c>
      <c r="W183" t="e">
        <f ca="1"/>
        <v>#NAME?</v>
      </c>
      <c r="X183" t="e">
        <f ca="1"/>
        <v>#NAME?</v>
      </c>
      <c r="Y183" t="e">
        <f ca="1"/>
        <v>#NAME?</v>
      </c>
      <c r="Z183" t="e">
        <f ca="1"/>
        <v>#NAME?</v>
      </c>
      <c r="AA183" t="e">
        <f ca="1"/>
        <v>#NAME?</v>
      </c>
      <c r="AB183" t="e">
        <f ca="1"/>
        <v>#NAME?</v>
      </c>
    </row>
    <row r="184" spans="1:28" x14ac:dyDescent="0.2">
      <c r="A184" t="e">
        <f ca="1"/>
        <v>#NAME?</v>
      </c>
      <c r="B184" t="e">
        <f ca="1"/>
        <v>#NAME?</v>
      </c>
      <c r="C184" t="e">
        <f ca="1"/>
        <v>#NAME?</v>
      </c>
      <c r="D184" t="e">
        <f ca="1"/>
        <v>#NAME?</v>
      </c>
      <c r="E184" t="e">
        <f ca="1"/>
        <v>#NAME?</v>
      </c>
      <c r="F184" t="e">
        <f ca="1"/>
        <v>#NAME?</v>
      </c>
      <c r="G184" t="e">
        <f ca="1"/>
        <v>#NAME?</v>
      </c>
      <c r="H184" t="e">
        <f ca="1"/>
        <v>#NAME?</v>
      </c>
      <c r="I184" t="e">
        <f ca="1"/>
        <v>#NAME?</v>
      </c>
      <c r="J184" t="e">
        <f ca="1"/>
        <v>#NAME?</v>
      </c>
      <c r="K184" t="e">
        <f ca="1"/>
        <v>#NAME?</v>
      </c>
      <c r="L184" t="e">
        <f ca="1"/>
        <v>#NAME?</v>
      </c>
      <c r="M184" t="e">
        <f ca="1"/>
        <v>#NAME?</v>
      </c>
      <c r="N184" t="e">
        <f ca="1"/>
        <v>#NAME?</v>
      </c>
      <c r="O184" t="e">
        <f ca="1"/>
        <v>#NAME?</v>
      </c>
      <c r="P184" t="e">
        <f ca="1"/>
        <v>#NAME?</v>
      </c>
      <c r="Q184" t="e">
        <f ca="1"/>
        <v>#NAME?</v>
      </c>
      <c r="R184" t="e">
        <f ca="1"/>
        <v>#NAME?</v>
      </c>
      <c r="S184" t="e">
        <f ca="1"/>
        <v>#NAME?</v>
      </c>
      <c r="T184" t="e">
        <f ca="1"/>
        <v>#NAME?</v>
      </c>
      <c r="U184" t="e">
        <f ca="1"/>
        <v>#NAME?</v>
      </c>
      <c r="V184" s="5" t="e">
        <f ca="1"/>
        <v>#NAME?</v>
      </c>
      <c r="W184" t="e">
        <f ca="1"/>
        <v>#NAME?</v>
      </c>
      <c r="X184" t="e">
        <f ca="1"/>
        <v>#NAME?</v>
      </c>
      <c r="Y184" t="e">
        <f ca="1"/>
        <v>#NAME?</v>
      </c>
      <c r="Z184" t="e">
        <f ca="1"/>
        <v>#NAME?</v>
      </c>
      <c r="AA184" t="e">
        <f ca="1"/>
        <v>#NAME?</v>
      </c>
      <c r="AB184" t="e">
        <f ca="1"/>
        <v>#NAME?</v>
      </c>
    </row>
    <row r="185" spans="1:28" x14ac:dyDescent="0.2">
      <c r="A185" t="e">
        <f ca="1"/>
        <v>#NAME?</v>
      </c>
      <c r="B185" t="e">
        <f ca="1"/>
        <v>#NAME?</v>
      </c>
      <c r="C185" t="e">
        <f ca="1"/>
        <v>#NAME?</v>
      </c>
      <c r="D185" t="e">
        <f ca="1"/>
        <v>#NAME?</v>
      </c>
      <c r="E185" t="e">
        <f ca="1"/>
        <v>#NAME?</v>
      </c>
      <c r="F185" t="e">
        <f ca="1"/>
        <v>#NAME?</v>
      </c>
      <c r="G185" t="e">
        <f ca="1"/>
        <v>#NAME?</v>
      </c>
      <c r="H185" t="e">
        <f ca="1"/>
        <v>#NAME?</v>
      </c>
      <c r="I185" t="e">
        <f ca="1"/>
        <v>#NAME?</v>
      </c>
      <c r="J185" t="e">
        <f ca="1"/>
        <v>#NAME?</v>
      </c>
      <c r="K185" t="e">
        <f ca="1"/>
        <v>#NAME?</v>
      </c>
      <c r="L185" t="e">
        <f ca="1"/>
        <v>#NAME?</v>
      </c>
      <c r="M185" t="e">
        <f ca="1"/>
        <v>#NAME?</v>
      </c>
      <c r="N185" t="e">
        <f ca="1"/>
        <v>#NAME?</v>
      </c>
      <c r="O185" t="e">
        <f ca="1"/>
        <v>#NAME?</v>
      </c>
      <c r="P185" t="e">
        <f ca="1"/>
        <v>#NAME?</v>
      </c>
      <c r="Q185" t="e">
        <f ca="1"/>
        <v>#NAME?</v>
      </c>
      <c r="R185" t="e">
        <f ca="1"/>
        <v>#NAME?</v>
      </c>
      <c r="S185" t="e">
        <f ca="1"/>
        <v>#NAME?</v>
      </c>
      <c r="T185" t="e">
        <f ca="1"/>
        <v>#NAME?</v>
      </c>
      <c r="U185" t="e">
        <f ca="1"/>
        <v>#NAME?</v>
      </c>
      <c r="V185" s="5" t="e">
        <f ca="1"/>
        <v>#NAME?</v>
      </c>
      <c r="W185" t="e">
        <f ca="1"/>
        <v>#NAME?</v>
      </c>
      <c r="X185" t="e">
        <f ca="1"/>
        <v>#NAME?</v>
      </c>
      <c r="Y185" t="e">
        <f ca="1"/>
        <v>#NAME?</v>
      </c>
      <c r="Z185" t="e">
        <f ca="1"/>
        <v>#NAME?</v>
      </c>
      <c r="AA185" t="e">
        <f ca="1"/>
        <v>#NAME?</v>
      </c>
      <c r="AB185" t="e">
        <f ca="1"/>
        <v>#NAME?</v>
      </c>
    </row>
    <row r="186" spans="1:28" x14ac:dyDescent="0.2">
      <c r="A186" t="e">
        <f ca="1"/>
        <v>#NAME?</v>
      </c>
      <c r="B186" t="e">
        <f ca="1"/>
        <v>#NAME?</v>
      </c>
      <c r="C186" t="e">
        <f ca="1"/>
        <v>#NAME?</v>
      </c>
      <c r="D186" t="e">
        <f ca="1"/>
        <v>#NAME?</v>
      </c>
      <c r="E186" t="e">
        <f ca="1"/>
        <v>#NAME?</v>
      </c>
      <c r="F186" t="e">
        <f ca="1"/>
        <v>#NAME?</v>
      </c>
      <c r="G186" t="e">
        <f ca="1"/>
        <v>#NAME?</v>
      </c>
      <c r="H186" t="e">
        <f ca="1"/>
        <v>#NAME?</v>
      </c>
      <c r="I186" t="e">
        <f ca="1"/>
        <v>#NAME?</v>
      </c>
      <c r="J186" t="e">
        <f ca="1"/>
        <v>#NAME?</v>
      </c>
      <c r="K186" t="e">
        <f ca="1"/>
        <v>#NAME?</v>
      </c>
      <c r="L186" t="e">
        <f ca="1"/>
        <v>#NAME?</v>
      </c>
      <c r="M186" t="e">
        <f ca="1"/>
        <v>#NAME?</v>
      </c>
      <c r="N186" t="e">
        <f ca="1"/>
        <v>#NAME?</v>
      </c>
      <c r="O186" t="e">
        <f ca="1"/>
        <v>#NAME?</v>
      </c>
      <c r="P186" t="e">
        <f ca="1"/>
        <v>#NAME?</v>
      </c>
      <c r="Q186" t="e">
        <f ca="1"/>
        <v>#NAME?</v>
      </c>
      <c r="R186" t="e">
        <f ca="1"/>
        <v>#NAME?</v>
      </c>
      <c r="S186" t="e">
        <f ca="1"/>
        <v>#NAME?</v>
      </c>
      <c r="T186" t="e">
        <f ca="1"/>
        <v>#NAME?</v>
      </c>
      <c r="U186" t="e">
        <f ca="1"/>
        <v>#NAME?</v>
      </c>
      <c r="V186" s="5" t="e">
        <f ca="1"/>
        <v>#NAME?</v>
      </c>
      <c r="W186" t="e">
        <f ca="1"/>
        <v>#NAME?</v>
      </c>
      <c r="X186" t="e">
        <f ca="1"/>
        <v>#NAME?</v>
      </c>
      <c r="Y186" t="e">
        <f ca="1"/>
        <v>#NAME?</v>
      </c>
      <c r="Z186" t="e">
        <f ca="1"/>
        <v>#NAME?</v>
      </c>
      <c r="AA186" t="e">
        <f ca="1"/>
        <v>#NAME?</v>
      </c>
      <c r="AB186" t="e">
        <f ca="1"/>
        <v>#NAME?</v>
      </c>
    </row>
    <row r="187" spans="1:28" x14ac:dyDescent="0.2">
      <c r="A187" t="e">
        <f ca="1"/>
        <v>#NAME?</v>
      </c>
      <c r="B187" t="e">
        <f ca="1"/>
        <v>#NAME?</v>
      </c>
      <c r="C187" t="e">
        <f ca="1"/>
        <v>#NAME?</v>
      </c>
      <c r="D187" t="e">
        <f ca="1"/>
        <v>#NAME?</v>
      </c>
      <c r="E187" t="e">
        <f ca="1"/>
        <v>#NAME?</v>
      </c>
      <c r="F187" t="e">
        <f ca="1"/>
        <v>#NAME?</v>
      </c>
      <c r="G187" t="e">
        <f ca="1"/>
        <v>#NAME?</v>
      </c>
      <c r="H187" t="e">
        <f ca="1"/>
        <v>#NAME?</v>
      </c>
      <c r="I187" t="e">
        <f ca="1"/>
        <v>#NAME?</v>
      </c>
      <c r="J187" t="e">
        <f ca="1"/>
        <v>#NAME?</v>
      </c>
      <c r="K187" t="e">
        <f ca="1"/>
        <v>#NAME?</v>
      </c>
      <c r="L187" t="e">
        <f ca="1"/>
        <v>#NAME?</v>
      </c>
      <c r="M187" t="e">
        <f ca="1"/>
        <v>#NAME?</v>
      </c>
      <c r="N187" t="e">
        <f ca="1"/>
        <v>#NAME?</v>
      </c>
      <c r="O187" t="e">
        <f ca="1"/>
        <v>#NAME?</v>
      </c>
      <c r="P187" t="e">
        <f ca="1"/>
        <v>#NAME?</v>
      </c>
      <c r="Q187" t="e">
        <f ca="1"/>
        <v>#NAME?</v>
      </c>
      <c r="R187" t="e">
        <f ca="1"/>
        <v>#NAME?</v>
      </c>
      <c r="S187" t="e">
        <f ca="1"/>
        <v>#NAME?</v>
      </c>
      <c r="T187" t="e">
        <f ca="1"/>
        <v>#NAME?</v>
      </c>
      <c r="U187" t="e">
        <f ca="1"/>
        <v>#NAME?</v>
      </c>
      <c r="V187" s="5" t="e">
        <f ca="1"/>
        <v>#NAME?</v>
      </c>
      <c r="W187" t="e">
        <f ca="1"/>
        <v>#NAME?</v>
      </c>
      <c r="X187" t="e">
        <f ca="1"/>
        <v>#NAME?</v>
      </c>
      <c r="Y187" t="e">
        <f ca="1"/>
        <v>#NAME?</v>
      </c>
      <c r="Z187" t="e">
        <f ca="1"/>
        <v>#NAME?</v>
      </c>
      <c r="AA187" t="e">
        <f ca="1"/>
        <v>#NAME?</v>
      </c>
      <c r="AB187" t="e">
        <f ca="1"/>
        <v>#NAME?</v>
      </c>
    </row>
    <row r="188" spans="1:28" x14ac:dyDescent="0.2">
      <c r="A188" t="e">
        <f ca="1"/>
        <v>#NAME?</v>
      </c>
      <c r="B188" t="e">
        <f ca="1"/>
        <v>#NAME?</v>
      </c>
      <c r="C188" t="e">
        <f ca="1"/>
        <v>#NAME?</v>
      </c>
      <c r="D188" t="e">
        <f ca="1"/>
        <v>#NAME?</v>
      </c>
      <c r="E188" t="e">
        <f ca="1"/>
        <v>#NAME?</v>
      </c>
      <c r="F188" t="e">
        <f ca="1"/>
        <v>#NAME?</v>
      </c>
      <c r="G188" t="e">
        <f ca="1"/>
        <v>#NAME?</v>
      </c>
      <c r="H188" t="e">
        <f ca="1"/>
        <v>#NAME?</v>
      </c>
      <c r="I188" t="e">
        <f ca="1"/>
        <v>#NAME?</v>
      </c>
      <c r="J188" t="e">
        <f ca="1"/>
        <v>#NAME?</v>
      </c>
      <c r="K188" t="e">
        <f ca="1"/>
        <v>#NAME?</v>
      </c>
      <c r="L188" t="e">
        <f ca="1"/>
        <v>#NAME?</v>
      </c>
      <c r="M188" t="e">
        <f ca="1"/>
        <v>#NAME?</v>
      </c>
      <c r="N188" t="e">
        <f ca="1"/>
        <v>#NAME?</v>
      </c>
      <c r="O188" t="e">
        <f ca="1"/>
        <v>#NAME?</v>
      </c>
      <c r="P188" t="e">
        <f ca="1"/>
        <v>#NAME?</v>
      </c>
      <c r="Q188" t="e">
        <f ca="1"/>
        <v>#NAME?</v>
      </c>
      <c r="R188" t="e">
        <f ca="1"/>
        <v>#NAME?</v>
      </c>
      <c r="S188" t="e">
        <f ca="1"/>
        <v>#NAME?</v>
      </c>
      <c r="T188" t="e">
        <f ca="1"/>
        <v>#NAME?</v>
      </c>
      <c r="U188" t="e">
        <f ca="1"/>
        <v>#NAME?</v>
      </c>
      <c r="V188" s="5" t="e">
        <f ca="1"/>
        <v>#NAME?</v>
      </c>
      <c r="W188" t="e">
        <f ca="1"/>
        <v>#NAME?</v>
      </c>
      <c r="X188" t="e">
        <f ca="1"/>
        <v>#NAME?</v>
      </c>
      <c r="Y188" t="e">
        <f ca="1"/>
        <v>#NAME?</v>
      </c>
      <c r="Z188" t="e">
        <f ca="1"/>
        <v>#NAME?</v>
      </c>
      <c r="AA188" t="e">
        <f ca="1"/>
        <v>#NAME?</v>
      </c>
      <c r="AB188" t="e">
        <f ca="1"/>
        <v>#NAME?</v>
      </c>
    </row>
    <row r="189" spans="1:28" x14ac:dyDescent="0.2">
      <c r="A189" t="e">
        <f ca="1"/>
        <v>#NAME?</v>
      </c>
      <c r="B189" t="e">
        <f ca="1"/>
        <v>#NAME?</v>
      </c>
      <c r="C189" t="e">
        <f ca="1"/>
        <v>#NAME?</v>
      </c>
      <c r="D189" t="e">
        <f ca="1"/>
        <v>#NAME?</v>
      </c>
      <c r="E189" t="e">
        <f ca="1"/>
        <v>#NAME?</v>
      </c>
      <c r="F189" t="e">
        <f ca="1"/>
        <v>#NAME?</v>
      </c>
      <c r="G189" t="e">
        <f ca="1"/>
        <v>#NAME?</v>
      </c>
      <c r="H189" t="e">
        <f ca="1"/>
        <v>#NAME?</v>
      </c>
      <c r="I189" t="e">
        <f ca="1"/>
        <v>#NAME?</v>
      </c>
      <c r="J189" t="e">
        <f ca="1"/>
        <v>#NAME?</v>
      </c>
      <c r="K189" t="e">
        <f ca="1"/>
        <v>#NAME?</v>
      </c>
      <c r="L189" t="e">
        <f ca="1"/>
        <v>#NAME?</v>
      </c>
      <c r="M189" t="e">
        <f ca="1"/>
        <v>#NAME?</v>
      </c>
      <c r="N189" t="e">
        <f ca="1"/>
        <v>#NAME?</v>
      </c>
      <c r="O189" t="e">
        <f ca="1"/>
        <v>#NAME?</v>
      </c>
      <c r="P189" t="e">
        <f ca="1"/>
        <v>#NAME?</v>
      </c>
      <c r="Q189" t="e">
        <f ca="1"/>
        <v>#NAME?</v>
      </c>
      <c r="R189" t="e">
        <f ca="1"/>
        <v>#NAME?</v>
      </c>
      <c r="S189" t="e">
        <f ca="1"/>
        <v>#NAME?</v>
      </c>
      <c r="T189" t="e">
        <f ca="1"/>
        <v>#NAME?</v>
      </c>
      <c r="U189" t="e">
        <f ca="1"/>
        <v>#NAME?</v>
      </c>
      <c r="V189" s="5" t="e">
        <f ca="1"/>
        <v>#NAME?</v>
      </c>
      <c r="W189" t="e">
        <f ca="1"/>
        <v>#NAME?</v>
      </c>
      <c r="X189" t="e">
        <f ca="1"/>
        <v>#NAME?</v>
      </c>
      <c r="Y189" t="e">
        <f ca="1"/>
        <v>#NAME?</v>
      </c>
      <c r="Z189" t="e">
        <f ca="1"/>
        <v>#NAME?</v>
      </c>
      <c r="AA189" t="e">
        <f ca="1"/>
        <v>#NAME?</v>
      </c>
      <c r="AB189" t="e">
        <f ca="1"/>
        <v>#NAME?</v>
      </c>
    </row>
    <row r="190" spans="1:28" x14ac:dyDescent="0.2">
      <c r="A190" t="e">
        <f ca="1"/>
        <v>#NAME?</v>
      </c>
      <c r="B190" t="e">
        <f ca="1"/>
        <v>#NAME?</v>
      </c>
      <c r="C190" t="e">
        <f ca="1"/>
        <v>#NAME?</v>
      </c>
      <c r="D190" t="e">
        <f ca="1"/>
        <v>#NAME?</v>
      </c>
      <c r="E190" t="e">
        <f ca="1"/>
        <v>#NAME?</v>
      </c>
      <c r="F190" t="e">
        <f ca="1"/>
        <v>#NAME?</v>
      </c>
      <c r="G190" t="e">
        <f ca="1"/>
        <v>#NAME?</v>
      </c>
      <c r="H190" t="e">
        <f ca="1"/>
        <v>#NAME?</v>
      </c>
      <c r="I190" t="e">
        <f ca="1"/>
        <v>#NAME?</v>
      </c>
      <c r="J190" t="e">
        <f ca="1"/>
        <v>#NAME?</v>
      </c>
      <c r="K190" t="e">
        <f ca="1"/>
        <v>#NAME?</v>
      </c>
      <c r="L190" t="e">
        <f ca="1"/>
        <v>#NAME?</v>
      </c>
      <c r="M190" t="e">
        <f ca="1"/>
        <v>#NAME?</v>
      </c>
      <c r="N190" t="e">
        <f ca="1"/>
        <v>#NAME?</v>
      </c>
      <c r="O190" t="e">
        <f ca="1"/>
        <v>#NAME?</v>
      </c>
      <c r="P190" t="e">
        <f ca="1"/>
        <v>#NAME?</v>
      </c>
      <c r="Q190" t="e">
        <f ca="1"/>
        <v>#NAME?</v>
      </c>
      <c r="R190" t="e">
        <f ca="1"/>
        <v>#NAME?</v>
      </c>
      <c r="S190" t="e">
        <f ca="1"/>
        <v>#NAME?</v>
      </c>
      <c r="T190" t="e">
        <f ca="1"/>
        <v>#NAME?</v>
      </c>
      <c r="U190" t="e">
        <f ca="1"/>
        <v>#NAME?</v>
      </c>
      <c r="V190" s="5" t="e">
        <f ca="1"/>
        <v>#NAME?</v>
      </c>
      <c r="W190" t="e">
        <f ca="1"/>
        <v>#NAME?</v>
      </c>
      <c r="X190" t="e">
        <f ca="1"/>
        <v>#NAME?</v>
      </c>
      <c r="Y190" t="e">
        <f ca="1"/>
        <v>#NAME?</v>
      </c>
      <c r="Z190" t="e">
        <f ca="1"/>
        <v>#NAME?</v>
      </c>
      <c r="AA190" t="e">
        <f ca="1"/>
        <v>#NAME?</v>
      </c>
      <c r="AB190" t="e">
        <f ca="1"/>
        <v>#NAME?</v>
      </c>
    </row>
    <row r="191" spans="1:28" x14ac:dyDescent="0.2">
      <c r="A191" t="e">
        <f ca="1"/>
        <v>#NAME?</v>
      </c>
      <c r="B191" t="e">
        <f ca="1"/>
        <v>#NAME?</v>
      </c>
      <c r="C191" t="e">
        <f ca="1"/>
        <v>#NAME?</v>
      </c>
      <c r="D191" t="e">
        <f ca="1"/>
        <v>#NAME?</v>
      </c>
      <c r="E191" t="e">
        <f ca="1"/>
        <v>#NAME?</v>
      </c>
      <c r="F191" t="e">
        <f ca="1"/>
        <v>#NAME?</v>
      </c>
      <c r="G191" t="e">
        <f ca="1"/>
        <v>#NAME?</v>
      </c>
      <c r="H191" t="e">
        <f ca="1"/>
        <v>#NAME?</v>
      </c>
      <c r="I191" t="e">
        <f ca="1"/>
        <v>#NAME?</v>
      </c>
      <c r="J191" t="e">
        <f ca="1"/>
        <v>#NAME?</v>
      </c>
      <c r="K191" t="e">
        <f ca="1"/>
        <v>#NAME?</v>
      </c>
      <c r="L191" t="e">
        <f ca="1"/>
        <v>#NAME?</v>
      </c>
      <c r="M191" t="e">
        <f ca="1"/>
        <v>#NAME?</v>
      </c>
      <c r="N191" t="e">
        <f ca="1"/>
        <v>#NAME?</v>
      </c>
      <c r="O191" t="e">
        <f ca="1"/>
        <v>#NAME?</v>
      </c>
      <c r="P191" t="e">
        <f ca="1"/>
        <v>#NAME?</v>
      </c>
      <c r="Q191" t="e">
        <f ca="1"/>
        <v>#NAME?</v>
      </c>
      <c r="R191" t="e">
        <f ca="1"/>
        <v>#NAME?</v>
      </c>
      <c r="S191" t="e">
        <f ca="1"/>
        <v>#NAME?</v>
      </c>
      <c r="T191" t="e">
        <f ca="1"/>
        <v>#NAME?</v>
      </c>
      <c r="U191" t="e">
        <f ca="1"/>
        <v>#NAME?</v>
      </c>
      <c r="V191" s="5" t="e">
        <f ca="1"/>
        <v>#NAME?</v>
      </c>
      <c r="W191" t="e">
        <f ca="1"/>
        <v>#NAME?</v>
      </c>
      <c r="X191" t="e">
        <f ca="1"/>
        <v>#NAME?</v>
      </c>
      <c r="Y191" t="e">
        <f ca="1"/>
        <v>#NAME?</v>
      </c>
      <c r="Z191" t="e">
        <f ca="1"/>
        <v>#NAME?</v>
      </c>
      <c r="AA191" t="e">
        <f ca="1"/>
        <v>#NAME?</v>
      </c>
      <c r="AB191" t="e">
        <f ca="1"/>
        <v>#NAME?</v>
      </c>
    </row>
    <row r="192" spans="1:28" x14ac:dyDescent="0.2">
      <c r="A192" t="e">
        <f ca="1"/>
        <v>#NAME?</v>
      </c>
      <c r="B192" t="e">
        <f ca="1"/>
        <v>#NAME?</v>
      </c>
      <c r="C192" t="e">
        <f ca="1"/>
        <v>#NAME?</v>
      </c>
      <c r="D192" t="e">
        <f ca="1"/>
        <v>#NAME?</v>
      </c>
      <c r="E192" t="e">
        <f ca="1"/>
        <v>#NAME?</v>
      </c>
      <c r="F192" t="e">
        <f ca="1"/>
        <v>#NAME?</v>
      </c>
      <c r="G192" t="e">
        <f ca="1"/>
        <v>#NAME?</v>
      </c>
      <c r="H192" t="e">
        <f ca="1"/>
        <v>#NAME?</v>
      </c>
      <c r="I192" t="e">
        <f ca="1"/>
        <v>#NAME?</v>
      </c>
      <c r="J192" t="e">
        <f ca="1"/>
        <v>#NAME?</v>
      </c>
      <c r="K192" t="e">
        <f ca="1"/>
        <v>#NAME?</v>
      </c>
      <c r="L192" t="e">
        <f ca="1"/>
        <v>#NAME?</v>
      </c>
      <c r="M192" t="e">
        <f ca="1"/>
        <v>#NAME?</v>
      </c>
      <c r="N192" t="e">
        <f ca="1"/>
        <v>#NAME?</v>
      </c>
      <c r="O192" t="e">
        <f ca="1"/>
        <v>#NAME?</v>
      </c>
      <c r="P192" t="e">
        <f ca="1"/>
        <v>#NAME?</v>
      </c>
      <c r="Q192" t="e">
        <f ca="1"/>
        <v>#NAME?</v>
      </c>
      <c r="R192" t="e">
        <f ca="1"/>
        <v>#NAME?</v>
      </c>
      <c r="S192" t="e">
        <f ca="1"/>
        <v>#NAME?</v>
      </c>
      <c r="T192" t="e">
        <f ca="1"/>
        <v>#NAME?</v>
      </c>
      <c r="U192" t="e">
        <f ca="1"/>
        <v>#NAME?</v>
      </c>
      <c r="V192" s="5" t="e">
        <f ca="1"/>
        <v>#NAME?</v>
      </c>
      <c r="W192" t="e">
        <f ca="1"/>
        <v>#NAME?</v>
      </c>
      <c r="X192" t="e">
        <f ca="1"/>
        <v>#NAME?</v>
      </c>
      <c r="Y192" t="e">
        <f ca="1"/>
        <v>#NAME?</v>
      </c>
      <c r="Z192" t="e">
        <f ca="1"/>
        <v>#NAME?</v>
      </c>
      <c r="AA192" t="e">
        <f ca="1"/>
        <v>#NAME?</v>
      </c>
      <c r="AB192" t="e">
        <f ca="1"/>
        <v>#NAME?</v>
      </c>
    </row>
    <row r="193" spans="1:28" x14ac:dyDescent="0.2">
      <c r="A193" t="e">
        <f ca="1"/>
        <v>#NAME?</v>
      </c>
      <c r="B193" t="e">
        <f ca="1"/>
        <v>#NAME?</v>
      </c>
      <c r="C193" t="e">
        <f ca="1"/>
        <v>#NAME?</v>
      </c>
      <c r="D193" t="e">
        <f ca="1"/>
        <v>#NAME?</v>
      </c>
      <c r="E193" t="e">
        <f ca="1"/>
        <v>#NAME?</v>
      </c>
      <c r="F193" t="e">
        <f ca="1"/>
        <v>#NAME?</v>
      </c>
      <c r="G193" t="e">
        <f ca="1"/>
        <v>#NAME?</v>
      </c>
      <c r="H193" t="e">
        <f ca="1"/>
        <v>#NAME?</v>
      </c>
      <c r="I193" t="e">
        <f ca="1"/>
        <v>#NAME?</v>
      </c>
      <c r="J193" t="e">
        <f ca="1"/>
        <v>#NAME?</v>
      </c>
      <c r="K193" t="e">
        <f ca="1"/>
        <v>#NAME?</v>
      </c>
      <c r="L193" t="e">
        <f ca="1"/>
        <v>#NAME?</v>
      </c>
      <c r="M193" t="e">
        <f ca="1"/>
        <v>#NAME?</v>
      </c>
      <c r="N193" t="e">
        <f ca="1"/>
        <v>#NAME?</v>
      </c>
      <c r="O193" t="e">
        <f ca="1"/>
        <v>#NAME?</v>
      </c>
      <c r="P193" t="e">
        <f ca="1"/>
        <v>#NAME?</v>
      </c>
      <c r="Q193" t="e">
        <f ca="1"/>
        <v>#NAME?</v>
      </c>
      <c r="R193" t="e">
        <f ca="1"/>
        <v>#NAME?</v>
      </c>
      <c r="S193" t="e">
        <f ca="1"/>
        <v>#NAME?</v>
      </c>
      <c r="T193" t="e">
        <f ca="1"/>
        <v>#NAME?</v>
      </c>
      <c r="U193" t="e">
        <f ca="1"/>
        <v>#NAME?</v>
      </c>
      <c r="V193" s="5" t="e">
        <f ca="1"/>
        <v>#NAME?</v>
      </c>
      <c r="W193" t="e">
        <f ca="1"/>
        <v>#NAME?</v>
      </c>
      <c r="X193" t="e">
        <f ca="1"/>
        <v>#NAME?</v>
      </c>
      <c r="Y193" t="e">
        <f ca="1"/>
        <v>#NAME?</v>
      </c>
      <c r="Z193" t="e">
        <f ca="1"/>
        <v>#NAME?</v>
      </c>
      <c r="AA193" t="e">
        <f ca="1"/>
        <v>#NAME?</v>
      </c>
      <c r="AB193" t="e">
        <f ca="1"/>
        <v>#NAME?</v>
      </c>
    </row>
    <row r="194" spans="1:28" x14ac:dyDescent="0.2">
      <c r="A194" t="e">
        <f ca="1"/>
        <v>#NAME?</v>
      </c>
      <c r="B194" t="e">
        <f ca="1"/>
        <v>#NAME?</v>
      </c>
      <c r="C194" t="e">
        <f ca="1"/>
        <v>#NAME?</v>
      </c>
      <c r="D194" t="e">
        <f ca="1"/>
        <v>#NAME?</v>
      </c>
      <c r="E194" t="e">
        <f ca="1"/>
        <v>#NAME?</v>
      </c>
      <c r="F194" t="e">
        <f ca="1"/>
        <v>#NAME?</v>
      </c>
      <c r="G194" t="e">
        <f ca="1"/>
        <v>#NAME?</v>
      </c>
      <c r="H194" t="e">
        <f ca="1"/>
        <v>#NAME?</v>
      </c>
      <c r="I194" t="e">
        <f ca="1"/>
        <v>#NAME?</v>
      </c>
      <c r="J194" t="e">
        <f ca="1"/>
        <v>#NAME?</v>
      </c>
      <c r="K194" t="e">
        <f ca="1"/>
        <v>#NAME?</v>
      </c>
      <c r="L194" t="e">
        <f ca="1"/>
        <v>#NAME?</v>
      </c>
      <c r="M194" t="e">
        <f ca="1"/>
        <v>#NAME?</v>
      </c>
      <c r="N194" t="e">
        <f ca="1"/>
        <v>#NAME?</v>
      </c>
      <c r="O194" t="e">
        <f ca="1"/>
        <v>#NAME?</v>
      </c>
      <c r="P194" t="e">
        <f ca="1"/>
        <v>#NAME?</v>
      </c>
      <c r="Q194" t="e">
        <f ca="1"/>
        <v>#NAME?</v>
      </c>
      <c r="R194" t="e">
        <f ca="1"/>
        <v>#NAME?</v>
      </c>
      <c r="S194" t="e">
        <f ca="1"/>
        <v>#NAME?</v>
      </c>
      <c r="T194" t="e">
        <f ca="1"/>
        <v>#NAME?</v>
      </c>
      <c r="U194" t="e">
        <f ca="1"/>
        <v>#NAME?</v>
      </c>
      <c r="V194" s="5" t="e">
        <f ca="1"/>
        <v>#NAME?</v>
      </c>
      <c r="W194" t="e">
        <f ca="1"/>
        <v>#NAME?</v>
      </c>
      <c r="X194" t="e">
        <f ca="1"/>
        <v>#NAME?</v>
      </c>
      <c r="Y194" t="e">
        <f ca="1"/>
        <v>#NAME?</v>
      </c>
      <c r="Z194" t="e">
        <f ca="1"/>
        <v>#NAME?</v>
      </c>
      <c r="AA194" t="e">
        <f ca="1"/>
        <v>#NAME?</v>
      </c>
      <c r="AB194" t="e">
        <f ca="1"/>
        <v>#NAME?</v>
      </c>
    </row>
    <row r="195" spans="1:28" x14ac:dyDescent="0.2">
      <c r="A195" t="e">
        <f ca="1"/>
        <v>#NAME?</v>
      </c>
      <c r="B195" t="e">
        <f ca="1"/>
        <v>#NAME?</v>
      </c>
      <c r="C195" t="e">
        <f ca="1"/>
        <v>#NAME?</v>
      </c>
      <c r="D195" t="e">
        <f ca="1"/>
        <v>#NAME?</v>
      </c>
      <c r="E195" t="e">
        <f ca="1"/>
        <v>#NAME?</v>
      </c>
      <c r="F195" t="e">
        <f ca="1"/>
        <v>#NAME?</v>
      </c>
      <c r="G195" t="e">
        <f ca="1"/>
        <v>#NAME?</v>
      </c>
      <c r="H195" t="e">
        <f ca="1"/>
        <v>#NAME?</v>
      </c>
      <c r="I195" t="e">
        <f ca="1"/>
        <v>#NAME?</v>
      </c>
      <c r="J195" t="e">
        <f ca="1"/>
        <v>#NAME?</v>
      </c>
      <c r="K195" t="e">
        <f ca="1"/>
        <v>#NAME?</v>
      </c>
      <c r="L195" t="e">
        <f ca="1"/>
        <v>#NAME?</v>
      </c>
      <c r="M195" t="e">
        <f ca="1"/>
        <v>#NAME?</v>
      </c>
      <c r="N195" t="e">
        <f ca="1"/>
        <v>#NAME?</v>
      </c>
      <c r="O195" t="e">
        <f ca="1"/>
        <v>#NAME?</v>
      </c>
      <c r="P195" t="e">
        <f ca="1"/>
        <v>#NAME?</v>
      </c>
      <c r="Q195" t="e">
        <f ca="1"/>
        <v>#NAME?</v>
      </c>
      <c r="R195" t="e">
        <f ca="1"/>
        <v>#NAME?</v>
      </c>
      <c r="S195" t="e">
        <f ca="1"/>
        <v>#NAME?</v>
      </c>
      <c r="T195" t="e">
        <f ca="1"/>
        <v>#NAME?</v>
      </c>
      <c r="U195" t="e">
        <f ca="1"/>
        <v>#NAME?</v>
      </c>
      <c r="V195" s="5" t="e">
        <f ca="1"/>
        <v>#NAME?</v>
      </c>
      <c r="W195" t="e">
        <f ca="1"/>
        <v>#NAME?</v>
      </c>
      <c r="X195" t="e">
        <f ca="1"/>
        <v>#NAME?</v>
      </c>
      <c r="Y195" t="e">
        <f ca="1"/>
        <v>#NAME?</v>
      </c>
      <c r="Z195" t="e">
        <f ca="1"/>
        <v>#NAME?</v>
      </c>
      <c r="AA195" t="e">
        <f ca="1"/>
        <v>#NAME?</v>
      </c>
      <c r="AB195" t="e">
        <f ca="1"/>
        <v>#NAME?</v>
      </c>
    </row>
    <row r="196" spans="1:28" x14ac:dyDescent="0.2">
      <c r="A196" t="e">
        <f ca="1"/>
        <v>#NAME?</v>
      </c>
      <c r="B196" t="e">
        <f ca="1"/>
        <v>#NAME?</v>
      </c>
      <c r="C196" t="e">
        <f ca="1"/>
        <v>#NAME?</v>
      </c>
      <c r="D196" t="e">
        <f ca="1"/>
        <v>#NAME?</v>
      </c>
      <c r="E196" t="e">
        <f ca="1"/>
        <v>#NAME?</v>
      </c>
      <c r="F196" t="e">
        <f ca="1"/>
        <v>#NAME?</v>
      </c>
      <c r="G196" t="e">
        <f ca="1"/>
        <v>#NAME?</v>
      </c>
      <c r="H196" t="e">
        <f ca="1"/>
        <v>#NAME?</v>
      </c>
      <c r="I196" t="e">
        <f ca="1"/>
        <v>#NAME?</v>
      </c>
      <c r="J196" t="e">
        <f ca="1"/>
        <v>#NAME?</v>
      </c>
      <c r="K196" t="e">
        <f ca="1"/>
        <v>#NAME?</v>
      </c>
      <c r="L196" t="e">
        <f ca="1"/>
        <v>#NAME?</v>
      </c>
      <c r="M196" t="e">
        <f ca="1"/>
        <v>#NAME?</v>
      </c>
      <c r="N196" t="e">
        <f ca="1"/>
        <v>#NAME?</v>
      </c>
      <c r="O196" t="e">
        <f ca="1"/>
        <v>#NAME?</v>
      </c>
      <c r="P196" t="e">
        <f ca="1"/>
        <v>#NAME?</v>
      </c>
      <c r="Q196" t="e">
        <f ca="1"/>
        <v>#NAME?</v>
      </c>
      <c r="R196" t="e">
        <f ca="1"/>
        <v>#NAME?</v>
      </c>
      <c r="S196" t="e">
        <f ca="1"/>
        <v>#NAME?</v>
      </c>
      <c r="T196" t="e">
        <f ca="1"/>
        <v>#NAME?</v>
      </c>
      <c r="U196" t="e">
        <f ca="1"/>
        <v>#NAME?</v>
      </c>
      <c r="V196" s="5" t="e">
        <f ca="1"/>
        <v>#NAME?</v>
      </c>
      <c r="W196" t="e">
        <f ca="1"/>
        <v>#NAME?</v>
      </c>
      <c r="X196" t="e">
        <f ca="1"/>
        <v>#NAME?</v>
      </c>
      <c r="Y196" t="e">
        <f ca="1"/>
        <v>#NAME?</v>
      </c>
      <c r="Z196" t="e">
        <f ca="1"/>
        <v>#NAME?</v>
      </c>
      <c r="AA196" t="e">
        <f ca="1"/>
        <v>#NAME?</v>
      </c>
      <c r="AB196" t="e">
        <f ca="1"/>
        <v>#NAME?</v>
      </c>
    </row>
    <row r="197" spans="1:28" x14ac:dyDescent="0.2">
      <c r="A197" t="e">
        <f ca="1"/>
        <v>#NAME?</v>
      </c>
      <c r="B197" t="e">
        <f ca="1"/>
        <v>#NAME?</v>
      </c>
      <c r="C197" t="e">
        <f ca="1"/>
        <v>#NAME?</v>
      </c>
      <c r="D197" t="e">
        <f ca="1"/>
        <v>#NAME?</v>
      </c>
      <c r="E197" t="e">
        <f ca="1"/>
        <v>#NAME?</v>
      </c>
      <c r="F197" t="e">
        <f ca="1"/>
        <v>#NAME?</v>
      </c>
      <c r="G197" t="e">
        <f ca="1"/>
        <v>#NAME?</v>
      </c>
      <c r="H197" t="e">
        <f ca="1"/>
        <v>#NAME?</v>
      </c>
      <c r="I197" t="e">
        <f ca="1"/>
        <v>#NAME?</v>
      </c>
      <c r="J197" t="e">
        <f ca="1"/>
        <v>#NAME?</v>
      </c>
      <c r="K197" t="e">
        <f ca="1"/>
        <v>#NAME?</v>
      </c>
      <c r="L197" t="e">
        <f ca="1"/>
        <v>#NAME?</v>
      </c>
      <c r="M197" t="e">
        <f ca="1"/>
        <v>#NAME?</v>
      </c>
      <c r="N197" t="e">
        <f ca="1"/>
        <v>#NAME?</v>
      </c>
      <c r="O197" t="e">
        <f ca="1"/>
        <v>#NAME?</v>
      </c>
      <c r="P197" t="e">
        <f ca="1"/>
        <v>#NAME?</v>
      </c>
      <c r="Q197" t="e">
        <f ca="1"/>
        <v>#NAME?</v>
      </c>
      <c r="R197" t="e">
        <f ca="1"/>
        <v>#NAME?</v>
      </c>
      <c r="S197" t="e">
        <f ca="1"/>
        <v>#NAME?</v>
      </c>
      <c r="T197" t="e">
        <f ca="1"/>
        <v>#NAME?</v>
      </c>
      <c r="U197" t="e">
        <f ca="1"/>
        <v>#NAME?</v>
      </c>
      <c r="V197" s="5" t="e">
        <f ca="1"/>
        <v>#NAME?</v>
      </c>
      <c r="W197" t="e">
        <f ca="1"/>
        <v>#NAME?</v>
      </c>
      <c r="X197" t="e">
        <f ca="1"/>
        <v>#NAME?</v>
      </c>
      <c r="Y197" t="e">
        <f ca="1"/>
        <v>#NAME?</v>
      </c>
      <c r="Z197" t="e">
        <f ca="1"/>
        <v>#NAME?</v>
      </c>
      <c r="AA197" t="e">
        <f ca="1"/>
        <v>#NAME?</v>
      </c>
      <c r="AB197" t="e">
        <f ca="1"/>
        <v>#NAME?</v>
      </c>
    </row>
    <row r="198" spans="1:28" x14ac:dyDescent="0.2">
      <c r="A198" t="e">
        <f ca="1"/>
        <v>#NAME?</v>
      </c>
      <c r="B198" t="e">
        <f ca="1"/>
        <v>#NAME?</v>
      </c>
      <c r="C198" t="e">
        <f ca="1"/>
        <v>#NAME?</v>
      </c>
      <c r="D198" t="e">
        <f ca="1"/>
        <v>#NAME?</v>
      </c>
      <c r="E198" t="e">
        <f ca="1"/>
        <v>#NAME?</v>
      </c>
      <c r="F198" t="e">
        <f ca="1"/>
        <v>#NAME?</v>
      </c>
      <c r="G198" t="e">
        <f ca="1"/>
        <v>#NAME?</v>
      </c>
      <c r="H198" t="e">
        <f ca="1"/>
        <v>#NAME?</v>
      </c>
      <c r="I198" t="e">
        <f ca="1"/>
        <v>#NAME?</v>
      </c>
      <c r="J198" t="e">
        <f ca="1"/>
        <v>#NAME?</v>
      </c>
      <c r="K198" t="e">
        <f ca="1"/>
        <v>#NAME?</v>
      </c>
      <c r="L198" t="e">
        <f ca="1"/>
        <v>#NAME?</v>
      </c>
      <c r="M198" t="e">
        <f ca="1"/>
        <v>#NAME?</v>
      </c>
      <c r="N198" t="e">
        <f ca="1"/>
        <v>#NAME?</v>
      </c>
      <c r="O198" t="e">
        <f ca="1"/>
        <v>#NAME?</v>
      </c>
      <c r="P198" t="e">
        <f ca="1"/>
        <v>#NAME?</v>
      </c>
      <c r="Q198" t="e">
        <f ca="1"/>
        <v>#NAME?</v>
      </c>
      <c r="R198" t="e">
        <f ca="1"/>
        <v>#NAME?</v>
      </c>
      <c r="S198" t="e">
        <f ca="1"/>
        <v>#NAME?</v>
      </c>
      <c r="T198" t="e">
        <f ca="1"/>
        <v>#NAME?</v>
      </c>
      <c r="U198" t="e">
        <f ca="1"/>
        <v>#NAME?</v>
      </c>
      <c r="V198" s="5" t="e">
        <f ca="1"/>
        <v>#NAME?</v>
      </c>
      <c r="W198" t="e">
        <f ca="1"/>
        <v>#NAME?</v>
      </c>
      <c r="X198" t="e">
        <f ca="1"/>
        <v>#NAME?</v>
      </c>
      <c r="Y198" t="e">
        <f ca="1"/>
        <v>#NAME?</v>
      </c>
      <c r="Z198" t="e">
        <f ca="1"/>
        <v>#NAME?</v>
      </c>
      <c r="AA198" t="e">
        <f ca="1"/>
        <v>#NAME?</v>
      </c>
      <c r="AB198" t="e">
        <f ca="1"/>
        <v>#NAME?</v>
      </c>
    </row>
    <row r="199" spans="1:28" x14ac:dyDescent="0.2">
      <c r="A199" t="e">
        <f ca="1"/>
        <v>#NAME?</v>
      </c>
      <c r="B199" t="e">
        <f ca="1"/>
        <v>#NAME?</v>
      </c>
      <c r="C199" t="e">
        <f ca="1"/>
        <v>#NAME?</v>
      </c>
      <c r="D199" t="e">
        <f ca="1"/>
        <v>#NAME?</v>
      </c>
      <c r="E199" t="e">
        <f ca="1"/>
        <v>#NAME?</v>
      </c>
      <c r="F199" t="e">
        <f ca="1"/>
        <v>#NAME?</v>
      </c>
      <c r="G199" t="e">
        <f ca="1"/>
        <v>#NAME?</v>
      </c>
      <c r="H199" t="e">
        <f ca="1"/>
        <v>#NAME?</v>
      </c>
      <c r="I199" t="e">
        <f ca="1"/>
        <v>#NAME?</v>
      </c>
      <c r="J199" t="e">
        <f ca="1"/>
        <v>#NAME?</v>
      </c>
      <c r="K199" t="e">
        <f ca="1"/>
        <v>#NAME?</v>
      </c>
      <c r="L199" t="e">
        <f ca="1"/>
        <v>#NAME?</v>
      </c>
      <c r="M199" t="e">
        <f ca="1"/>
        <v>#NAME?</v>
      </c>
      <c r="N199" t="e">
        <f ca="1"/>
        <v>#NAME?</v>
      </c>
      <c r="O199" t="e">
        <f ca="1"/>
        <v>#NAME?</v>
      </c>
      <c r="P199" t="e">
        <f ca="1"/>
        <v>#NAME?</v>
      </c>
      <c r="Q199" t="e">
        <f ca="1"/>
        <v>#NAME?</v>
      </c>
      <c r="R199" t="e">
        <f ca="1"/>
        <v>#NAME?</v>
      </c>
      <c r="S199" t="e">
        <f ca="1"/>
        <v>#NAME?</v>
      </c>
      <c r="T199" t="e">
        <f ca="1"/>
        <v>#NAME?</v>
      </c>
      <c r="U199" t="e">
        <f ca="1"/>
        <v>#NAME?</v>
      </c>
      <c r="V199" s="5" t="e">
        <f ca="1"/>
        <v>#NAME?</v>
      </c>
      <c r="W199" t="e">
        <f ca="1"/>
        <v>#NAME?</v>
      </c>
      <c r="X199" t="e">
        <f ca="1"/>
        <v>#NAME?</v>
      </c>
      <c r="Y199" t="e">
        <f ca="1"/>
        <v>#NAME?</v>
      </c>
      <c r="Z199" t="e">
        <f ca="1"/>
        <v>#NAME?</v>
      </c>
      <c r="AA199" t="e">
        <f ca="1"/>
        <v>#NAME?</v>
      </c>
      <c r="AB199" t="e">
        <f ca="1"/>
        <v>#NAME?</v>
      </c>
    </row>
    <row r="200" spans="1:28" x14ac:dyDescent="0.2">
      <c r="A200" t="e">
        <f ca="1"/>
        <v>#NAME?</v>
      </c>
      <c r="B200" t="e">
        <f ca="1"/>
        <v>#NAME?</v>
      </c>
      <c r="C200" t="e">
        <f ca="1"/>
        <v>#NAME?</v>
      </c>
      <c r="D200" t="e">
        <f ca="1"/>
        <v>#NAME?</v>
      </c>
      <c r="E200" t="e">
        <f ca="1"/>
        <v>#NAME?</v>
      </c>
      <c r="F200" t="e">
        <f ca="1"/>
        <v>#NAME?</v>
      </c>
      <c r="G200" t="e">
        <f ca="1"/>
        <v>#NAME?</v>
      </c>
      <c r="H200" t="e">
        <f ca="1"/>
        <v>#NAME?</v>
      </c>
      <c r="I200" t="e">
        <f ca="1"/>
        <v>#NAME?</v>
      </c>
      <c r="J200" t="e">
        <f ca="1"/>
        <v>#NAME?</v>
      </c>
      <c r="K200" t="e">
        <f ca="1"/>
        <v>#NAME?</v>
      </c>
      <c r="L200" t="e">
        <f ca="1"/>
        <v>#NAME?</v>
      </c>
      <c r="M200" t="e">
        <f ca="1"/>
        <v>#NAME?</v>
      </c>
      <c r="N200" t="e">
        <f ca="1"/>
        <v>#NAME?</v>
      </c>
      <c r="O200" t="e">
        <f ca="1"/>
        <v>#NAME?</v>
      </c>
      <c r="P200" t="e">
        <f ca="1"/>
        <v>#NAME?</v>
      </c>
      <c r="Q200" t="e">
        <f ca="1"/>
        <v>#NAME?</v>
      </c>
      <c r="R200" t="e">
        <f ca="1"/>
        <v>#NAME?</v>
      </c>
      <c r="S200" t="e">
        <f ca="1"/>
        <v>#NAME?</v>
      </c>
      <c r="T200" t="e">
        <f ca="1"/>
        <v>#NAME?</v>
      </c>
      <c r="U200" t="e">
        <f ca="1"/>
        <v>#NAME?</v>
      </c>
      <c r="V200" s="5" t="e">
        <f ca="1"/>
        <v>#NAME?</v>
      </c>
      <c r="W200" t="e">
        <f ca="1"/>
        <v>#NAME?</v>
      </c>
      <c r="X200" t="e">
        <f ca="1"/>
        <v>#NAME?</v>
      </c>
      <c r="Y200" t="e">
        <f ca="1"/>
        <v>#NAME?</v>
      </c>
      <c r="Z200" t="e">
        <f ca="1"/>
        <v>#NAME?</v>
      </c>
      <c r="AA200" t="e">
        <f ca="1"/>
        <v>#NAME?</v>
      </c>
      <c r="AB200" t="e">
        <f ca="1"/>
        <v>#NAME?</v>
      </c>
    </row>
    <row r="201" spans="1:28" x14ac:dyDescent="0.2">
      <c r="A201" t="e">
        <f ca="1"/>
        <v>#NAME?</v>
      </c>
      <c r="B201" t="e">
        <f ca="1"/>
        <v>#NAME?</v>
      </c>
      <c r="C201" t="e">
        <f ca="1"/>
        <v>#NAME?</v>
      </c>
      <c r="D201" t="e">
        <f ca="1"/>
        <v>#NAME?</v>
      </c>
      <c r="E201" t="e">
        <f ca="1"/>
        <v>#NAME?</v>
      </c>
      <c r="F201" t="e">
        <f ca="1"/>
        <v>#NAME?</v>
      </c>
      <c r="G201" t="e">
        <f ca="1"/>
        <v>#NAME?</v>
      </c>
      <c r="H201" t="e">
        <f ca="1"/>
        <v>#NAME?</v>
      </c>
      <c r="I201" t="e">
        <f ca="1"/>
        <v>#NAME?</v>
      </c>
      <c r="J201" t="e">
        <f ca="1"/>
        <v>#NAME?</v>
      </c>
      <c r="K201" t="e">
        <f ca="1"/>
        <v>#NAME?</v>
      </c>
      <c r="L201" t="e">
        <f ca="1"/>
        <v>#NAME?</v>
      </c>
      <c r="M201" t="e">
        <f ca="1"/>
        <v>#NAME?</v>
      </c>
      <c r="N201" t="e">
        <f ca="1"/>
        <v>#NAME?</v>
      </c>
      <c r="O201" t="e">
        <f ca="1"/>
        <v>#NAME?</v>
      </c>
      <c r="P201" t="e">
        <f ca="1"/>
        <v>#NAME?</v>
      </c>
      <c r="Q201" t="e">
        <f ca="1"/>
        <v>#NAME?</v>
      </c>
      <c r="R201" t="e">
        <f ca="1"/>
        <v>#NAME?</v>
      </c>
      <c r="S201" t="e">
        <f ca="1"/>
        <v>#NAME?</v>
      </c>
      <c r="T201" t="e">
        <f ca="1"/>
        <v>#NAME?</v>
      </c>
      <c r="U201" t="e">
        <f ca="1"/>
        <v>#NAME?</v>
      </c>
      <c r="V201" s="5" t="e">
        <f ca="1"/>
        <v>#NAME?</v>
      </c>
      <c r="W201" t="e">
        <f ca="1"/>
        <v>#NAME?</v>
      </c>
      <c r="X201" t="e">
        <f ca="1"/>
        <v>#NAME?</v>
      </c>
      <c r="Y201" t="e">
        <f ca="1"/>
        <v>#NAME?</v>
      </c>
      <c r="Z201" t="e">
        <f ca="1"/>
        <v>#NAME?</v>
      </c>
      <c r="AA201" t="e">
        <f ca="1"/>
        <v>#NAME?</v>
      </c>
      <c r="AB201" t="e">
        <f ca="1"/>
        <v>#NAME?</v>
      </c>
    </row>
    <row r="202" spans="1:28" x14ac:dyDescent="0.2">
      <c r="A202" t="e">
        <f ca="1"/>
        <v>#NAME?</v>
      </c>
      <c r="B202" t="e">
        <f ca="1"/>
        <v>#NAME?</v>
      </c>
      <c r="C202" t="e">
        <f ca="1"/>
        <v>#NAME?</v>
      </c>
      <c r="D202" t="e">
        <f ca="1"/>
        <v>#NAME?</v>
      </c>
      <c r="E202" t="e">
        <f ca="1"/>
        <v>#NAME?</v>
      </c>
      <c r="F202" t="e">
        <f ca="1"/>
        <v>#NAME?</v>
      </c>
      <c r="G202" t="e">
        <f ca="1"/>
        <v>#NAME?</v>
      </c>
      <c r="H202" t="e">
        <f ca="1"/>
        <v>#NAME?</v>
      </c>
      <c r="I202" t="e">
        <f ca="1"/>
        <v>#NAME?</v>
      </c>
      <c r="J202" t="e">
        <f ca="1"/>
        <v>#NAME?</v>
      </c>
      <c r="K202" t="e">
        <f ca="1"/>
        <v>#NAME?</v>
      </c>
      <c r="L202" t="e">
        <f ca="1"/>
        <v>#NAME?</v>
      </c>
      <c r="M202" t="e">
        <f ca="1"/>
        <v>#NAME?</v>
      </c>
      <c r="N202" t="e">
        <f ca="1"/>
        <v>#NAME?</v>
      </c>
      <c r="O202" t="e">
        <f ca="1"/>
        <v>#NAME?</v>
      </c>
      <c r="P202" t="e">
        <f ca="1"/>
        <v>#NAME?</v>
      </c>
      <c r="Q202" t="e">
        <f ca="1"/>
        <v>#NAME?</v>
      </c>
      <c r="R202" t="e">
        <f ca="1"/>
        <v>#NAME?</v>
      </c>
      <c r="S202" t="e">
        <f ca="1"/>
        <v>#NAME?</v>
      </c>
      <c r="T202" t="e">
        <f ca="1"/>
        <v>#NAME?</v>
      </c>
      <c r="U202" t="e">
        <f ca="1"/>
        <v>#NAME?</v>
      </c>
      <c r="V202" s="5" t="e">
        <f ca="1"/>
        <v>#NAME?</v>
      </c>
      <c r="W202" t="e">
        <f ca="1"/>
        <v>#NAME?</v>
      </c>
      <c r="X202" t="e">
        <f ca="1"/>
        <v>#NAME?</v>
      </c>
      <c r="Y202" t="e">
        <f ca="1"/>
        <v>#NAME?</v>
      </c>
      <c r="Z202" t="e">
        <f ca="1"/>
        <v>#NAME?</v>
      </c>
      <c r="AA202" t="e">
        <f ca="1"/>
        <v>#NAME?</v>
      </c>
      <c r="AB202" t="e">
        <f ca="1"/>
        <v>#NAME?</v>
      </c>
    </row>
    <row r="203" spans="1:28" x14ac:dyDescent="0.2">
      <c r="A203" t="e">
        <f ca="1"/>
        <v>#NAME?</v>
      </c>
      <c r="B203" t="e">
        <f ca="1"/>
        <v>#NAME?</v>
      </c>
      <c r="C203" t="e">
        <f ca="1"/>
        <v>#NAME?</v>
      </c>
      <c r="D203" t="e">
        <f ca="1"/>
        <v>#NAME?</v>
      </c>
      <c r="E203" t="e">
        <f ca="1"/>
        <v>#NAME?</v>
      </c>
      <c r="F203" t="e">
        <f ca="1"/>
        <v>#NAME?</v>
      </c>
      <c r="G203" t="e">
        <f ca="1"/>
        <v>#NAME?</v>
      </c>
      <c r="H203" t="e">
        <f ca="1"/>
        <v>#NAME?</v>
      </c>
      <c r="I203" t="e">
        <f ca="1"/>
        <v>#NAME?</v>
      </c>
      <c r="J203" t="e">
        <f ca="1"/>
        <v>#NAME?</v>
      </c>
      <c r="K203" t="e">
        <f ca="1"/>
        <v>#NAME?</v>
      </c>
      <c r="L203" t="e">
        <f ca="1"/>
        <v>#NAME?</v>
      </c>
      <c r="M203" t="e">
        <f ca="1"/>
        <v>#NAME?</v>
      </c>
      <c r="N203" t="e">
        <f ca="1"/>
        <v>#NAME?</v>
      </c>
      <c r="O203" t="e">
        <f ca="1"/>
        <v>#NAME?</v>
      </c>
      <c r="P203" t="e">
        <f ca="1"/>
        <v>#NAME?</v>
      </c>
      <c r="Q203" t="e">
        <f ca="1"/>
        <v>#NAME?</v>
      </c>
      <c r="R203" t="e">
        <f ca="1"/>
        <v>#NAME?</v>
      </c>
      <c r="S203" t="e">
        <f ca="1"/>
        <v>#NAME?</v>
      </c>
      <c r="T203" t="e">
        <f ca="1"/>
        <v>#NAME?</v>
      </c>
      <c r="U203" t="e">
        <f ca="1"/>
        <v>#NAME?</v>
      </c>
      <c r="V203" s="5" t="e">
        <f ca="1"/>
        <v>#NAME?</v>
      </c>
      <c r="W203" t="e">
        <f ca="1"/>
        <v>#NAME?</v>
      </c>
      <c r="X203" t="e">
        <f ca="1"/>
        <v>#NAME?</v>
      </c>
      <c r="Y203" t="e">
        <f ca="1"/>
        <v>#NAME?</v>
      </c>
      <c r="Z203" t="e">
        <f ca="1"/>
        <v>#NAME?</v>
      </c>
      <c r="AA203" t="e">
        <f ca="1"/>
        <v>#NAME?</v>
      </c>
      <c r="AB203" t="e">
        <f ca="1"/>
        <v>#NAME?</v>
      </c>
    </row>
    <row r="204" spans="1:28" x14ac:dyDescent="0.2">
      <c r="A204" t="e">
        <f ca="1"/>
        <v>#NAME?</v>
      </c>
      <c r="B204" t="e">
        <f ca="1"/>
        <v>#NAME?</v>
      </c>
      <c r="C204" t="e">
        <f ca="1"/>
        <v>#NAME?</v>
      </c>
      <c r="D204" t="e">
        <f ca="1"/>
        <v>#NAME?</v>
      </c>
      <c r="E204" t="e">
        <f ca="1"/>
        <v>#NAME?</v>
      </c>
      <c r="F204" t="e">
        <f ca="1"/>
        <v>#NAME?</v>
      </c>
      <c r="G204" t="e">
        <f ca="1"/>
        <v>#NAME?</v>
      </c>
      <c r="H204" t="e">
        <f ca="1"/>
        <v>#NAME?</v>
      </c>
      <c r="I204" t="e">
        <f ca="1"/>
        <v>#NAME?</v>
      </c>
      <c r="J204" t="e">
        <f ca="1"/>
        <v>#NAME?</v>
      </c>
      <c r="K204" t="e">
        <f ca="1"/>
        <v>#NAME?</v>
      </c>
      <c r="L204" t="e">
        <f ca="1"/>
        <v>#NAME?</v>
      </c>
      <c r="M204" t="e">
        <f ca="1"/>
        <v>#NAME?</v>
      </c>
      <c r="N204" t="e">
        <f ca="1"/>
        <v>#NAME?</v>
      </c>
      <c r="O204" t="e">
        <f ca="1"/>
        <v>#NAME?</v>
      </c>
      <c r="P204" t="e">
        <f ca="1"/>
        <v>#NAME?</v>
      </c>
      <c r="Q204" t="e">
        <f ca="1"/>
        <v>#NAME?</v>
      </c>
      <c r="R204" t="e">
        <f ca="1"/>
        <v>#NAME?</v>
      </c>
      <c r="S204" t="e">
        <f ca="1"/>
        <v>#NAME?</v>
      </c>
      <c r="T204" t="e">
        <f ca="1"/>
        <v>#NAME?</v>
      </c>
      <c r="U204" t="e">
        <f ca="1"/>
        <v>#NAME?</v>
      </c>
      <c r="V204" s="5" t="e">
        <f ca="1"/>
        <v>#NAME?</v>
      </c>
      <c r="W204" t="e">
        <f ca="1"/>
        <v>#NAME?</v>
      </c>
      <c r="X204" t="e">
        <f ca="1"/>
        <v>#NAME?</v>
      </c>
      <c r="Y204" t="e">
        <f ca="1"/>
        <v>#NAME?</v>
      </c>
      <c r="Z204" t="e">
        <f ca="1"/>
        <v>#NAME?</v>
      </c>
      <c r="AA204" t="e">
        <f ca="1"/>
        <v>#NAME?</v>
      </c>
      <c r="AB204" t="e">
        <f ca="1"/>
        <v>#NAME?</v>
      </c>
    </row>
    <row r="205" spans="1:28" x14ac:dyDescent="0.2">
      <c r="A205" t="e">
        <f ca="1"/>
        <v>#NAME?</v>
      </c>
      <c r="B205" t="e">
        <f ca="1"/>
        <v>#NAME?</v>
      </c>
      <c r="C205" t="e">
        <f ca="1"/>
        <v>#NAME?</v>
      </c>
      <c r="D205" t="e">
        <f ca="1"/>
        <v>#NAME?</v>
      </c>
      <c r="E205" t="e">
        <f ca="1"/>
        <v>#NAME?</v>
      </c>
      <c r="F205" t="e">
        <f ca="1"/>
        <v>#NAME?</v>
      </c>
      <c r="G205" t="e">
        <f ca="1"/>
        <v>#NAME?</v>
      </c>
      <c r="H205" t="e">
        <f ca="1"/>
        <v>#NAME?</v>
      </c>
      <c r="I205" t="e">
        <f ca="1"/>
        <v>#NAME?</v>
      </c>
      <c r="J205" t="e">
        <f ca="1"/>
        <v>#NAME?</v>
      </c>
      <c r="K205" t="e">
        <f ca="1"/>
        <v>#NAME?</v>
      </c>
      <c r="L205" t="e">
        <f ca="1"/>
        <v>#NAME?</v>
      </c>
      <c r="M205" t="e">
        <f ca="1"/>
        <v>#NAME?</v>
      </c>
      <c r="N205" t="e">
        <f ca="1"/>
        <v>#NAME?</v>
      </c>
      <c r="O205" t="e">
        <f ca="1"/>
        <v>#NAME?</v>
      </c>
      <c r="P205" t="e">
        <f ca="1"/>
        <v>#NAME?</v>
      </c>
      <c r="Q205" t="e">
        <f ca="1"/>
        <v>#NAME?</v>
      </c>
      <c r="R205" t="e">
        <f ca="1"/>
        <v>#NAME?</v>
      </c>
      <c r="S205" t="e">
        <f ca="1"/>
        <v>#NAME?</v>
      </c>
      <c r="T205" t="e">
        <f ca="1"/>
        <v>#NAME?</v>
      </c>
      <c r="U205" t="e">
        <f ca="1"/>
        <v>#NAME?</v>
      </c>
      <c r="V205" s="5" t="e">
        <f ca="1"/>
        <v>#NAME?</v>
      </c>
      <c r="W205" t="e">
        <f ca="1"/>
        <v>#NAME?</v>
      </c>
      <c r="X205" t="e">
        <f ca="1"/>
        <v>#NAME?</v>
      </c>
      <c r="Y205" t="e">
        <f ca="1"/>
        <v>#NAME?</v>
      </c>
      <c r="Z205" t="e">
        <f ca="1"/>
        <v>#NAME?</v>
      </c>
      <c r="AA205" t="e">
        <f ca="1"/>
        <v>#NAME?</v>
      </c>
      <c r="AB205" t="e">
        <f ca="1"/>
        <v>#NAME?</v>
      </c>
    </row>
    <row r="206" spans="1:28" x14ac:dyDescent="0.2">
      <c r="A206" t="e">
        <f ca="1"/>
        <v>#NAME?</v>
      </c>
      <c r="B206" t="e">
        <f ca="1"/>
        <v>#NAME?</v>
      </c>
      <c r="C206" t="e">
        <f ca="1"/>
        <v>#NAME?</v>
      </c>
      <c r="D206" t="e">
        <f ca="1"/>
        <v>#NAME?</v>
      </c>
      <c r="E206" t="e">
        <f ca="1"/>
        <v>#NAME?</v>
      </c>
      <c r="F206" t="e">
        <f ca="1"/>
        <v>#NAME?</v>
      </c>
      <c r="G206" t="e">
        <f ca="1"/>
        <v>#NAME?</v>
      </c>
      <c r="H206" t="e">
        <f ca="1"/>
        <v>#NAME?</v>
      </c>
      <c r="I206" t="e">
        <f ca="1"/>
        <v>#NAME?</v>
      </c>
      <c r="J206" t="e">
        <f ca="1"/>
        <v>#NAME?</v>
      </c>
      <c r="K206" t="e">
        <f ca="1"/>
        <v>#NAME?</v>
      </c>
      <c r="L206" t="e">
        <f ca="1"/>
        <v>#NAME?</v>
      </c>
      <c r="M206" t="e">
        <f ca="1"/>
        <v>#NAME?</v>
      </c>
      <c r="N206" t="e">
        <f ca="1"/>
        <v>#NAME?</v>
      </c>
      <c r="O206" t="e">
        <f ca="1"/>
        <v>#NAME?</v>
      </c>
      <c r="P206" t="e">
        <f ca="1"/>
        <v>#NAME?</v>
      </c>
      <c r="Q206" t="e">
        <f ca="1"/>
        <v>#NAME?</v>
      </c>
      <c r="R206" t="e">
        <f ca="1"/>
        <v>#NAME?</v>
      </c>
      <c r="S206" t="e">
        <f ca="1"/>
        <v>#NAME?</v>
      </c>
      <c r="T206" t="e">
        <f ca="1"/>
        <v>#NAME?</v>
      </c>
      <c r="U206" t="e">
        <f ca="1"/>
        <v>#NAME?</v>
      </c>
      <c r="V206" s="5" t="e">
        <f ca="1"/>
        <v>#NAME?</v>
      </c>
      <c r="W206" t="e">
        <f ca="1"/>
        <v>#NAME?</v>
      </c>
      <c r="X206" t="e">
        <f ca="1"/>
        <v>#NAME?</v>
      </c>
      <c r="Y206" t="e">
        <f ca="1"/>
        <v>#NAME?</v>
      </c>
      <c r="Z206" t="e">
        <f ca="1"/>
        <v>#NAME?</v>
      </c>
      <c r="AA206" t="e">
        <f ca="1"/>
        <v>#NAME?</v>
      </c>
      <c r="AB206" t="e">
        <f ca="1"/>
        <v>#NAME?</v>
      </c>
    </row>
    <row r="207" spans="1:28" x14ac:dyDescent="0.2">
      <c r="A207" t="e">
        <f ca="1"/>
        <v>#NAME?</v>
      </c>
      <c r="B207" t="e">
        <f ca="1"/>
        <v>#NAME?</v>
      </c>
      <c r="C207" t="e">
        <f ca="1"/>
        <v>#NAME?</v>
      </c>
      <c r="D207" t="e">
        <f ca="1"/>
        <v>#NAME?</v>
      </c>
      <c r="E207" t="e">
        <f ca="1"/>
        <v>#NAME?</v>
      </c>
      <c r="F207" t="e">
        <f ca="1"/>
        <v>#NAME?</v>
      </c>
      <c r="G207" t="e">
        <f ca="1"/>
        <v>#NAME?</v>
      </c>
      <c r="H207" t="e">
        <f ca="1"/>
        <v>#NAME?</v>
      </c>
      <c r="I207" t="e">
        <f ca="1"/>
        <v>#NAME?</v>
      </c>
      <c r="J207" t="e">
        <f ca="1"/>
        <v>#NAME?</v>
      </c>
      <c r="K207" t="e">
        <f ca="1"/>
        <v>#NAME?</v>
      </c>
      <c r="L207" t="e">
        <f ca="1"/>
        <v>#NAME?</v>
      </c>
      <c r="M207" t="e">
        <f ca="1"/>
        <v>#NAME?</v>
      </c>
      <c r="N207" t="e">
        <f ca="1"/>
        <v>#NAME?</v>
      </c>
      <c r="O207" t="e">
        <f ca="1"/>
        <v>#NAME?</v>
      </c>
      <c r="P207" t="e">
        <f ca="1"/>
        <v>#NAME?</v>
      </c>
      <c r="Q207" t="e">
        <f ca="1"/>
        <v>#NAME?</v>
      </c>
      <c r="R207" t="e">
        <f ca="1"/>
        <v>#NAME?</v>
      </c>
      <c r="S207" t="e">
        <f ca="1"/>
        <v>#NAME?</v>
      </c>
      <c r="T207" t="e">
        <f ca="1"/>
        <v>#NAME?</v>
      </c>
      <c r="U207" t="e">
        <f ca="1"/>
        <v>#NAME?</v>
      </c>
      <c r="V207" s="5" t="e">
        <f ca="1"/>
        <v>#NAME?</v>
      </c>
      <c r="W207" t="e">
        <f ca="1"/>
        <v>#NAME?</v>
      </c>
      <c r="X207" t="e">
        <f ca="1"/>
        <v>#NAME?</v>
      </c>
      <c r="Y207" t="e">
        <f ca="1"/>
        <v>#NAME?</v>
      </c>
      <c r="Z207" t="e">
        <f ca="1"/>
        <v>#NAME?</v>
      </c>
      <c r="AA207" t="e">
        <f ca="1"/>
        <v>#NAME?</v>
      </c>
      <c r="AB207" t="e">
        <f ca="1"/>
        <v>#NAME?</v>
      </c>
    </row>
    <row r="208" spans="1:28" x14ac:dyDescent="0.2">
      <c r="A208" t="e">
        <f ca="1"/>
        <v>#NAME?</v>
      </c>
      <c r="B208" t="e">
        <f ca="1"/>
        <v>#NAME?</v>
      </c>
      <c r="C208" t="e">
        <f ca="1"/>
        <v>#NAME?</v>
      </c>
      <c r="D208" t="e">
        <f ca="1"/>
        <v>#NAME?</v>
      </c>
      <c r="E208" t="e">
        <f ca="1"/>
        <v>#NAME?</v>
      </c>
      <c r="F208" t="e">
        <f ca="1"/>
        <v>#NAME?</v>
      </c>
      <c r="G208" t="e">
        <f ca="1"/>
        <v>#NAME?</v>
      </c>
      <c r="H208" t="e">
        <f ca="1"/>
        <v>#NAME?</v>
      </c>
      <c r="I208" t="e">
        <f ca="1"/>
        <v>#NAME?</v>
      </c>
      <c r="J208" t="e">
        <f ca="1"/>
        <v>#NAME?</v>
      </c>
      <c r="K208" t="e">
        <f ca="1"/>
        <v>#NAME?</v>
      </c>
      <c r="L208" t="e">
        <f ca="1"/>
        <v>#NAME?</v>
      </c>
      <c r="M208" t="e">
        <f ca="1"/>
        <v>#NAME?</v>
      </c>
      <c r="N208" t="e">
        <f ca="1"/>
        <v>#NAME?</v>
      </c>
      <c r="O208" t="e">
        <f ca="1"/>
        <v>#NAME?</v>
      </c>
      <c r="P208" t="e">
        <f ca="1"/>
        <v>#NAME?</v>
      </c>
      <c r="Q208" t="e">
        <f ca="1"/>
        <v>#NAME?</v>
      </c>
      <c r="R208" t="e">
        <f ca="1"/>
        <v>#NAME?</v>
      </c>
      <c r="S208" t="e">
        <f ca="1"/>
        <v>#NAME?</v>
      </c>
      <c r="T208" t="e">
        <f ca="1"/>
        <v>#NAME?</v>
      </c>
      <c r="U208" t="e">
        <f ca="1"/>
        <v>#NAME?</v>
      </c>
      <c r="V208" s="5" t="e">
        <f ca="1"/>
        <v>#NAME?</v>
      </c>
      <c r="W208" t="e">
        <f ca="1"/>
        <v>#NAME?</v>
      </c>
      <c r="X208" t="e">
        <f ca="1"/>
        <v>#NAME?</v>
      </c>
      <c r="Y208" t="e">
        <f ca="1"/>
        <v>#NAME?</v>
      </c>
      <c r="Z208" t="e">
        <f ca="1"/>
        <v>#NAME?</v>
      </c>
      <c r="AA208" t="e">
        <f ca="1"/>
        <v>#NAME?</v>
      </c>
      <c r="AB208" t="e">
        <f ca="1"/>
        <v>#NAME?</v>
      </c>
    </row>
    <row r="209" spans="1:28" x14ac:dyDescent="0.2">
      <c r="A209" t="e">
        <f ca="1"/>
        <v>#NAME?</v>
      </c>
      <c r="B209" t="e">
        <f ca="1"/>
        <v>#NAME?</v>
      </c>
      <c r="C209" t="e">
        <f ca="1"/>
        <v>#NAME?</v>
      </c>
      <c r="D209" t="e">
        <f ca="1"/>
        <v>#NAME?</v>
      </c>
      <c r="E209" t="e">
        <f ca="1"/>
        <v>#NAME?</v>
      </c>
      <c r="F209" t="e">
        <f ca="1"/>
        <v>#NAME?</v>
      </c>
      <c r="G209" t="e">
        <f ca="1"/>
        <v>#NAME?</v>
      </c>
      <c r="H209" t="e">
        <f ca="1"/>
        <v>#NAME?</v>
      </c>
      <c r="I209" t="e">
        <f ca="1"/>
        <v>#NAME?</v>
      </c>
      <c r="J209" t="e">
        <f ca="1"/>
        <v>#NAME?</v>
      </c>
      <c r="K209" t="e">
        <f ca="1"/>
        <v>#NAME?</v>
      </c>
      <c r="L209" t="e">
        <f ca="1"/>
        <v>#NAME?</v>
      </c>
      <c r="M209" t="e">
        <f ca="1"/>
        <v>#NAME?</v>
      </c>
      <c r="N209" t="e">
        <f ca="1"/>
        <v>#NAME?</v>
      </c>
      <c r="O209" t="e">
        <f ca="1"/>
        <v>#NAME?</v>
      </c>
      <c r="P209" t="e">
        <f ca="1"/>
        <v>#NAME?</v>
      </c>
      <c r="Q209" t="e">
        <f ca="1"/>
        <v>#NAME?</v>
      </c>
      <c r="R209" t="e">
        <f ca="1"/>
        <v>#NAME?</v>
      </c>
      <c r="S209" t="e">
        <f ca="1"/>
        <v>#NAME?</v>
      </c>
      <c r="T209" t="e">
        <f ca="1"/>
        <v>#NAME?</v>
      </c>
      <c r="U209" t="e">
        <f ca="1"/>
        <v>#NAME?</v>
      </c>
      <c r="V209" s="5" t="e">
        <f ca="1"/>
        <v>#NAME?</v>
      </c>
      <c r="W209" t="e">
        <f ca="1"/>
        <v>#NAME?</v>
      </c>
      <c r="X209" t="e">
        <f ca="1"/>
        <v>#NAME?</v>
      </c>
      <c r="Y209" t="e">
        <f ca="1"/>
        <v>#NAME?</v>
      </c>
      <c r="Z209" t="e">
        <f ca="1"/>
        <v>#NAME?</v>
      </c>
      <c r="AA209" t="e">
        <f ca="1"/>
        <v>#NAME?</v>
      </c>
      <c r="AB209" t="e">
        <f ca="1"/>
        <v>#NAME?</v>
      </c>
    </row>
    <row r="210" spans="1:28" x14ac:dyDescent="0.2">
      <c r="A210" t="e">
        <f ca="1"/>
        <v>#NAME?</v>
      </c>
      <c r="B210" t="e">
        <f ca="1"/>
        <v>#NAME?</v>
      </c>
      <c r="C210" t="e">
        <f ca="1"/>
        <v>#NAME?</v>
      </c>
      <c r="D210" t="e">
        <f ca="1"/>
        <v>#NAME?</v>
      </c>
      <c r="E210" t="e">
        <f ca="1"/>
        <v>#NAME?</v>
      </c>
      <c r="F210" t="e">
        <f ca="1"/>
        <v>#NAME?</v>
      </c>
      <c r="G210" t="e">
        <f ca="1"/>
        <v>#NAME?</v>
      </c>
      <c r="H210" t="e">
        <f ca="1"/>
        <v>#NAME?</v>
      </c>
      <c r="I210" t="e">
        <f ca="1"/>
        <v>#NAME?</v>
      </c>
      <c r="J210" t="e">
        <f ca="1"/>
        <v>#NAME?</v>
      </c>
      <c r="K210" t="e">
        <f ca="1"/>
        <v>#NAME?</v>
      </c>
      <c r="L210" t="e">
        <f ca="1"/>
        <v>#NAME?</v>
      </c>
      <c r="M210" t="e">
        <f ca="1"/>
        <v>#NAME?</v>
      </c>
      <c r="N210" t="e">
        <f ca="1"/>
        <v>#NAME?</v>
      </c>
      <c r="O210" t="e">
        <f ca="1"/>
        <v>#NAME?</v>
      </c>
      <c r="P210" t="e">
        <f ca="1"/>
        <v>#NAME?</v>
      </c>
      <c r="Q210" t="e">
        <f ca="1"/>
        <v>#NAME?</v>
      </c>
      <c r="R210" t="e">
        <f ca="1"/>
        <v>#NAME?</v>
      </c>
      <c r="S210" t="e">
        <f ca="1"/>
        <v>#NAME?</v>
      </c>
      <c r="T210" t="e">
        <f ca="1"/>
        <v>#NAME?</v>
      </c>
      <c r="U210" t="e">
        <f ca="1"/>
        <v>#NAME?</v>
      </c>
      <c r="V210" s="5" t="e">
        <f ca="1"/>
        <v>#NAME?</v>
      </c>
      <c r="W210" t="e">
        <f ca="1"/>
        <v>#NAME?</v>
      </c>
      <c r="X210" t="e">
        <f ca="1"/>
        <v>#NAME?</v>
      </c>
      <c r="Y210" t="e">
        <f ca="1"/>
        <v>#NAME?</v>
      </c>
      <c r="Z210" t="e">
        <f ca="1"/>
        <v>#NAME?</v>
      </c>
      <c r="AA210" t="e">
        <f ca="1"/>
        <v>#NAME?</v>
      </c>
      <c r="AB210" t="e">
        <f ca="1"/>
        <v>#NAME?</v>
      </c>
    </row>
    <row r="211" spans="1:28" x14ac:dyDescent="0.2">
      <c r="A211" t="e">
        <f ca="1"/>
        <v>#NAME?</v>
      </c>
      <c r="B211" t="e">
        <f ca="1"/>
        <v>#NAME?</v>
      </c>
      <c r="C211" t="e">
        <f ca="1"/>
        <v>#NAME?</v>
      </c>
      <c r="D211" t="e">
        <f ca="1"/>
        <v>#NAME?</v>
      </c>
      <c r="E211" t="e">
        <f ca="1"/>
        <v>#NAME?</v>
      </c>
      <c r="F211" t="e">
        <f ca="1"/>
        <v>#NAME?</v>
      </c>
      <c r="G211" t="e">
        <f ca="1"/>
        <v>#NAME?</v>
      </c>
      <c r="H211" t="e">
        <f ca="1"/>
        <v>#NAME?</v>
      </c>
      <c r="I211" t="e">
        <f ca="1"/>
        <v>#NAME?</v>
      </c>
      <c r="J211" t="e">
        <f ca="1"/>
        <v>#NAME?</v>
      </c>
      <c r="K211" t="e">
        <f ca="1"/>
        <v>#NAME?</v>
      </c>
      <c r="L211" t="e">
        <f ca="1"/>
        <v>#NAME?</v>
      </c>
      <c r="M211" t="e">
        <f ca="1"/>
        <v>#NAME?</v>
      </c>
      <c r="N211" t="e">
        <f ca="1"/>
        <v>#NAME?</v>
      </c>
      <c r="O211" t="e">
        <f ca="1"/>
        <v>#NAME?</v>
      </c>
      <c r="P211" t="e">
        <f ca="1"/>
        <v>#NAME?</v>
      </c>
      <c r="Q211" t="e">
        <f ca="1"/>
        <v>#NAME?</v>
      </c>
      <c r="R211" t="e">
        <f ca="1"/>
        <v>#NAME?</v>
      </c>
      <c r="S211" t="e">
        <f ca="1"/>
        <v>#NAME?</v>
      </c>
      <c r="T211" t="e">
        <f ca="1"/>
        <v>#NAME?</v>
      </c>
      <c r="U211" t="e">
        <f ca="1"/>
        <v>#NAME?</v>
      </c>
      <c r="V211" s="5" t="e">
        <f ca="1"/>
        <v>#NAME?</v>
      </c>
      <c r="W211" t="e">
        <f ca="1"/>
        <v>#NAME?</v>
      </c>
      <c r="X211" t="e">
        <f ca="1"/>
        <v>#NAME?</v>
      </c>
      <c r="Y211" t="e">
        <f ca="1"/>
        <v>#NAME?</v>
      </c>
      <c r="Z211" t="e">
        <f ca="1"/>
        <v>#NAME?</v>
      </c>
      <c r="AA211" t="e">
        <f ca="1"/>
        <v>#NAME?</v>
      </c>
      <c r="AB211" t="e">
        <f ca="1"/>
        <v>#NAME?</v>
      </c>
    </row>
    <row r="212" spans="1:28" x14ac:dyDescent="0.2">
      <c r="A212" t="e">
        <f ca="1"/>
        <v>#NAME?</v>
      </c>
      <c r="B212" t="e">
        <f ca="1"/>
        <v>#NAME?</v>
      </c>
      <c r="C212" t="e">
        <f ca="1"/>
        <v>#NAME?</v>
      </c>
      <c r="D212" t="e">
        <f ca="1"/>
        <v>#NAME?</v>
      </c>
      <c r="E212" t="e">
        <f ca="1"/>
        <v>#NAME?</v>
      </c>
      <c r="F212" t="e">
        <f ca="1"/>
        <v>#NAME?</v>
      </c>
      <c r="G212" t="e">
        <f ca="1"/>
        <v>#NAME?</v>
      </c>
      <c r="H212" t="e">
        <f ca="1"/>
        <v>#NAME?</v>
      </c>
      <c r="I212" t="e">
        <f ca="1"/>
        <v>#NAME?</v>
      </c>
      <c r="J212" t="e">
        <f ca="1"/>
        <v>#NAME?</v>
      </c>
      <c r="K212" t="e">
        <f ca="1"/>
        <v>#NAME?</v>
      </c>
      <c r="L212" t="e">
        <f ca="1"/>
        <v>#NAME?</v>
      </c>
      <c r="M212" t="e">
        <f ca="1"/>
        <v>#NAME?</v>
      </c>
      <c r="N212" t="e">
        <f ca="1"/>
        <v>#NAME?</v>
      </c>
      <c r="O212" t="e">
        <f ca="1"/>
        <v>#NAME?</v>
      </c>
      <c r="P212" t="e">
        <f ca="1"/>
        <v>#NAME?</v>
      </c>
      <c r="Q212" t="e">
        <f ca="1"/>
        <v>#NAME?</v>
      </c>
      <c r="R212" t="e">
        <f ca="1"/>
        <v>#NAME?</v>
      </c>
      <c r="S212" t="e">
        <f ca="1"/>
        <v>#NAME?</v>
      </c>
      <c r="T212" t="e">
        <f ca="1"/>
        <v>#NAME?</v>
      </c>
      <c r="U212" t="e">
        <f ca="1"/>
        <v>#NAME?</v>
      </c>
      <c r="V212" s="5" t="e">
        <f ca="1"/>
        <v>#NAME?</v>
      </c>
      <c r="W212" t="e">
        <f ca="1"/>
        <v>#NAME?</v>
      </c>
      <c r="X212" t="e">
        <f ca="1"/>
        <v>#NAME?</v>
      </c>
      <c r="Y212" t="e">
        <f ca="1"/>
        <v>#NAME?</v>
      </c>
      <c r="Z212" t="e">
        <f ca="1"/>
        <v>#NAME?</v>
      </c>
      <c r="AA212" t="e">
        <f ca="1"/>
        <v>#NAME?</v>
      </c>
      <c r="AB212" t="e">
        <f ca="1"/>
        <v>#NAME?</v>
      </c>
    </row>
    <row r="213" spans="1:28" x14ac:dyDescent="0.2">
      <c r="A213" t="e">
        <f ca="1"/>
        <v>#NAME?</v>
      </c>
      <c r="B213" t="e">
        <f ca="1"/>
        <v>#NAME?</v>
      </c>
      <c r="C213" t="e">
        <f ca="1"/>
        <v>#NAME?</v>
      </c>
      <c r="D213" t="e">
        <f ca="1"/>
        <v>#NAME?</v>
      </c>
      <c r="E213" t="e">
        <f ca="1"/>
        <v>#NAME?</v>
      </c>
      <c r="F213" t="e">
        <f ca="1"/>
        <v>#NAME?</v>
      </c>
      <c r="G213" t="e">
        <f ca="1"/>
        <v>#NAME?</v>
      </c>
      <c r="H213" t="e">
        <f ca="1"/>
        <v>#NAME?</v>
      </c>
      <c r="I213" t="e">
        <f ca="1"/>
        <v>#NAME?</v>
      </c>
      <c r="J213" t="e">
        <f ca="1"/>
        <v>#NAME?</v>
      </c>
      <c r="K213" t="e">
        <f ca="1"/>
        <v>#NAME?</v>
      </c>
      <c r="L213" t="e">
        <f ca="1"/>
        <v>#NAME?</v>
      </c>
      <c r="M213" t="e">
        <f ca="1"/>
        <v>#NAME?</v>
      </c>
      <c r="N213" t="e">
        <f ca="1"/>
        <v>#NAME?</v>
      </c>
      <c r="O213" t="e">
        <f ca="1"/>
        <v>#NAME?</v>
      </c>
      <c r="P213" t="e">
        <f ca="1"/>
        <v>#NAME?</v>
      </c>
      <c r="Q213" t="e">
        <f ca="1"/>
        <v>#NAME?</v>
      </c>
      <c r="R213" t="e">
        <f ca="1"/>
        <v>#NAME?</v>
      </c>
      <c r="S213" t="e">
        <f ca="1"/>
        <v>#NAME?</v>
      </c>
      <c r="T213" t="e">
        <f ca="1"/>
        <v>#NAME?</v>
      </c>
      <c r="U213" t="e">
        <f ca="1"/>
        <v>#NAME?</v>
      </c>
      <c r="V213" s="5" t="e">
        <f ca="1"/>
        <v>#NAME?</v>
      </c>
      <c r="W213" t="e">
        <f ca="1"/>
        <v>#NAME?</v>
      </c>
      <c r="X213" t="e">
        <f ca="1"/>
        <v>#NAME?</v>
      </c>
      <c r="Y213" t="e">
        <f ca="1"/>
        <v>#NAME?</v>
      </c>
      <c r="Z213" t="e">
        <f ca="1"/>
        <v>#NAME?</v>
      </c>
      <c r="AA213" t="e">
        <f ca="1"/>
        <v>#NAME?</v>
      </c>
      <c r="AB213" t="e">
        <f ca="1"/>
        <v>#NAME?</v>
      </c>
    </row>
    <row r="214" spans="1:28" x14ac:dyDescent="0.2">
      <c r="A214" t="e">
        <f ca="1"/>
        <v>#NAME?</v>
      </c>
      <c r="B214" t="e">
        <f ca="1"/>
        <v>#NAME?</v>
      </c>
      <c r="C214" t="e">
        <f ca="1"/>
        <v>#NAME?</v>
      </c>
      <c r="D214" t="e">
        <f ca="1"/>
        <v>#NAME?</v>
      </c>
      <c r="E214" t="e">
        <f ca="1"/>
        <v>#NAME?</v>
      </c>
      <c r="F214" t="e">
        <f ca="1"/>
        <v>#NAME?</v>
      </c>
      <c r="G214" t="e">
        <f ca="1"/>
        <v>#NAME?</v>
      </c>
      <c r="H214" t="e">
        <f ca="1"/>
        <v>#NAME?</v>
      </c>
      <c r="I214" t="e">
        <f ca="1"/>
        <v>#NAME?</v>
      </c>
      <c r="J214" t="e">
        <f ca="1"/>
        <v>#NAME?</v>
      </c>
      <c r="K214" t="e">
        <f ca="1"/>
        <v>#NAME?</v>
      </c>
      <c r="L214" t="e">
        <f ca="1"/>
        <v>#NAME?</v>
      </c>
      <c r="M214" t="e">
        <f ca="1"/>
        <v>#NAME?</v>
      </c>
      <c r="N214" t="e">
        <f ca="1"/>
        <v>#NAME?</v>
      </c>
      <c r="O214" t="e">
        <f ca="1"/>
        <v>#NAME?</v>
      </c>
      <c r="P214" t="e">
        <f ca="1"/>
        <v>#NAME?</v>
      </c>
      <c r="Q214" t="e">
        <f ca="1"/>
        <v>#NAME?</v>
      </c>
      <c r="R214" t="e">
        <f ca="1"/>
        <v>#NAME?</v>
      </c>
      <c r="S214" t="e">
        <f ca="1"/>
        <v>#NAME?</v>
      </c>
      <c r="T214" t="e">
        <f ca="1"/>
        <v>#NAME?</v>
      </c>
      <c r="U214" t="e">
        <f ca="1"/>
        <v>#NAME?</v>
      </c>
      <c r="V214" s="5" t="e">
        <f ca="1"/>
        <v>#NAME?</v>
      </c>
      <c r="W214" t="e">
        <f ca="1"/>
        <v>#NAME?</v>
      </c>
      <c r="X214" t="e">
        <f ca="1"/>
        <v>#NAME?</v>
      </c>
      <c r="Y214" t="e">
        <f ca="1"/>
        <v>#NAME?</v>
      </c>
      <c r="Z214" t="e">
        <f ca="1"/>
        <v>#NAME?</v>
      </c>
      <c r="AA214" t="e">
        <f ca="1"/>
        <v>#NAME?</v>
      </c>
      <c r="AB214" t="e">
        <f ca="1"/>
        <v>#NAME?</v>
      </c>
    </row>
    <row r="215" spans="1:28" x14ac:dyDescent="0.2">
      <c r="A215" t="e">
        <f ca="1"/>
        <v>#NAME?</v>
      </c>
      <c r="B215" t="e">
        <f ca="1"/>
        <v>#NAME?</v>
      </c>
      <c r="C215" t="e">
        <f ca="1"/>
        <v>#NAME?</v>
      </c>
      <c r="D215" t="e">
        <f ca="1"/>
        <v>#NAME?</v>
      </c>
      <c r="E215" t="e">
        <f ca="1"/>
        <v>#NAME?</v>
      </c>
      <c r="F215" t="e">
        <f ca="1"/>
        <v>#NAME?</v>
      </c>
      <c r="G215" t="e">
        <f ca="1"/>
        <v>#NAME?</v>
      </c>
      <c r="H215" t="e">
        <f ca="1"/>
        <v>#NAME?</v>
      </c>
      <c r="I215" t="e">
        <f ca="1"/>
        <v>#NAME?</v>
      </c>
      <c r="J215" t="e">
        <f ca="1"/>
        <v>#NAME?</v>
      </c>
      <c r="K215" t="e">
        <f ca="1"/>
        <v>#NAME?</v>
      </c>
      <c r="L215" t="e">
        <f ca="1"/>
        <v>#NAME?</v>
      </c>
      <c r="M215" t="e">
        <f ca="1"/>
        <v>#NAME?</v>
      </c>
      <c r="N215" t="e">
        <f ca="1"/>
        <v>#NAME?</v>
      </c>
      <c r="O215" t="e">
        <f ca="1"/>
        <v>#NAME?</v>
      </c>
      <c r="P215" t="e">
        <f ca="1"/>
        <v>#NAME?</v>
      </c>
      <c r="Q215" t="e">
        <f ca="1"/>
        <v>#NAME?</v>
      </c>
      <c r="R215" t="e">
        <f ca="1"/>
        <v>#NAME?</v>
      </c>
      <c r="S215" t="e">
        <f ca="1"/>
        <v>#NAME?</v>
      </c>
      <c r="T215" t="e">
        <f ca="1"/>
        <v>#NAME?</v>
      </c>
      <c r="U215" t="e">
        <f ca="1"/>
        <v>#NAME?</v>
      </c>
      <c r="V215" s="5" t="e">
        <f ca="1"/>
        <v>#NAME?</v>
      </c>
      <c r="W215" t="e">
        <f ca="1"/>
        <v>#NAME?</v>
      </c>
      <c r="X215" t="e">
        <f ca="1"/>
        <v>#NAME?</v>
      </c>
      <c r="Y215" t="e">
        <f ca="1"/>
        <v>#NAME?</v>
      </c>
      <c r="Z215" t="e">
        <f ca="1"/>
        <v>#NAME?</v>
      </c>
      <c r="AA215" t="e">
        <f ca="1"/>
        <v>#NAME?</v>
      </c>
      <c r="AB215" t="e">
        <f ca="1"/>
        <v>#NAME?</v>
      </c>
    </row>
    <row r="216" spans="1:28" x14ac:dyDescent="0.2">
      <c r="A216" t="e">
        <f ca="1"/>
        <v>#NAME?</v>
      </c>
      <c r="B216" t="e">
        <f ca="1"/>
        <v>#NAME?</v>
      </c>
      <c r="C216" t="e">
        <f ca="1"/>
        <v>#NAME?</v>
      </c>
      <c r="D216" t="e">
        <f ca="1"/>
        <v>#NAME?</v>
      </c>
      <c r="E216" t="e">
        <f ca="1"/>
        <v>#NAME?</v>
      </c>
      <c r="F216" t="e">
        <f ca="1"/>
        <v>#NAME?</v>
      </c>
      <c r="G216" t="e">
        <f ca="1"/>
        <v>#NAME?</v>
      </c>
      <c r="H216" t="e">
        <f ca="1"/>
        <v>#NAME?</v>
      </c>
      <c r="I216" t="e">
        <f ca="1"/>
        <v>#NAME?</v>
      </c>
      <c r="J216" t="e">
        <f ca="1"/>
        <v>#NAME?</v>
      </c>
      <c r="K216" t="e">
        <f ca="1"/>
        <v>#NAME?</v>
      </c>
      <c r="L216" t="e">
        <f ca="1"/>
        <v>#NAME?</v>
      </c>
      <c r="M216" t="e">
        <f ca="1"/>
        <v>#NAME?</v>
      </c>
      <c r="N216" t="e">
        <f ca="1"/>
        <v>#NAME?</v>
      </c>
      <c r="O216" t="e">
        <f ca="1"/>
        <v>#NAME?</v>
      </c>
      <c r="P216" t="e">
        <f ca="1"/>
        <v>#NAME?</v>
      </c>
      <c r="Q216" t="e">
        <f ca="1"/>
        <v>#NAME?</v>
      </c>
      <c r="R216" t="e">
        <f ca="1"/>
        <v>#NAME?</v>
      </c>
      <c r="S216" t="e">
        <f ca="1"/>
        <v>#NAME?</v>
      </c>
      <c r="T216" t="e">
        <f ca="1"/>
        <v>#NAME?</v>
      </c>
      <c r="U216" t="e">
        <f ca="1"/>
        <v>#NAME?</v>
      </c>
      <c r="V216" s="5" t="e">
        <f ca="1"/>
        <v>#NAME?</v>
      </c>
      <c r="W216" t="e">
        <f ca="1"/>
        <v>#NAME?</v>
      </c>
      <c r="X216" t="e">
        <f ca="1"/>
        <v>#NAME?</v>
      </c>
      <c r="Y216" t="e">
        <f ca="1"/>
        <v>#NAME?</v>
      </c>
      <c r="Z216" t="e">
        <f ca="1"/>
        <v>#NAME?</v>
      </c>
      <c r="AA216" t="e">
        <f ca="1"/>
        <v>#NAME?</v>
      </c>
      <c r="AB216" t="e">
        <f ca="1"/>
        <v>#NAME?</v>
      </c>
    </row>
    <row r="217" spans="1:28" x14ac:dyDescent="0.2">
      <c r="A217" t="e">
        <f ca="1"/>
        <v>#NAME?</v>
      </c>
      <c r="B217" t="e">
        <f ca="1"/>
        <v>#NAME?</v>
      </c>
      <c r="C217" t="e">
        <f ca="1"/>
        <v>#NAME?</v>
      </c>
      <c r="D217" t="e">
        <f ca="1"/>
        <v>#NAME?</v>
      </c>
      <c r="E217" t="e">
        <f ca="1"/>
        <v>#NAME?</v>
      </c>
      <c r="F217" t="e">
        <f ca="1"/>
        <v>#NAME?</v>
      </c>
      <c r="G217" t="e">
        <f ca="1"/>
        <v>#NAME?</v>
      </c>
      <c r="H217" t="e">
        <f ca="1"/>
        <v>#NAME?</v>
      </c>
      <c r="I217" t="e">
        <f ca="1"/>
        <v>#NAME?</v>
      </c>
      <c r="J217" t="e">
        <f ca="1"/>
        <v>#NAME?</v>
      </c>
      <c r="K217" t="e">
        <f ca="1"/>
        <v>#NAME?</v>
      </c>
      <c r="L217" t="e">
        <f ca="1"/>
        <v>#NAME?</v>
      </c>
      <c r="M217" t="e">
        <f ca="1"/>
        <v>#NAME?</v>
      </c>
      <c r="N217" t="e">
        <f ca="1"/>
        <v>#NAME?</v>
      </c>
      <c r="O217" t="e">
        <f ca="1"/>
        <v>#NAME?</v>
      </c>
      <c r="P217" t="e">
        <f ca="1"/>
        <v>#NAME?</v>
      </c>
      <c r="Q217" t="e">
        <f ca="1"/>
        <v>#NAME?</v>
      </c>
      <c r="R217" t="e">
        <f ca="1"/>
        <v>#NAME?</v>
      </c>
      <c r="S217" t="e">
        <f ca="1"/>
        <v>#NAME?</v>
      </c>
      <c r="T217" t="e">
        <f ca="1"/>
        <v>#NAME?</v>
      </c>
      <c r="U217" t="e">
        <f ca="1"/>
        <v>#NAME?</v>
      </c>
      <c r="V217" s="5" t="e">
        <f ca="1"/>
        <v>#NAME?</v>
      </c>
      <c r="W217" t="e">
        <f ca="1"/>
        <v>#NAME?</v>
      </c>
      <c r="X217" t="e">
        <f ca="1"/>
        <v>#NAME?</v>
      </c>
      <c r="Y217" t="e">
        <f ca="1"/>
        <v>#NAME?</v>
      </c>
      <c r="Z217" t="e">
        <f ca="1"/>
        <v>#NAME?</v>
      </c>
      <c r="AA217" t="e">
        <f ca="1"/>
        <v>#NAME?</v>
      </c>
      <c r="AB217" t="e">
        <f ca="1"/>
        <v>#NAME?</v>
      </c>
    </row>
    <row r="218" spans="1:28" x14ac:dyDescent="0.2">
      <c r="A218" t="e">
        <f ca="1"/>
        <v>#NAME?</v>
      </c>
      <c r="B218" t="e">
        <f ca="1"/>
        <v>#NAME?</v>
      </c>
      <c r="C218" t="e">
        <f ca="1"/>
        <v>#NAME?</v>
      </c>
      <c r="D218" t="e">
        <f ca="1"/>
        <v>#NAME?</v>
      </c>
      <c r="E218" t="e">
        <f ca="1"/>
        <v>#NAME?</v>
      </c>
      <c r="F218" t="e">
        <f ca="1"/>
        <v>#NAME?</v>
      </c>
      <c r="G218" t="e">
        <f ca="1"/>
        <v>#NAME?</v>
      </c>
      <c r="H218" t="e">
        <f ca="1"/>
        <v>#NAME?</v>
      </c>
      <c r="I218" t="e">
        <f ca="1"/>
        <v>#NAME?</v>
      </c>
      <c r="J218" t="e">
        <f ca="1"/>
        <v>#NAME?</v>
      </c>
      <c r="K218" t="e">
        <f ca="1"/>
        <v>#NAME?</v>
      </c>
      <c r="L218" t="e">
        <f ca="1"/>
        <v>#NAME?</v>
      </c>
      <c r="M218" t="e">
        <f ca="1"/>
        <v>#NAME?</v>
      </c>
      <c r="N218" t="e">
        <f ca="1"/>
        <v>#NAME?</v>
      </c>
      <c r="O218" t="e">
        <f ca="1"/>
        <v>#NAME?</v>
      </c>
      <c r="P218" t="e">
        <f ca="1"/>
        <v>#NAME?</v>
      </c>
      <c r="Q218" t="e">
        <f ca="1"/>
        <v>#NAME?</v>
      </c>
      <c r="R218" t="e">
        <f ca="1"/>
        <v>#NAME?</v>
      </c>
      <c r="S218" t="e">
        <f ca="1"/>
        <v>#NAME?</v>
      </c>
      <c r="T218" t="e">
        <f ca="1"/>
        <v>#NAME?</v>
      </c>
      <c r="U218" t="e">
        <f ca="1"/>
        <v>#NAME?</v>
      </c>
      <c r="V218" s="5" t="e">
        <f ca="1"/>
        <v>#NAME?</v>
      </c>
      <c r="W218" t="e">
        <f ca="1"/>
        <v>#NAME?</v>
      </c>
      <c r="X218" t="e">
        <f ca="1"/>
        <v>#NAME?</v>
      </c>
      <c r="Y218" t="e">
        <f ca="1"/>
        <v>#NAME?</v>
      </c>
      <c r="Z218" t="e">
        <f ca="1"/>
        <v>#NAME?</v>
      </c>
      <c r="AA218" t="e">
        <f ca="1"/>
        <v>#NAME?</v>
      </c>
      <c r="AB218" t="e">
        <f ca="1"/>
        <v>#NAME?</v>
      </c>
    </row>
    <row r="219" spans="1:28" x14ac:dyDescent="0.2">
      <c r="A219" t="e">
        <f ca="1"/>
        <v>#NAME?</v>
      </c>
      <c r="B219" t="e">
        <f ca="1"/>
        <v>#NAME?</v>
      </c>
      <c r="C219" t="e">
        <f ca="1"/>
        <v>#NAME?</v>
      </c>
      <c r="D219" t="e">
        <f ca="1"/>
        <v>#NAME?</v>
      </c>
      <c r="E219" t="e">
        <f ca="1"/>
        <v>#NAME?</v>
      </c>
      <c r="F219" t="e">
        <f ca="1"/>
        <v>#NAME?</v>
      </c>
      <c r="G219" t="e">
        <f ca="1"/>
        <v>#NAME?</v>
      </c>
      <c r="H219" t="e">
        <f ca="1"/>
        <v>#NAME?</v>
      </c>
      <c r="I219" t="e">
        <f ca="1"/>
        <v>#NAME?</v>
      </c>
      <c r="J219" t="e">
        <f ca="1"/>
        <v>#NAME?</v>
      </c>
      <c r="K219" t="e">
        <f ca="1"/>
        <v>#NAME?</v>
      </c>
      <c r="L219" t="e">
        <f ca="1"/>
        <v>#NAME?</v>
      </c>
      <c r="M219" t="e">
        <f ca="1"/>
        <v>#NAME?</v>
      </c>
      <c r="N219" t="e">
        <f ca="1"/>
        <v>#NAME?</v>
      </c>
      <c r="O219" t="e">
        <f ca="1"/>
        <v>#NAME?</v>
      </c>
      <c r="P219" t="e">
        <f ca="1"/>
        <v>#NAME?</v>
      </c>
      <c r="Q219" t="e">
        <f ca="1"/>
        <v>#NAME?</v>
      </c>
      <c r="R219" t="e">
        <f ca="1"/>
        <v>#NAME?</v>
      </c>
      <c r="S219" t="e">
        <f ca="1"/>
        <v>#NAME?</v>
      </c>
      <c r="T219" t="e">
        <f ca="1"/>
        <v>#NAME?</v>
      </c>
      <c r="U219" t="e">
        <f ca="1"/>
        <v>#NAME?</v>
      </c>
      <c r="V219" s="5" t="e">
        <f ca="1"/>
        <v>#NAME?</v>
      </c>
      <c r="W219" t="e">
        <f ca="1"/>
        <v>#NAME?</v>
      </c>
      <c r="X219" t="e">
        <f ca="1"/>
        <v>#NAME?</v>
      </c>
      <c r="Y219" t="e">
        <f ca="1"/>
        <v>#NAME?</v>
      </c>
      <c r="Z219" t="e">
        <f ca="1"/>
        <v>#NAME?</v>
      </c>
      <c r="AA219" t="e">
        <f ca="1"/>
        <v>#NAME?</v>
      </c>
      <c r="AB219" t="e">
        <f ca="1"/>
        <v>#NAME?</v>
      </c>
    </row>
    <row r="220" spans="1:28" x14ac:dyDescent="0.2">
      <c r="A220" t="e">
        <f ca="1"/>
        <v>#NAME?</v>
      </c>
      <c r="B220" t="e">
        <f ca="1"/>
        <v>#NAME?</v>
      </c>
      <c r="C220" t="e">
        <f ca="1"/>
        <v>#NAME?</v>
      </c>
      <c r="D220" t="e">
        <f ca="1"/>
        <v>#NAME?</v>
      </c>
      <c r="E220" t="e">
        <f ca="1"/>
        <v>#NAME?</v>
      </c>
      <c r="F220" t="e">
        <f ca="1"/>
        <v>#NAME?</v>
      </c>
      <c r="G220" t="e">
        <f ca="1"/>
        <v>#NAME?</v>
      </c>
      <c r="H220" t="e">
        <f ca="1"/>
        <v>#NAME?</v>
      </c>
      <c r="I220" t="e">
        <f ca="1"/>
        <v>#NAME?</v>
      </c>
      <c r="J220" t="e">
        <f ca="1"/>
        <v>#NAME?</v>
      </c>
      <c r="K220" t="e">
        <f ca="1"/>
        <v>#NAME?</v>
      </c>
      <c r="L220" t="e">
        <f ca="1"/>
        <v>#NAME?</v>
      </c>
      <c r="M220" t="e">
        <f ca="1"/>
        <v>#NAME?</v>
      </c>
      <c r="N220" t="e">
        <f ca="1"/>
        <v>#NAME?</v>
      </c>
      <c r="O220" t="e">
        <f ca="1"/>
        <v>#NAME?</v>
      </c>
      <c r="P220" t="e">
        <f ca="1"/>
        <v>#NAME?</v>
      </c>
      <c r="Q220" t="e">
        <f ca="1"/>
        <v>#NAME?</v>
      </c>
      <c r="R220" t="e">
        <f ca="1"/>
        <v>#NAME?</v>
      </c>
      <c r="S220" t="e">
        <f ca="1"/>
        <v>#NAME?</v>
      </c>
      <c r="T220" t="e">
        <f ca="1"/>
        <v>#NAME?</v>
      </c>
      <c r="U220" t="e">
        <f ca="1"/>
        <v>#NAME?</v>
      </c>
      <c r="V220" s="5" t="e">
        <f ca="1"/>
        <v>#NAME?</v>
      </c>
      <c r="W220" t="e">
        <f ca="1"/>
        <v>#NAME?</v>
      </c>
      <c r="X220" t="e">
        <f ca="1"/>
        <v>#NAME?</v>
      </c>
      <c r="Y220" t="e">
        <f ca="1"/>
        <v>#NAME?</v>
      </c>
      <c r="Z220" t="e">
        <f ca="1"/>
        <v>#NAME?</v>
      </c>
      <c r="AA220" t="e">
        <f ca="1"/>
        <v>#NAME?</v>
      </c>
      <c r="AB220" t="e">
        <f ca="1"/>
        <v>#NAME?</v>
      </c>
    </row>
    <row r="221" spans="1:28" x14ac:dyDescent="0.2">
      <c r="A221" t="e">
        <f ca="1"/>
        <v>#NAME?</v>
      </c>
      <c r="B221" t="e">
        <f ca="1"/>
        <v>#NAME?</v>
      </c>
      <c r="C221" t="e">
        <f ca="1"/>
        <v>#NAME?</v>
      </c>
      <c r="D221" t="e">
        <f ca="1"/>
        <v>#NAME?</v>
      </c>
      <c r="E221" t="e">
        <f ca="1"/>
        <v>#NAME?</v>
      </c>
      <c r="F221" t="e">
        <f ca="1"/>
        <v>#NAME?</v>
      </c>
      <c r="G221" t="e">
        <f ca="1"/>
        <v>#NAME?</v>
      </c>
      <c r="H221" t="e">
        <f ca="1"/>
        <v>#NAME?</v>
      </c>
      <c r="I221" t="e">
        <f ca="1"/>
        <v>#NAME?</v>
      </c>
      <c r="J221" t="e">
        <f ca="1"/>
        <v>#NAME?</v>
      </c>
      <c r="K221" t="e">
        <f ca="1"/>
        <v>#NAME?</v>
      </c>
      <c r="L221" t="e">
        <f ca="1"/>
        <v>#NAME?</v>
      </c>
      <c r="M221" t="e">
        <f ca="1"/>
        <v>#NAME?</v>
      </c>
      <c r="N221" t="e">
        <f ca="1"/>
        <v>#NAME?</v>
      </c>
      <c r="O221" t="e">
        <f ca="1"/>
        <v>#NAME?</v>
      </c>
      <c r="P221" t="e">
        <f ca="1"/>
        <v>#NAME?</v>
      </c>
      <c r="Q221" t="e">
        <f ca="1"/>
        <v>#NAME?</v>
      </c>
      <c r="R221" t="e">
        <f ca="1"/>
        <v>#NAME?</v>
      </c>
      <c r="S221" t="e">
        <f ca="1"/>
        <v>#NAME?</v>
      </c>
      <c r="T221" t="e">
        <f ca="1"/>
        <v>#NAME?</v>
      </c>
      <c r="U221" t="e">
        <f ca="1"/>
        <v>#NAME?</v>
      </c>
      <c r="V221" s="5" t="e">
        <f ca="1"/>
        <v>#NAME?</v>
      </c>
      <c r="W221" t="e">
        <f ca="1"/>
        <v>#NAME?</v>
      </c>
      <c r="X221" t="e">
        <f ca="1"/>
        <v>#NAME?</v>
      </c>
      <c r="Y221" t="e">
        <f ca="1"/>
        <v>#NAME?</v>
      </c>
      <c r="Z221" t="e">
        <f ca="1"/>
        <v>#NAME?</v>
      </c>
      <c r="AA221" t="e">
        <f ca="1"/>
        <v>#NAME?</v>
      </c>
      <c r="AB221" t="e">
        <f ca="1"/>
        <v>#NAME?</v>
      </c>
    </row>
    <row r="222" spans="1:28" x14ac:dyDescent="0.2">
      <c r="A222" t="e">
        <f ca="1"/>
        <v>#NAME?</v>
      </c>
      <c r="B222" t="e">
        <f ca="1"/>
        <v>#NAME?</v>
      </c>
      <c r="C222" t="e">
        <f ca="1"/>
        <v>#NAME?</v>
      </c>
      <c r="D222" t="e">
        <f ca="1"/>
        <v>#NAME?</v>
      </c>
      <c r="E222" t="e">
        <f ca="1"/>
        <v>#NAME?</v>
      </c>
      <c r="F222" t="e">
        <f ca="1"/>
        <v>#NAME?</v>
      </c>
      <c r="G222" t="e">
        <f ca="1"/>
        <v>#NAME?</v>
      </c>
      <c r="H222" t="e">
        <f ca="1"/>
        <v>#NAME?</v>
      </c>
      <c r="I222" t="e">
        <f ca="1"/>
        <v>#NAME?</v>
      </c>
      <c r="J222" t="e">
        <f ca="1"/>
        <v>#NAME?</v>
      </c>
      <c r="K222" t="e">
        <f ca="1"/>
        <v>#NAME?</v>
      </c>
      <c r="L222" t="e">
        <f ca="1"/>
        <v>#NAME?</v>
      </c>
      <c r="M222" t="e">
        <f ca="1"/>
        <v>#NAME?</v>
      </c>
      <c r="N222" t="e">
        <f ca="1"/>
        <v>#NAME?</v>
      </c>
      <c r="O222" t="e">
        <f ca="1"/>
        <v>#NAME?</v>
      </c>
      <c r="P222" t="e">
        <f ca="1"/>
        <v>#NAME?</v>
      </c>
      <c r="Q222" t="e">
        <f ca="1"/>
        <v>#NAME?</v>
      </c>
      <c r="R222" t="e">
        <f ca="1"/>
        <v>#NAME?</v>
      </c>
      <c r="S222" t="e">
        <f ca="1"/>
        <v>#NAME?</v>
      </c>
      <c r="T222" t="e">
        <f ca="1"/>
        <v>#NAME?</v>
      </c>
      <c r="U222" t="e">
        <f ca="1"/>
        <v>#NAME?</v>
      </c>
      <c r="V222" s="5" t="e">
        <f ca="1"/>
        <v>#NAME?</v>
      </c>
      <c r="W222" t="e">
        <f ca="1"/>
        <v>#NAME?</v>
      </c>
      <c r="X222" t="e">
        <f ca="1"/>
        <v>#NAME?</v>
      </c>
      <c r="Y222" t="e">
        <f ca="1"/>
        <v>#NAME?</v>
      </c>
      <c r="Z222" t="e">
        <f ca="1"/>
        <v>#NAME?</v>
      </c>
      <c r="AA222" t="e">
        <f ca="1"/>
        <v>#NAME?</v>
      </c>
      <c r="AB222" t="e">
        <f ca="1"/>
        <v>#NAME?</v>
      </c>
    </row>
    <row r="223" spans="1:28" x14ac:dyDescent="0.2">
      <c r="A223" t="e">
        <f ca="1"/>
        <v>#NAME?</v>
      </c>
      <c r="B223" t="e">
        <f ca="1"/>
        <v>#NAME?</v>
      </c>
      <c r="C223" t="e">
        <f ca="1"/>
        <v>#NAME?</v>
      </c>
      <c r="D223" t="e">
        <f ca="1"/>
        <v>#NAME?</v>
      </c>
      <c r="E223" t="e">
        <f ca="1"/>
        <v>#NAME?</v>
      </c>
      <c r="F223" t="e">
        <f ca="1"/>
        <v>#NAME?</v>
      </c>
      <c r="G223" t="e">
        <f ca="1"/>
        <v>#NAME?</v>
      </c>
      <c r="H223" t="e">
        <f ca="1"/>
        <v>#NAME?</v>
      </c>
      <c r="I223" t="e">
        <f ca="1"/>
        <v>#NAME?</v>
      </c>
      <c r="J223" t="e">
        <f ca="1"/>
        <v>#NAME?</v>
      </c>
      <c r="K223" t="e">
        <f ca="1"/>
        <v>#NAME?</v>
      </c>
      <c r="L223" t="e">
        <f ca="1"/>
        <v>#NAME?</v>
      </c>
      <c r="M223" t="e">
        <f ca="1"/>
        <v>#NAME?</v>
      </c>
      <c r="N223" t="e">
        <f ca="1"/>
        <v>#NAME?</v>
      </c>
      <c r="O223" t="e">
        <f ca="1"/>
        <v>#NAME?</v>
      </c>
      <c r="P223" t="e">
        <f ca="1"/>
        <v>#NAME?</v>
      </c>
      <c r="Q223" t="e">
        <f ca="1"/>
        <v>#NAME?</v>
      </c>
      <c r="R223" t="e">
        <f ca="1"/>
        <v>#NAME?</v>
      </c>
      <c r="S223" t="e">
        <f ca="1"/>
        <v>#NAME?</v>
      </c>
      <c r="T223" t="e">
        <f ca="1"/>
        <v>#NAME?</v>
      </c>
      <c r="U223" t="e">
        <f ca="1"/>
        <v>#NAME?</v>
      </c>
      <c r="V223" s="5" t="e">
        <f ca="1"/>
        <v>#NAME?</v>
      </c>
      <c r="W223" t="e">
        <f ca="1"/>
        <v>#NAME?</v>
      </c>
      <c r="X223" t="e">
        <f ca="1"/>
        <v>#NAME?</v>
      </c>
      <c r="Y223" t="e">
        <f ca="1"/>
        <v>#NAME?</v>
      </c>
      <c r="Z223" t="e">
        <f ca="1"/>
        <v>#NAME?</v>
      </c>
      <c r="AA223" t="e">
        <f ca="1"/>
        <v>#NAME?</v>
      </c>
      <c r="AB223" t="e">
        <f ca="1"/>
        <v>#NAME?</v>
      </c>
    </row>
    <row r="224" spans="1:28" x14ac:dyDescent="0.2">
      <c r="A224" t="e">
        <f ca="1"/>
        <v>#NAME?</v>
      </c>
      <c r="B224" t="e">
        <f ca="1"/>
        <v>#NAME?</v>
      </c>
      <c r="C224" t="e">
        <f ca="1"/>
        <v>#NAME?</v>
      </c>
      <c r="D224" t="e">
        <f ca="1"/>
        <v>#NAME?</v>
      </c>
      <c r="E224" t="e">
        <f ca="1"/>
        <v>#NAME?</v>
      </c>
      <c r="F224" t="e">
        <f ca="1"/>
        <v>#NAME?</v>
      </c>
      <c r="G224" t="e">
        <f ca="1"/>
        <v>#NAME?</v>
      </c>
      <c r="H224" t="e">
        <f ca="1"/>
        <v>#NAME?</v>
      </c>
      <c r="I224" t="e">
        <f ca="1"/>
        <v>#NAME?</v>
      </c>
      <c r="J224" t="e">
        <f ca="1"/>
        <v>#NAME?</v>
      </c>
      <c r="K224" t="e">
        <f ca="1"/>
        <v>#NAME?</v>
      </c>
      <c r="L224" t="e">
        <f ca="1"/>
        <v>#NAME?</v>
      </c>
      <c r="M224" t="e">
        <f ca="1"/>
        <v>#NAME?</v>
      </c>
      <c r="N224" t="e">
        <f ca="1"/>
        <v>#NAME?</v>
      </c>
      <c r="O224" t="e">
        <f ca="1"/>
        <v>#NAME?</v>
      </c>
      <c r="P224" t="e">
        <f ca="1"/>
        <v>#NAME?</v>
      </c>
      <c r="Q224" t="e">
        <f ca="1"/>
        <v>#NAME?</v>
      </c>
      <c r="R224" t="e">
        <f ca="1"/>
        <v>#NAME?</v>
      </c>
      <c r="S224" t="e">
        <f ca="1"/>
        <v>#NAME?</v>
      </c>
      <c r="T224" t="e">
        <f ca="1"/>
        <v>#NAME?</v>
      </c>
      <c r="U224" t="e">
        <f ca="1"/>
        <v>#NAME?</v>
      </c>
      <c r="V224" s="5" t="e">
        <f ca="1"/>
        <v>#NAME?</v>
      </c>
      <c r="W224" t="e">
        <f ca="1"/>
        <v>#NAME?</v>
      </c>
      <c r="X224" t="e">
        <f ca="1"/>
        <v>#NAME?</v>
      </c>
      <c r="Y224" t="e">
        <f ca="1"/>
        <v>#NAME?</v>
      </c>
      <c r="Z224" t="e">
        <f ca="1"/>
        <v>#NAME?</v>
      </c>
      <c r="AA224" t="e">
        <f ca="1"/>
        <v>#NAME?</v>
      </c>
      <c r="AB224" t="e">
        <f ca="1"/>
        <v>#NAME?</v>
      </c>
    </row>
    <row r="225" spans="1:28" x14ac:dyDescent="0.2">
      <c r="A225" t="e">
        <f ca="1"/>
        <v>#NAME?</v>
      </c>
      <c r="B225" t="e">
        <f ca="1"/>
        <v>#NAME?</v>
      </c>
      <c r="C225" t="e">
        <f ca="1"/>
        <v>#NAME?</v>
      </c>
      <c r="D225" t="e">
        <f ca="1"/>
        <v>#NAME?</v>
      </c>
      <c r="E225" t="e">
        <f ca="1"/>
        <v>#NAME?</v>
      </c>
      <c r="F225" t="e">
        <f ca="1"/>
        <v>#NAME?</v>
      </c>
      <c r="G225" t="e">
        <f ca="1"/>
        <v>#NAME?</v>
      </c>
      <c r="H225" t="e">
        <f ca="1"/>
        <v>#NAME?</v>
      </c>
      <c r="I225" t="e">
        <f ca="1"/>
        <v>#NAME?</v>
      </c>
      <c r="J225" t="e">
        <f ca="1"/>
        <v>#NAME?</v>
      </c>
      <c r="K225" t="e">
        <f ca="1"/>
        <v>#NAME?</v>
      </c>
      <c r="L225" t="e">
        <f ca="1"/>
        <v>#NAME?</v>
      </c>
      <c r="M225" t="e">
        <f ca="1"/>
        <v>#NAME?</v>
      </c>
      <c r="N225" t="e">
        <f ca="1"/>
        <v>#NAME?</v>
      </c>
      <c r="O225" t="e">
        <f ca="1"/>
        <v>#NAME?</v>
      </c>
      <c r="P225" t="e">
        <f ca="1"/>
        <v>#NAME?</v>
      </c>
      <c r="Q225" t="e">
        <f ca="1"/>
        <v>#NAME?</v>
      </c>
      <c r="R225" t="e">
        <f ca="1"/>
        <v>#NAME?</v>
      </c>
      <c r="S225" t="e">
        <f ca="1"/>
        <v>#NAME?</v>
      </c>
      <c r="T225" t="e">
        <f ca="1"/>
        <v>#NAME?</v>
      </c>
      <c r="U225" t="e">
        <f ca="1"/>
        <v>#NAME?</v>
      </c>
      <c r="V225" s="5" t="e">
        <f ca="1"/>
        <v>#NAME?</v>
      </c>
      <c r="W225" t="e">
        <f ca="1"/>
        <v>#NAME?</v>
      </c>
      <c r="X225" t="e">
        <f ca="1"/>
        <v>#NAME?</v>
      </c>
      <c r="Y225" t="e">
        <f ca="1"/>
        <v>#NAME?</v>
      </c>
      <c r="Z225" t="e">
        <f ca="1"/>
        <v>#NAME?</v>
      </c>
      <c r="AA225" t="e">
        <f ca="1"/>
        <v>#NAME?</v>
      </c>
      <c r="AB225" t="e">
        <f ca="1"/>
        <v>#NAME?</v>
      </c>
    </row>
    <row r="226" spans="1:28" x14ac:dyDescent="0.2">
      <c r="A226" t="e">
        <f ca="1"/>
        <v>#NAME?</v>
      </c>
      <c r="B226" t="e">
        <f ca="1"/>
        <v>#NAME?</v>
      </c>
      <c r="C226" t="e">
        <f ca="1"/>
        <v>#NAME?</v>
      </c>
      <c r="D226" t="e">
        <f ca="1"/>
        <v>#NAME?</v>
      </c>
      <c r="E226" t="e">
        <f ca="1"/>
        <v>#NAME?</v>
      </c>
      <c r="F226" t="e">
        <f ca="1"/>
        <v>#NAME?</v>
      </c>
      <c r="G226" t="e">
        <f ca="1"/>
        <v>#NAME?</v>
      </c>
      <c r="H226" t="e">
        <f ca="1"/>
        <v>#NAME?</v>
      </c>
      <c r="I226" t="e">
        <f ca="1"/>
        <v>#NAME?</v>
      </c>
      <c r="J226" t="e">
        <f ca="1"/>
        <v>#NAME?</v>
      </c>
      <c r="K226" t="e">
        <f ca="1"/>
        <v>#NAME?</v>
      </c>
      <c r="L226" t="e">
        <f ca="1"/>
        <v>#NAME?</v>
      </c>
      <c r="M226" t="e">
        <f ca="1"/>
        <v>#NAME?</v>
      </c>
      <c r="N226" t="e">
        <f ca="1"/>
        <v>#NAME?</v>
      </c>
      <c r="O226" t="e">
        <f ca="1"/>
        <v>#NAME?</v>
      </c>
      <c r="P226" t="e">
        <f ca="1"/>
        <v>#NAME?</v>
      </c>
      <c r="Q226" t="e">
        <f ca="1"/>
        <v>#NAME?</v>
      </c>
      <c r="R226" t="e">
        <f ca="1"/>
        <v>#NAME?</v>
      </c>
      <c r="S226" t="e">
        <f ca="1"/>
        <v>#NAME?</v>
      </c>
      <c r="T226" t="e">
        <f ca="1"/>
        <v>#NAME?</v>
      </c>
      <c r="U226" t="e">
        <f ca="1"/>
        <v>#NAME?</v>
      </c>
      <c r="V226" s="5" t="e">
        <f ca="1"/>
        <v>#NAME?</v>
      </c>
      <c r="W226" t="e">
        <f ca="1"/>
        <v>#NAME?</v>
      </c>
      <c r="X226" t="e">
        <f ca="1"/>
        <v>#NAME?</v>
      </c>
      <c r="Y226" t="e">
        <f ca="1"/>
        <v>#NAME?</v>
      </c>
      <c r="Z226" t="e">
        <f ca="1"/>
        <v>#NAME?</v>
      </c>
      <c r="AA226" t="e">
        <f ca="1"/>
        <v>#NAME?</v>
      </c>
      <c r="AB226" t="e">
        <f ca="1"/>
        <v>#NAME?</v>
      </c>
    </row>
    <row r="227" spans="1:28" x14ac:dyDescent="0.2">
      <c r="A227" t="e">
        <f ca="1"/>
        <v>#NAME?</v>
      </c>
      <c r="B227" t="e">
        <f ca="1"/>
        <v>#NAME?</v>
      </c>
      <c r="C227" t="e">
        <f ca="1"/>
        <v>#NAME?</v>
      </c>
      <c r="D227" t="e">
        <f ca="1"/>
        <v>#NAME?</v>
      </c>
      <c r="E227" t="e">
        <f ca="1"/>
        <v>#NAME?</v>
      </c>
      <c r="F227" t="e">
        <f ca="1"/>
        <v>#NAME?</v>
      </c>
      <c r="G227" t="e">
        <f ca="1"/>
        <v>#NAME?</v>
      </c>
      <c r="H227" t="e">
        <f ca="1"/>
        <v>#NAME?</v>
      </c>
      <c r="I227" t="e">
        <f ca="1"/>
        <v>#NAME?</v>
      </c>
      <c r="J227" t="e">
        <f ca="1"/>
        <v>#NAME?</v>
      </c>
      <c r="K227" t="e">
        <f ca="1"/>
        <v>#NAME?</v>
      </c>
      <c r="L227" t="e">
        <f ca="1"/>
        <v>#NAME?</v>
      </c>
      <c r="M227" t="e">
        <f ca="1"/>
        <v>#NAME?</v>
      </c>
      <c r="N227" t="e">
        <f ca="1"/>
        <v>#NAME?</v>
      </c>
      <c r="O227" t="e">
        <f ca="1"/>
        <v>#NAME?</v>
      </c>
      <c r="P227" t="e">
        <f ca="1"/>
        <v>#NAME?</v>
      </c>
      <c r="Q227" t="e">
        <f ca="1"/>
        <v>#NAME?</v>
      </c>
      <c r="R227" t="e">
        <f ca="1"/>
        <v>#NAME?</v>
      </c>
      <c r="S227" t="e">
        <f ca="1"/>
        <v>#NAME?</v>
      </c>
      <c r="T227" t="e">
        <f ca="1"/>
        <v>#NAME?</v>
      </c>
      <c r="U227" t="e">
        <f ca="1"/>
        <v>#NAME?</v>
      </c>
      <c r="V227" s="5" t="e">
        <f ca="1"/>
        <v>#NAME?</v>
      </c>
      <c r="W227" t="e">
        <f ca="1"/>
        <v>#NAME?</v>
      </c>
      <c r="X227" t="e">
        <f ca="1"/>
        <v>#NAME?</v>
      </c>
      <c r="Y227" t="e">
        <f ca="1"/>
        <v>#NAME?</v>
      </c>
      <c r="Z227" t="e">
        <f ca="1"/>
        <v>#NAME?</v>
      </c>
      <c r="AA227" t="e">
        <f ca="1"/>
        <v>#NAME?</v>
      </c>
      <c r="AB227" t="e">
        <f ca="1"/>
        <v>#NAME?</v>
      </c>
    </row>
    <row r="228" spans="1:28" x14ac:dyDescent="0.2">
      <c r="A228" t="e">
        <f ca="1"/>
        <v>#NAME?</v>
      </c>
      <c r="B228" t="e">
        <f ca="1"/>
        <v>#NAME?</v>
      </c>
      <c r="C228" t="e">
        <f ca="1"/>
        <v>#NAME?</v>
      </c>
      <c r="D228" t="e">
        <f ca="1"/>
        <v>#NAME?</v>
      </c>
      <c r="E228" t="e">
        <f ca="1"/>
        <v>#NAME?</v>
      </c>
      <c r="F228" t="e">
        <f ca="1"/>
        <v>#NAME?</v>
      </c>
      <c r="G228" t="e">
        <f ca="1"/>
        <v>#NAME?</v>
      </c>
      <c r="H228" t="e">
        <f ca="1"/>
        <v>#NAME?</v>
      </c>
      <c r="I228" t="e">
        <f ca="1"/>
        <v>#NAME?</v>
      </c>
      <c r="J228" t="e">
        <f ca="1"/>
        <v>#NAME?</v>
      </c>
      <c r="K228" t="e">
        <f ca="1"/>
        <v>#NAME?</v>
      </c>
      <c r="L228" t="e">
        <f ca="1"/>
        <v>#NAME?</v>
      </c>
      <c r="M228" t="e">
        <f ca="1"/>
        <v>#NAME?</v>
      </c>
      <c r="N228" t="e">
        <f ca="1"/>
        <v>#NAME?</v>
      </c>
      <c r="O228" t="e">
        <f ca="1"/>
        <v>#NAME?</v>
      </c>
      <c r="P228" t="e">
        <f ca="1"/>
        <v>#NAME?</v>
      </c>
      <c r="Q228" t="e">
        <f ca="1"/>
        <v>#NAME?</v>
      </c>
      <c r="R228" t="e">
        <f ca="1"/>
        <v>#NAME?</v>
      </c>
      <c r="S228" t="e">
        <f ca="1"/>
        <v>#NAME?</v>
      </c>
      <c r="T228" t="e">
        <f ca="1"/>
        <v>#NAME?</v>
      </c>
      <c r="U228" t="e">
        <f ca="1"/>
        <v>#NAME?</v>
      </c>
      <c r="V228" s="5" t="e">
        <f ca="1"/>
        <v>#NAME?</v>
      </c>
      <c r="W228" t="e">
        <f ca="1"/>
        <v>#NAME?</v>
      </c>
      <c r="X228" t="e">
        <f ca="1"/>
        <v>#NAME?</v>
      </c>
      <c r="Y228" t="e">
        <f ca="1"/>
        <v>#NAME?</v>
      </c>
      <c r="Z228" t="e">
        <f ca="1"/>
        <v>#NAME?</v>
      </c>
      <c r="AA228" t="e">
        <f ca="1"/>
        <v>#NAME?</v>
      </c>
      <c r="AB228" t="e">
        <f ca="1"/>
        <v>#NAME?</v>
      </c>
    </row>
    <row r="229" spans="1:28" x14ac:dyDescent="0.2">
      <c r="A229" t="e">
        <f ca="1"/>
        <v>#NAME?</v>
      </c>
      <c r="B229" t="e">
        <f ca="1"/>
        <v>#NAME?</v>
      </c>
      <c r="C229" t="e">
        <f ca="1"/>
        <v>#NAME?</v>
      </c>
      <c r="D229" t="e">
        <f ca="1"/>
        <v>#NAME?</v>
      </c>
      <c r="E229" t="e">
        <f ca="1"/>
        <v>#NAME?</v>
      </c>
      <c r="F229" t="e">
        <f ca="1"/>
        <v>#NAME?</v>
      </c>
      <c r="G229" t="e">
        <f ca="1"/>
        <v>#NAME?</v>
      </c>
      <c r="H229" t="e">
        <f ca="1"/>
        <v>#NAME?</v>
      </c>
      <c r="I229" t="e">
        <f ca="1"/>
        <v>#NAME?</v>
      </c>
      <c r="J229" t="e">
        <f ca="1"/>
        <v>#NAME?</v>
      </c>
      <c r="K229" t="e">
        <f ca="1"/>
        <v>#NAME?</v>
      </c>
      <c r="L229" t="e">
        <f ca="1"/>
        <v>#NAME?</v>
      </c>
      <c r="M229" t="e">
        <f ca="1"/>
        <v>#NAME?</v>
      </c>
      <c r="N229" t="e">
        <f ca="1"/>
        <v>#NAME?</v>
      </c>
      <c r="O229" t="e">
        <f ca="1"/>
        <v>#NAME?</v>
      </c>
      <c r="P229" t="e">
        <f ca="1"/>
        <v>#NAME?</v>
      </c>
      <c r="Q229" t="e">
        <f ca="1"/>
        <v>#NAME?</v>
      </c>
      <c r="R229" t="e">
        <f ca="1"/>
        <v>#NAME?</v>
      </c>
      <c r="S229" t="e">
        <f ca="1"/>
        <v>#NAME?</v>
      </c>
      <c r="T229" t="e">
        <f ca="1"/>
        <v>#NAME?</v>
      </c>
      <c r="U229" t="e">
        <f ca="1"/>
        <v>#NAME?</v>
      </c>
      <c r="V229" s="5" t="e">
        <f ca="1"/>
        <v>#NAME?</v>
      </c>
      <c r="W229" t="e">
        <f ca="1"/>
        <v>#NAME?</v>
      </c>
      <c r="X229" t="e">
        <f ca="1"/>
        <v>#NAME?</v>
      </c>
      <c r="Y229" t="e">
        <f ca="1"/>
        <v>#NAME?</v>
      </c>
      <c r="Z229" t="e">
        <f ca="1"/>
        <v>#NAME?</v>
      </c>
      <c r="AA229" t="e">
        <f ca="1"/>
        <v>#NAME?</v>
      </c>
      <c r="AB229" t="e">
        <f ca="1"/>
        <v>#NAME?</v>
      </c>
    </row>
    <row r="230" spans="1:28" x14ac:dyDescent="0.2">
      <c r="A230" t="e">
        <f ca="1"/>
        <v>#NAME?</v>
      </c>
      <c r="B230" t="e">
        <f ca="1"/>
        <v>#NAME?</v>
      </c>
      <c r="C230" t="e">
        <f ca="1"/>
        <v>#NAME?</v>
      </c>
      <c r="D230" t="e">
        <f ca="1"/>
        <v>#NAME?</v>
      </c>
      <c r="E230" t="e">
        <f ca="1"/>
        <v>#NAME?</v>
      </c>
      <c r="F230" t="e">
        <f ca="1"/>
        <v>#NAME?</v>
      </c>
      <c r="G230" t="e">
        <f ca="1"/>
        <v>#NAME?</v>
      </c>
      <c r="H230" t="e">
        <f ca="1"/>
        <v>#NAME?</v>
      </c>
      <c r="I230" t="e">
        <f ca="1"/>
        <v>#NAME?</v>
      </c>
      <c r="J230" t="e">
        <f ca="1"/>
        <v>#NAME?</v>
      </c>
      <c r="K230" t="e">
        <f ca="1"/>
        <v>#NAME?</v>
      </c>
      <c r="L230" t="e">
        <f ca="1"/>
        <v>#NAME?</v>
      </c>
      <c r="M230" t="e">
        <f ca="1"/>
        <v>#NAME?</v>
      </c>
      <c r="N230" t="e">
        <f ca="1"/>
        <v>#NAME?</v>
      </c>
      <c r="O230" t="e">
        <f ca="1"/>
        <v>#NAME?</v>
      </c>
      <c r="P230" t="e">
        <f ca="1"/>
        <v>#NAME?</v>
      </c>
      <c r="Q230" t="e">
        <f ca="1"/>
        <v>#NAME?</v>
      </c>
      <c r="R230" t="e">
        <f ca="1"/>
        <v>#NAME?</v>
      </c>
      <c r="S230" t="e">
        <f ca="1"/>
        <v>#NAME?</v>
      </c>
      <c r="T230" t="e">
        <f ca="1"/>
        <v>#NAME?</v>
      </c>
      <c r="U230" t="e">
        <f ca="1"/>
        <v>#NAME?</v>
      </c>
      <c r="V230" s="5" t="e">
        <f ca="1"/>
        <v>#NAME?</v>
      </c>
      <c r="W230" t="e">
        <f ca="1"/>
        <v>#NAME?</v>
      </c>
      <c r="X230" t="e">
        <f ca="1"/>
        <v>#NAME?</v>
      </c>
      <c r="Y230" t="e">
        <f ca="1"/>
        <v>#NAME?</v>
      </c>
      <c r="Z230" t="e">
        <f ca="1"/>
        <v>#NAME?</v>
      </c>
      <c r="AA230" t="e">
        <f ca="1"/>
        <v>#NAME?</v>
      </c>
      <c r="AB230" t="e">
        <f ca="1"/>
        <v>#NAME?</v>
      </c>
    </row>
    <row r="231" spans="1:28" x14ac:dyDescent="0.2">
      <c r="A231" t="e">
        <f ca="1"/>
        <v>#NAME?</v>
      </c>
      <c r="B231" t="e">
        <f ca="1"/>
        <v>#NAME?</v>
      </c>
      <c r="C231" t="e">
        <f ca="1"/>
        <v>#NAME?</v>
      </c>
      <c r="D231" t="e">
        <f ca="1"/>
        <v>#NAME?</v>
      </c>
      <c r="E231" t="e">
        <f ca="1"/>
        <v>#NAME?</v>
      </c>
      <c r="F231" t="e">
        <f ca="1"/>
        <v>#NAME?</v>
      </c>
      <c r="G231" t="e">
        <f ca="1"/>
        <v>#NAME?</v>
      </c>
      <c r="H231" t="e">
        <f ca="1"/>
        <v>#NAME?</v>
      </c>
      <c r="I231" t="e">
        <f ca="1"/>
        <v>#NAME?</v>
      </c>
      <c r="J231" t="e">
        <f ca="1"/>
        <v>#NAME?</v>
      </c>
      <c r="K231" t="e">
        <f ca="1"/>
        <v>#NAME?</v>
      </c>
      <c r="L231" t="e">
        <f ca="1"/>
        <v>#NAME?</v>
      </c>
      <c r="M231" t="e">
        <f ca="1"/>
        <v>#NAME?</v>
      </c>
      <c r="N231" t="e">
        <f ca="1"/>
        <v>#NAME?</v>
      </c>
      <c r="O231" t="e">
        <f ca="1"/>
        <v>#NAME?</v>
      </c>
      <c r="P231" t="e">
        <f ca="1"/>
        <v>#NAME?</v>
      </c>
      <c r="Q231" t="e">
        <f ca="1"/>
        <v>#NAME?</v>
      </c>
      <c r="R231" t="e">
        <f ca="1"/>
        <v>#NAME?</v>
      </c>
      <c r="S231" t="e">
        <f ca="1"/>
        <v>#NAME?</v>
      </c>
      <c r="T231" t="e">
        <f ca="1"/>
        <v>#NAME?</v>
      </c>
      <c r="U231" t="e">
        <f ca="1"/>
        <v>#NAME?</v>
      </c>
      <c r="V231" s="5" t="e">
        <f ca="1"/>
        <v>#NAME?</v>
      </c>
      <c r="W231" t="e">
        <f ca="1"/>
        <v>#NAME?</v>
      </c>
      <c r="X231" t="e">
        <f ca="1"/>
        <v>#NAME?</v>
      </c>
      <c r="Y231" t="e">
        <f ca="1"/>
        <v>#NAME?</v>
      </c>
      <c r="Z231" t="e">
        <f ca="1"/>
        <v>#NAME?</v>
      </c>
      <c r="AA231" t="e">
        <f ca="1"/>
        <v>#NAME?</v>
      </c>
      <c r="AB231" t="e">
        <f ca="1"/>
        <v>#NAME?</v>
      </c>
    </row>
    <row r="232" spans="1:28" x14ac:dyDescent="0.2">
      <c r="A232" t="e">
        <f ca="1"/>
        <v>#NAME?</v>
      </c>
      <c r="B232" t="e">
        <f ca="1"/>
        <v>#NAME?</v>
      </c>
      <c r="C232" t="e">
        <f ca="1"/>
        <v>#NAME?</v>
      </c>
      <c r="D232" t="e">
        <f ca="1"/>
        <v>#NAME?</v>
      </c>
      <c r="E232" t="e">
        <f ca="1"/>
        <v>#NAME?</v>
      </c>
      <c r="F232" t="e">
        <f ca="1"/>
        <v>#NAME?</v>
      </c>
      <c r="G232" t="e">
        <f ca="1"/>
        <v>#NAME?</v>
      </c>
      <c r="H232" t="e">
        <f ca="1"/>
        <v>#NAME?</v>
      </c>
      <c r="I232" t="e">
        <f ca="1"/>
        <v>#NAME?</v>
      </c>
      <c r="J232" t="e">
        <f ca="1"/>
        <v>#NAME?</v>
      </c>
      <c r="K232" t="e">
        <f ca="1"/>
        <v>#NAME?</v>
      </c>
      <c r="L232" t="e">
        <f ca="1"/>
        <v>#NAME?</v>
      </c>
      <c r="M232" t="e">
        <f ca="1"/>
        <v>#NAME?</v>
      </c>
      <c r="N232" t="e">
        <f ca="1"/>
        <v>#NAME?</v>
      </c>
      <c r="O232" t="e">
        <f ca="1"/>
        <v>#NAME?</v>
      </c>
      <c r="P232" t="e">
        <f ca="1"/>
        <v>#NAME?</v>
      </c>
      <c r="Q232" t="e">
        <f ca="1"/>
        <v>#NAME?</v>
      </c>
      <c r="R232" t="e">
        <f ca="1"/>
        <v>#NAME?</v>
      </c>
      <c r="S232" t="e">
        <f ca="1"/>
        <v>#NAME?</v>
      </c>
      <c r="T232" t="e">
        <f ca="1"/>
        <v>#NAME?</v>
      </c>
      <c r="U232" t="e">
        <f ca="1"/>
        <v>#NAME?</v>
      </c>
      <c r="V232" s="5" t="e">
        <f ca="1"/>
        <v>#NAME?</v>
      </c>
      <c r="W232" t="e">
        <f ca="1"/>
        <v>#NAME?</v>
      </c>
      <c r="X232" t="e">
        <f ca="1"/>
        <v>#NAME?</v>
      </c>
      <c r="Y232" t="e">
        <f ca="1"/>
        <v>#NAME?</v>
      </c>
      <c r="Z232" t="e">
        <f ca="1"/>
        <v>#NAME?</v>
      </c>
      <c r="AA232" t="e">
        <f ca="1"/>
        <v>#NAME?</v>
      </c>
      <c r="AB232" t="e">
        <f ca="1"/>
        <v>#NAME?</v>
      </c>
    </row>
    <row r="233" spans="1:28" x14ac:dyDescent="0.2">
      <c r="A233" t="e">
        <f ca="1"/>
        <v>#NAME?</v>
      </c>
      <c r="B233" t="e">
        <f ca="1"/>
        <v>#NAME?</v>
      </c>
      <c r="C233" t="e">
        <f ca="1"/>
        <v>#NAME?</v>
      </c>
      <c r="D233" t="e">
        <f ca="1"/>
        <v>#NAME?</v>
      </c>
      <c r="E233" t="e">
        <f ca="1"/>
        <v>#NAME?</v>
      </c>
      <c r="F233" t="e">
        <f ca="1"/>
        <v>#NAME?</v>
      </c>
      <c r="G233" t="e">
        <f ca="1"/>
        <v>#NAME?</v>
      </c>
      <c r="H233" t="e">
        <f ca="1"/>
        <v>#NAME?</v>
      </c>
      <c r="I233" t="e">
        <f ca="1"/>
        <v>#NAME?</v>
      </c>
      <c r="J233" t="e">
        <f ca="1"/>
        <v>#NAME?</v>
      </c>
      <c r="K233" t="e">
        <f ca="1"/>
        <v>#NAME?</v>
      </c>
      <c r="L233" t="e">
        <f ca="1"/>
        <v>#NAME?</v>
      </c>
      <c r="M233" t="e">
        <f ca="1"/>
        <v>#NAME?</v>
      </c>
      <c r="N233" t="e">
        <f ca="1"/>
        <v>#NAME?</v>
      </c>
      <c r="O233" t="e">
        <f ca="1"/>
        <v>#NAME?</v>
      </c>
      <c r="P233" t="e">
        <f ca="1"/>
        <v>#NAME?</v>
      </c>
      <c r="Q233" t="e">
        <f ca="1"/>
        <v>#NAME?</v>
      </c>
      <c r="R233" t="e">
        <f ca="1"/>
        <v>#NAME?</v>
      </c>
      <c r="S233" t="e">
        <f ca="1"/>
        <v>#NAME?</v>
      </c>
      <c r="T233" t="e">
        <f ca="1"/>
        <v>#NAME?</v>
      </c>
      <c r="U233" t="e">
        <f ca="1"/>
        <v>#NAME?</v>
      </c>
      <c r="V233" s="5" t="e">
        <f ca="1"/>
        <v>#NAME?</v>
      </c>
      <c r="W233" t="e">
        <f ca="1"/>
        <v>#NAME?</v>
      </c>
      <c r="X233" t="e">
        <f ca="1"/>
        <v>#NAME?</v>
      </c>
      <c r="Y233" t="e">
        <f ca="1"/>
        <v>#NAME?</v>
      </c>
      <c r="Z233" t="e">
        <f ca="1"/>
        <v>#NAME?</v>
      </c>
      <c r="AA233" t="e">
        <f ca="1"/>
        <v>#NAME?</v>
      </c>
      <c r="AB233" t="e">
        <f ca="1"/>
        <v>#NAME?</v>
      </c>
    </row>
    <row r="234" spans="1:28" x14ac:dyDescent="0.2">
      <c r="A234" t="e">
        <f ca="1"/>
        <v>#NAME?</v>
      </c>
      <c r="B234" t="e">
        <f ca="1"/>
        <v>#NAME?</v>
      </c>
      <c r="C234" t="e">
        <f ca="1"/>
        <v>#NAME?</v>
      </c>
      <c r="D234" t="e">
        <f ca="1"/>
        <v>#NAME?</v>
      </c>
      <c r="E234" t="e">
        <f ca="1"/>
        <v>#NAME?</v>
      </c>
      <c r="F234" t="e">
        <f ca="1"/>
        <v>#NAME?</v>
      </c>
      <c r="G234" t="e">
        <f ca="1"/>
        <v>#NAME?</v>
      </c>
      <c r="H234" t="e">
        <f ca="1"/>
        <v>#NAME?</v>
      </c>
      <c r="I234" t="e">
        <f ca="1"/>
        <v>#NAME?</v>
      </c>
      <c r="J234" t="e">
        <f ca="1"/>
        <v>#NAME?</v>
      </c>
      <c r="K234" t="e">
        <f ca="1"/>
        <v>#NAME?</v>
      </c>
      <c r="L234" t="e">
        <f ca="1"/>
        <v>#NAME?</v>
      </c>
      <c r="M234" t="e">
        <f ca="1"/>
        <v>#NAME?</v>
      </c>
      <c r="N234" t="e">
        <f ca="1"/>
        <v>#NAME?</v>
      </c>
      <c r="O234" t="e">
        <f ca="1"/>
        <v>#NAME?</v>
      </c>
      <c r="P234" t="e">
        <f ca="1"/>
        <v>#NAME?</v>
      </c>
      <c r="Q234" t="e">
        <f ca="1"/>
        <v>#NAME?</v>
      </c>
      <c r="R234" t="e">
        <f ca="1"/>
        <v>#NAME?</v>
      </c>
      <c r="S234" t="e">
        <f ca="1"/>
        <v>#NAME?</v>
      </c>
      <c r="T234" t="e">
        <f ca="1"/>
        <v>#NAME?</v>
      </c>
      <c r="U234" t="e">
        <f ca="1"/>
        <v>#NAME?</v>
      </c>
      <c r="V234" s="5" t="e">
        <f ca="1"/>
        <v>#NAME?</v>
      </c>
      <c r="W234" t="e">
        <f ca="1"/>
        <v>#NAME?</v>
      </c>
      <c r="X234" t="e">
        <f ca="1"/>
        <v>#NAME?</v>
      </c>
      <c r="Y234" t="e">
        <f ca="1"/>
        <v>#NAME?</v>
      </c>
      <c r="Z234" t="e">
        <f ca="1"/>
        <v>#NAME?</v>
      </c>
      <c r="AA234" t="e">
        <f ca="1"/>
        <v>#NAME?</v>
      </c>
      <c r="AB234" t="e">
        <f ca="1"/>
        <v>#NAME?</v>
      </c>
    </row>
    <row r="235" spans="1:28" x14ac:dyDescent="0.2">
      <c r="A235" t="e">
        <f ca="1"/>
        <v>#NAME?</v>
      </c>
      <c r="B235" t="e">
        <f ca="1"/>
        <v>#NAME?</v>
      </c>
      <c r="C235" t="e">
        <f ca="1"/>
        <v>#NAME?</v>
      </c>
      <c r="D235" t="e">
        <f ca="1"/>
        <v>#NAME?</v>
      </c>
      <c r="E235" t="e">
        <f ca="1"/>
        <v>#NAME?</v>
      </c>
      <c r="F235" t="e">
        <f ca="1"/>
        <v>#NAME?</v>
      </c>
      <c r="G235" t="e">
        <f ca="1"/>
        <v>#NAME?</v>
      </c>
      <c r="H235" t="e">
        <f ca="1"/>
        <v>#NAME?</v>
      </c>
      <c r="I235" t="e">
        <f ca="1"/>
        <v>#NAME?</v>
      </c>
      <c r="J235" t="e">
        <f ca="1"/>
        <v>#NAME?</v>
      </c>
      <c r="K235" t="e">
        <f ca="1"/>
        <v>#NAME?</v>
      </c>
      <c r="L235" t="e">
        <f ca="1"/>
        <v>#NAME?</v>
      </c>
      <c r="M235" t="e">
        <f ca="1"/>
        <v>#NAME?</v>
      </c>
      <c r="N235" t="e">
        <f ca="1"/>
        <v>#NAME?</v>
      </c>
      <c r="O235" t="e">
        <f ca="1"/>
        <v>#NAME?</v>
      </c>
      <c r="P235" t="e">
        <f ca="1"/>
        <v>#NAME?</v>
      </c>
      <c r="Q235" t="e">
        <f ca="1"/>
        <v>#NAME?</v>
      </c>
      <c r="R235" t="e">
        <f ca="1"/>
        <v>#NAME?</v>
      </c>
      <c r="S235" t="e">
        <f ca="1"/>
        <v>#NAME?</v>
      </c>
      <c r="T235" t="e">
        <f ca="1"/>
        <v>#NAME?</v>
      </c>
      <c r="U235" t="e">
        <f ca="1"/>
        <v>#NAME?</v>
      </c>
      <c r="V235" s="5" t="e">
        <f ca="1"/>
        <v>#NAME?</v>
      </c>
      <c r="W235" t="e">
        <f ca="1"/>
        <v>#NAME?</v>
      </c>
      <c r="X235" t="e">
        <f ca="1"/>
        <v>#NAME?</v>
      </c>
      <c r="Y235" t="e">
        <f ca="1"/>
        <v>#NAME?</v>
      </c>
      <c r="Z235" t="e">
        <f ca="1"/>
        <v>#NAME?</v>
      </c>
      <c r="AA235" t="e">
        <f ca="1"/>
        <v>#NAME?</v>
      </c>
      <c r="AB235" t="e">
        <f ca="1"/>
        <v>#NAME?</v>
      </c>
    </row>
    <row r="236" spans="1:28" x14ac:dyDescent="0.2">
      <c r="A236" t="e">
        <f ca="1"/>
        <v>#NAME?</v>
      </c>
      <c r="B236" t="e">
        <f ca="1"/>
        <v>#NAME?</v>
      </c>
      <c r="C236" t="e">
        <f ca="1"/>
        <v>#NAME?</v>
      </c>
      <c r="D236" t="e">
        <f ca="1"/>
        <v>#NAME?</v>
      </c>
      <c r="E236" t="e">
        <f ca="1"/>
        <v>#NAME?</v>
      </c>
      <c r="F236" t="e">
        <f ca="1"/>
        <v>#NAME?</v>
      </c>
      <c r="G236" t="e">
        <f ca="1"/>
        <v>#NAME?</v>
      </c>
      <c r="H236" t="e">
        <f ca="1"/>
        <v>#NAME?</v>
      </c>
      <c r="I236" t="e">
        <f ca="1"/>
        <v>#NAME?</v>
      </c>
      <c r="J236" t="e">
        <f ca="1"/>
        <v>#NAME?</v>
      </c>
      <c r="K236" t="e">
        <f ca="1"/>
        <v>#NAME?</v>
      </c>
      <c r="L236" t="e">
        <f ca="1"/>
        <v>#NAME?</v>
      </c>
      <c r="M236" t="e">
        <f ca="1"/>
        <v>#NAME?</v>
      </c>
      <c r="N236" t="e">
        <f ca="1"/>
        <v>#NAME?</v>
      </c>
      <c r="O236" t="e">
        <f ca="1"/>
        <v>#NAME?</v>
      </c>
      <c r="P236" t="e">
        <f ca="1"/>
        <v>#NAME?</v>
      </c>
      <c r="Q236" t="e">
        <f ca="1"/>
        <v>#NAME?</v>
      </c>
      <c r="R236" t="e">
        <f ca="1"/>
        <v>#NAME?</v>
      </c>
      <c r="S236" t="e">
        <f ca="1"/>
        <v>#NAME?</v>
      </c>
      <c r="T236" t="e">
        <f ca="1"/>
        <v>#NAME?</v>
      </c>
      <c r="U236" t="e">
        <f ca="1"/>
        <v>#NAME?</v>
      </c>
      <c r="V236" s="5" t="e">
        <f ca="1"/>
        <v>#NAME?</v>
      </c>
      <c r="W236" t="e">
        <f ca="1"/>
        <v>#NAME?</v>
      </c>
      <c r="X236" t="e">
        <f ca="1"/>
        <v>#NAME?</v>
      </c>
      <c r="Y236" t="e">
        <f ca="1"/>
        <v>#NAME?</v>
      </c>
      <c r="Z236" t="e">
        <f ca="1"/>
        <v>#NAME?</v>
      </c>
      <c r="AA236" t="e">
        <f ca="1"/>
        <v>#NAME?</v>
      </c>
      <c r="AB236" t="e">
        <f ca="1"/>
        <v>#NAME?</v>
      </c>
    </row>
    <row r="237" spans="1:28" x14ac:dyDescent="0.2">
      <c r="A237" t="e">
        <f ca="1"/>
        <v>#NAME?</v>
      </c>
      <c r="B237" t="e">
        <f ca="1"/>
        <v>#NAME?</v>
      </c>
      <c r="C237" t="e">
        <f ca="1"/>
        <v>#NAME?</v>
      </c>
      <c r="D237" t="e">
        <f ca="1"/>
        <v>#NAME?</v>
      </c>
      <c r="E237" t="e">
        <f ca="1"/>
        <v>#NAME?</v>
      </c>
      <c r="F237" t="e">
        <f ca="1"/>
        <v>#NAME?</v>
      </c>
      <c r="G237" t="e">
        <f ca="1"/>
        <v>#NAME?</v>
      </c>
      <c r="H237" t="e">
        <f ca="1"/>
        <v>#NAME?</v>
      </c>
      <c r="I237" t="e">
        <f ca="1"/>
        <v>#NAME?</v>
      </c>
      <c r="J237" t="e">
        <f ca="1"/>
        <v>#NAME?</v>
      </c>
      <c r="K237" t="e">
        <f ca="1"/>
        <v>#NAME?</v>
      </c>
      <c r="L237" t="e">
        <f ca="1"/>
        <v>#NAME?</v>
      </c>
      <c r="M237" t="e">
        <f ca="1"/>
        <v>#NAME?</v>
      </c>
      <c r="N237" t="e">
        <f ca="1"/>
        <v>#NAME?</v>
      </c>
      <c r="O237" t="e">
        <f ca="1"/>
        <v>#NAME?</v>
      </c>
      <c r="P237" t="e">
        <f ca="1"/>
        <v>#NAME?</v>
      </c>
      <c r="Q237" t="e">
        <f ca="1"/>
        <v>#NAME?</v>
      </c>
      <c r="R237" t="e">
        <f ca="1"/>
        <v>#NAME?</v>
      </c>
      <c r="S237" t="e">
        <f ca="1"/>
        <v>#NAME?</v>
      </c>
      <c r="T237" t="e">
        <f ca="1"/>
        <v>#NAME?</v>
      </c>
      <c r="U237" t="e">
        <f ca="1"/>
        <v>#NAME?</v>
      </c>
      <c r="V237" s="5" t="e">
        <f ca="1"/>
        <v>#NAME?</v>
      </c>
      <c r="W237" t="e">
        <f ca="1"/>
        <v>#NAME?</v>
      </c>
      <c r="X237" t="e">
        <f ca="1"/>
        <v>#NAME?</v>
      </c>
      <c r="Y237" t="e">
        <f ca="1"/>
        <v>#NAME?</v>
      </c>
      <c r="Z237" t="e">
        <f ca="1"/>
        <v>#NAME?</v>
      </c>
      <c r="AA237" t="e">
        <f ca="1"/>
        <v>#NAME?</v>
      </c>
      <c r="AB237" t="e">
        <f ca="1"/>
        <v>#NAME?</v>
      </c>
    </row>
    <row r="238" spans="1:28" x14ac:dyDescent="0.2">
      <c r="A238" t="e">
        <f ca="1"/>
        <v>#NAME?</v>
      </c>
      <c r="B238" t="e">
        <f ca="1"/>
        <v>#NAME?</v>
      </c>
      <c r="C238" t="e">
        <f ca="1"/>
        <v>#NAME?</v>
      </c>
      <c r="D238" t="e">
        <f ca="1"/>
        <v>#NAME?</v>
      </c>
      <c r="E238" t="e">
        <f ca="1"/>
        <v>#NAME?</v>
      </c>
      <c r="F238" t="e">
        <f ca="1"/>
        <v>#NAME?</v>
      </c>
      <c r="G238" t="e">
        <f ca="1"/>
        <v>#NAME?</v>
      </c>
      <c r="H238" t="e">
        <f ca="1"/>
        <v>#NAME?</v>
      </c>
      <c r="I238" t="e">
        <f ca="1"/>
        <v>#NAME?</v>
      </c>
      <c r="J238" t="e">
        <f ca="1"/>
        <v>#NAME?</v>
      </c>
      <c r="K238" t="e">
        <f ca="1"/>
        <v>#NAME?</v>
      </c>
      <c r="L238" t="e">
        <f ca="1"/>
        <v>#NAME?</v>
      </c>
      <c r="M238" t="e">
        <f ca="1"/>
        <v>#NAME?</v>
      </c>
      <c r="N238" t="e">
        <f ca="1"/>
        <v>#NAME?</v>
      </c>
      <c r="O238" t="e">
        <f ca="1"/>
        <v>#NAME?</v>
      </c>
      <c r="P238" t="e">
        <f ca="1"/>
        <v>#NAME?</v>
      </c>
      <c r="Q238" t="e">
        <f ca="1"/>
        <v>#NAME?</v>
      </c>
      <c r="R238" t="e">
        <f ca="1"/>
        <v>#NAME?</v>
      </c>
      <c r="S238" t="e">
        <f ca="1"/>
        <v>#NAME?</v>
      </c>
      <c r="T238" t="e">
        <f ca="1"/>
        <v>#NAME?</v>
      </c>
      <c r="U238" t="e">
        <f ca="1"/>
        <v>#NAME?</v>
      </c>
      <c r="V238" s="5" t="e">
        <f ca="1"/>
        <v>#NAME?</v>
      </c>
      <c r="W238" t="e">
        <f ca="1"/>
        <v>#NAME?</v>
      </c>
      <c r="X238" t="e">
        <f ca="1"/>
        <v>#NAME?</v>
      </c>
      <c r="Y238" t="e">
        <f ca="1"/>
        <v>#NAME?</v>
      </c>
      <c r="Z238" t="e">
        <f ca="1"/>
        <v>#NAME?</v>
      </c>
      <c r="AA238" t="e">
        <f ca="1"/>
        <v>#NAME?</v>
      </c>
      <c r="AB238" t="e">
        <f ca="1"/>
        <v>#NAME?</v>
      </c>
    </row>
    <row r="239" spans="1:28" x14ac:dyDescent="0.2">
      <c r="A239" t="e">
        <f ca="1"/>
        <v>#NAME?</v>
      </c>
      <c r="B239" t="e">
        <f ca="1"/>
        <v>#NAME?</v>
      </c>
      <c r="C239" t="e">
        <f ca="1"/>
        <v>#NAME?</v>
      </c>
      <c r="D239" t="e">
        <f ca="1"/>
        <v>#NAME?</v>
      </c>
      <c r="E239" t="e">
        <f ca="1"/>
        <v>#NAME?</v>
      </c>
      <c r="F239" t="e">
        <f ca="1"/>
        <v>#NAME?</v>
      </c>
      <c r="G239" t="e">
        <f ca="1"/>
        <v>#NAME?</v>
      </c>
      <c r="H239" t="e">
        <f ca="1"/>
        <v>#NAME?</v>
      </c>
      <c r="I239" t="e">
        <f ca="1"/>
        <v>#NAME?</v>
      </c>
      <c r="J239" t="e">
        <f ca="1"/>
        <v>#NAME?</v>
      </c>
      <c r="K239" t="e">
        <f ca="1"/>
        <v>#NAME?</v>
      </c>
      <c r="L239" t="e">
        <f ca="1"/>
        <v>#NAME?</v>
      </c>
      <c r="M239" t="e">
        <f ca="1"/>
        <v>#NAME?</v>
      </c>
      <c r="N239" t="e">
        <f ca="1"/>
        <v>#NAME?</v>
      </c>
      <c r="O239" t="e">
        <f ca="1"/>
        <v>#NAME?</v>
      </c>
      <c r="P239" t="e">
        <f ca="1"/>
        <v>#NAME?</v>
      </c>
      <c r="Q239" t="e">
        <f ca="1"/>
        <v>#NAME?</v>
      </c>
      <c r="R239" t="e">
        <f ca="1"/>
        <v>#NAME?</v>
      </c>
      <c r="S239" t="e">
        <f ca="1"/>
        <v>#NAME?</v>
      </c>
      <c r="T239" t="e">
        <f ca="1"/>
        <v>#NAME?</v>
      </c>
      <c r="U239" t="e">
        <f ca="1"/>
        <v>#NAME?</v>
      </c>
      <c r="V239" s="5" t="e">
        <f ca="1"/>
        <v>#NAME?</v>
      </c>
      <c r="W239" t="e">
        <f ca="1"/>
        <v>#NAME?</v>
      </c>
      <c r="X239" t="e">
        <f ca="1"/>
        <v>#NAME?</v>
      </c>
      <c r="Y239" t="e">
        <f ca="1"/>
        <v>#NAME?</v>
      </c>
      <c r="Z239" t="e">
        <f ca="1"/>
        <v>#NAME?</v>
      </c>
      <c r="AA239" t="e">
        <f ca="1"/>
        <v>#NAME?</v>
      </c>
      <c r="AB239" t="e">
        <f ca="1"/>
        <v>#NAME?</v>
      </c>
    </row>
    <row r="240" spans="1:28" x14ac:dyDescent="0.2">
      <c r="A240" t="e">
        <f ca="1"/>
        <v>#NAME?</v>
      </c>
      <c r="B240" t="e">
        <f ca="1"/>
        <v>#NAME?</v>
      </c>
      <c r="C240" t="e">
        <f ca="1"/>
        <v>#NAME?</v>
      </c>
      <c r="D240" t="e">
        <f ca="1"/>
        <v>#NAME?</v>
      </c>
      <c r="E240" t="e">
        <f ca="1"/>
        <v>#NAME?</v>
      </c>
      <c r="F240" t="e">
        <f ca="1"/>
        <v>#NAME?</v>
      </c>
      <c r="G240" t="e">
        <f ca="1"/>
        <v>#NAME?</v>
      </c>
      <c r="H240" t="e">
        <f ca="1"/>
        <v>#NAME?</v>
      </c>
      <c r="I240" t="e">
        <f ca="1"/>
        <v>#NAME?</v>
      </c>
      <c r="J240" t="e">
        <f ca="1"/>
        <v>#NAME?</v>
      </c>
      <c r="K240" t="e">
        <f ca="1"/>
        <v>#NAME?</v>
      </c>
      <c r="L240" t="e">
        <f ca="1"/>
        <v>#NAME?</v>
      </c>
      <c r="M240" t="e">
        <f ca="1"/>
        <v>#NAME?</v>
      </c>
      <c r="N240" t="e">
        <f ca="1"/>
        <v>#NAME?</v>
      </c>
      <c r="O240" t="e">
        <f ca="1"/>
        <v>#NAME?</v>
      </c>
      <c r="P240" t="e">
        <f ca="1"/>
        <v>#NAME?</v>
      </c>
      <c r="Q240" t="e">
        <f ca="1"/>
        <v>#NAME?</v>
      </c>
      <c r="R240" t="e">
        <f ca="1"/>
        <v>#NAME?</v>
      </c>
      <c r="S240" t="e">
        <f ca="1"/>
        <v>#NAME?</v>
      </c>
      <c r="T240" t="e">
        <f ca="1"/>
        <v>#NAME?</v>
      </c>
      <c r="U240" t="e">
        <f ca="1"/>
        <v>#NAME?</v>
      </c>
      <c r="V240" s="5" t="e">
        <f ca="1"/>
        <v>#NAME?</v>
      </c>
      <c r="W240" t="e">
        <f ca="1"/>
        <v>#NAME?</v>
      </c>
      <c r="X240" t="e">
        <f ca="1"/>
        <v>#NAME?</v>
      </c>
      <c r="Y240" t="e">
        <f ca="1"/>
        <v>#NAME?</v>
      </c>
      <c r="Z240" t="e">
        <f ca="1"/>
        <v>#NAME?</v>
      </c>
      <c r="AA240" t="e">
        <f ca="1"/>
        <v>#NAME?</v>
      </c>
      <c r="AB240" t="e">
        <f ca="1"/>
        <v>#NAME?</v>
      </c>
    </row>
    <row r="241" spans="1:28" x14ac:dyDescent="0.2">
      <c r="A241" t="e">
        <f ca="1"/>
        <v>#NAME?</v>
      </c>
      <c r="B241" t="e">
        <f ca="1"/>
        <v>#NAME?</v>
      </c>
      <c r="C241" t="e">
        <f ca="1"/>
        <v>#NAME?</v>
      </c>
      <c r="D241" t="e">
        <f ca="1"/>
        <v>#NAME?</v>
      </c>
      <c r="E241" t="e">
        <f ca="1"/>
        <v>#NAME?</v>
      </c>
      <c r="F241" t="e">
        <f ca="1"/>
        <v>#NAME?</v>
      </c>
      <c r="G241" t="e">
        <f ca="1"/>
        <v>#NAME?</v>
      </c>
      <c r="H241" t="e">
        <f ca="1"/>
        <v>#NAME?</v>
      </c>
      <c r="I241" t="e">
        <f ca="1"/>
        <v>#NAME?</v>
      </c>
      <c r="J241" t="e">
        <f ca="1"/>
        <v>#NAME?</v>
      </c>
      <c r="K241" t="e">
        <f ca="1"/>
        <v>#NAME?</v>
      </c>
      <c r="L241" t="e">
        <f ca="1"/>
        <v>#NAME?</v>
      </c>
      <c r="M241" t="e">
        <f ca="1"/>
        <v>#NAME?</v>
      </c>
      <c r="N241" t="e">
        <f ca="1"/>
        <v>#NAME?</v>
      </c>
      <c r="O241" t="e">
        <f ca="1"/>
        <v>#NAME?</v>
      </c>
      <c r="P241" t="e">
        <f ca="1"/>
        <v>#NAME?</v>
      </c>
      <c r="Q241" t="e">
        <f ca="1"/>
        <v>#NAME?</v>
      </c>
      <c r="R241" t="e">
        <f ca="1"/>
        <v>#NAME?</v>
      </c>
      <c r="S241" t="e">
        <f ca="1"/>
        <v>#NAME?</v>
      </c>
      <c r="T241" t="e">
        <f ca="1"/>
        <v>#NAME?</v>
      </c>
      <c r="U241" t="e">
        <f ca="1"/>
        <v>#NAME?</v>
      </c>
      <c r="V241" s="5" t="e">
        <f ca="1"/>
        <v>#NAME?</v>
      </c>
      <c r="W241" t="e">
        <f ca="1"/>
        <v>#NAME?</v>
      </c>
      <c r="X241" t="e">
        <f ca="1"/>
        <v>#NAME?</v>
      </c>
      <c r="Y241" t="e">
        <f ca="1"/>
        <v>#NAME?</v>
      </c>
      <c r="Z241" t="e">
        <f ca="1"/>
        <v>#NAME?</v>
      </c>
      <c r="AA241" t="e">
        <f ca="1"/>
        <v>#NAME?</v>
      </c>
      <c r="AB241" t="e">
        <f ca="1"/>
        <v>#NAME?</v>
      </c>
    </row>
    <row r="242" spans="1:28" x14ac:dyDescent="0.2">
      <c r="A242" t="e">
        <f ca="1"/>
        <v>#NAME?</v>
      </c>
      <c r="B242" t="e">
        <f ca="1"/>
        <v>#NAME?</v>
      </c>
      <c r="C242" t="e">
        <f ca="1"/>
        <v>#NAME?</v>
      </c>
      <c r="D242" t="e">
        <f ca="1"/>
        <v>#NAME?</v>
      </c>
      <c r="E242" t="e">
        <f ca="1"/>
        <v>#NAME?</v>
      </c>
      <c r="F242" t="e">
        <f ca="1"/>
        <v>#NAME?</v>
      </c>
      <c r="G242" t="e">
        <f ca="1"/>
        <v>#NAME?</v>
      </c>
      <c r="H242" t="e">
        <f ca="1"/>
        <v>#NAME?</v>
      </c>
      <c r="I242" t="e">
        <f ca="1"/>
        <v>#NAME?</v>
      </c>
      <c r="J242" t="e">
        <f ca="1"/>
        <v>#NAME?</v>
      </c>
      <c r="K242" t="e">
        <f ca="1"/>
        <v>#NAME?</v>
      </c>
      <c r="L242" t="e">
        <f ca="1"/>
        <v>#NAME?</v>
      </c>
      <c r="M242" t="e">
        <f ca="1"/>
        <v>#NAME?</v>
      </c>
      <c r="N242" t="e">
        <f ca="1"/>
        <v>#NAME?</v>
      </c>
      <c r="O242" t="e">
        <f ca="1"/>
        <v>#NAME?</v>
      </c>
      <c r="P242" t="e">
        <f ca="1"/>
        <v>#NAME?</v>
      </c>
      <c r="Q242" t="e">
        <f ca="1"/>
        <v>#NAME?</v>
      </c>
      <c r="R242" t="e">
        <f ca="1"/>
        <v>#NAME?</v>
      </c>
      <c r="S242" t="e">
        <f ca="1"/>
        <v>#NAME?</v>
      </c>
      <c r="T242" t="e">
        <f ca="1"/>
        <v>#NAME?</v>
      </c>
      <c r="U242" t="e">
        <f ca="1"/>
        <v>#NAME?</v>
      </c>
      <c r="V242" s="5" t="e">
        <f ca="1"/>
        <v>#NAME?</v>
      </c>
      <c r="W242" t="e">
        <f ca="1"/>
        <v>#NAME?</v>
      </c>
      <c r="X242" t="e">
        <f ca="1"/>
        <v>#NAME?</v>
      </c>
      <c r="Y242" t="e">
        <f ca="1"/>
        <v>#NAME?</v>
      </c>
      <c r="Z242" t="e">
        <f ca="1"/>
        <v>#NAME?</v>
      </c>
      <c r="AA242" t="e">
        <f ca="1"/>
        <v>#NAME?</v>
      </c>
      <c r="AB242" t="e">
        <f ca="1"/>
        <v>#NAME?</v>
      </c>
    </row>
    <row r="243" spans="1:28" x14ac:dyDescent="0.2">
      <c r="A243" t="e">
        <f ca="1"/>
        <v>#NAME?</v>
      </c>
      <c r="B243" t="e">
        <f ca="1"/>
        <v>#NAME?</v>
      </c>
      <c r="C243" t="e">
        <f ca="1"/>
        <v>#NAME?</v>
      </c>
      <c r="D243" t="e">
        <f ca="1"/>
        <v>#NAME?</v>
      </c>
      <c r="E243" t="e">
        <f ca="1"/>
        <v>#NAME?</v>
      </c>
      <c r="F243" t="e">
        <f ca="1"/>
        <v>#NAME?</v>
      </c>
      <c r="G243" t="e">
        <f ca="1"/>
        <v>#NAME?</v>
      </c>
      <c r="H243" t="e">
        <f ca="1"/>
        <v>#NAME?</v>
      </c>
      <c r="I243" t="e">
        <f ca="1"/>
        <v>#NAME?</v>
      </c>
      <c r="J243" t="e">
        <f ca="1"/>
        <v>#NAME?</v>
      </c>
      <c r="K243" t="e">
        <f ca="1"/>
        <v>#NAME?</v>
      </c>
      <c r="L243" t="e">
        <f ca="1"/>
        <v>#NAME?</v>
      </c>
      <c r="M243" t="e">
        <f ca="1"/>
        <v>#NAME?</v>
      </c>
      <c r="N243" t="e">
        <f ca="1"/>
        <v>#NAME?</v>
      </c>
      <c r="O243" t="e">
        <f ca="1"/>
        <v>#NAME?</v>
      </c>
      <c r="P243" t="e">
        <f ca="1"/>
        <v>#NAME?</v>
      </c>
      <c r="Q243" t="e">
        <f ca="1"/>
        <v>#NAME?</v>
      </c>
      <c r="R243" t="e">
        <f ca="1"/>
        <v>#NAME?</v>
      </c>
      <c r="S243" t="e">
        <f ca="1"/>
        <v>#NAME?</v>
      </c>
      <c r="T243" t="e">
        <f ca="1"/>
        <v>#NAME?</v>
      </c>
      <c r="U243" t="e">
        <f ca="1"/>
        <v>#NAME?</v>
      </c>
      <c r="V243" s="5" t="e">
        <f ca="1"/>
        <v>#NAME?</v>
      </c>
      <c r="W243" t="e">
        <f ca="1"/>
        <v>#NAME?</v>
      </c>
      <c r="X243" t="e">
        <f ca="1"/>
        <v>#NAME?</v>
      </c>
      <c r="Y243" t="e">
        <f ca="1"/>
        <v>#NAME?</v>
      </c>
      <c r="Z243" t="e">
        <f ca="1"/>
        <v>#NAME?</v>
      </c>
      <c r="AA243" t="e">
        <f ca="1"/>
        <v>#NAME?</v>
      </c>
      <c r="AB243" t="e">
        <f ca="1"/>
        <v>#NAME?</v>
      </c>
    </row>
    <row r="244" spans="1:28" x14ac:dyDescent="0.2">
      <c r="A244" t="e">
        <f ca="1"/>
        <v>#NAME?</v>
      </c>
      <c r="B244" t="e">
        <f ca="1"/>
        <v>#NAME?</v>
      </c>
      <c r="C244" t="e">
        <f ca="1"/>
        <v>#NAME?</v>
      </c>
      <c r="D244" t="e">
        <f ca="1"/>
        <v>#NAME?</v>
      </c>
      <c r="E244" t="e">
        <f ca="1"/>
        <v>#NAME?</v>
      </c>
      <c r="F244" t="e">
        <f ca="1"/>
        <v>#NAME?</v>
      </c>
      <c r="G244" t="e">
        <f ca="1"/>
        <v>#NAME?</v>
      </c>
      <c r="H244" t="e">
        <f ca="1"/>
        <v>#NAME?</v>
      </c>
      <c r="I244" t="e">
        <f ca="1"/>
        <v>#NAME?</v>
      </c>
      <c r="J244" t="e">
        <f ca="1"/>
        <v>#NAME?</v>
      </c>
      <c r="K244" t="e">
        <f ca="1"/>
        <v>#NAME?</v>
      </c>
      <c r="L244" t="e">
        <f ca="1"/>
        <v>#NAME?</v>
      </c>
      <c r="M244" t="e">
        <f ca="1"/>
        <v>#NAME?</v>
      </c>
      <c r="N244" t="e">
        <f ca="1"/>
        <v>#NAME?</v>
      </c>
      <c r="O244" t="e">
        <f ca="1"/>
        <v>#NAME?</v>
      </c>
      <c r="P244" t="e">
        <f ca="1"/>
        <v>#NAME?</v>
      </c>
      <c r="Q244" t="e">
        <f ca="1"/>
        <v>#NAME?</v>
      </c>
      <c r="R244" t="e">
        <f ca="1"/>
        <v>#NAME?</v>
      </c>
      <c r="S244" t="e">
        <f ca="1"/>
        <v>#NAME?</v>
      </c>
      <c r="T244" t="e">
        <f ca="1"/>
        <v>#NAME?</v>
      </c>
      <c r="U244" t="e">
        <f ca="1"/>
        <v>#NAME?</v>
      </c>
      <c r="V244" s="5" t="e">
        <f ca="1"/>
        <v>#NAME?</v>
      </c>
      <c r="W244" t="e">
        <f ca="1"/>
        <v>#NAME?</v>
      </c>
      <c r="X244" t="e">
        <f ca="1"/>
        <v>#NAME?</v>
      </c>
      <c r="Y244" t="e">
        <f ca="1"/>
        <v>#NAME?</v>
      </c>
      <c r="Z244" t="e">
        <f ca="1"/>
        <v>#NAME?</v>
      </c>
      <c r="AA244" t="e">
        <f ca="1"/>
        <v>#NAME?</v>
      </c>
      <c r="AB244" t="e">
        <f ca="1"/>
        <v>#NAME?</v>
      </c>
    </row>
    <row r="245" spans="1:28" x14ac:dyDescent="0.2">
      <c r="A245" t="e">
        <f ca="1"/>
        <v>#NAME?</v>
      </c>
      <c r="B245" t="e">
        <f ca="1"/>
        <v>#NAME?</v>
      </c>
      <c r="C245" t="e">
        <f ca="1"/>
        <v>#NAME?</v>
      </c>
      <c r="D245" t="e">
        <f ca="1"/>
        <v>#NAME?</v>
      </c>
      <c r="E245" t="e">
        <f ca="1"/>
        <v>#NAME?</v>
      </c>
      <c r="F245" t="e">
        <f ca="1"/>
        <v>#NAME?</v>
      </c>
      <c r="G245" t="e">
        <f ca="1"/>
        <v>#NAME?</v>
      </c>
      <c r="H245" t="e">
        <f ca="1"/>
        <v>#NAME?</v>
      </c>
      <c r="I245" t="e">
        <f ca="1"/>
        <v>#NAME?</v>
      </c>
      <c r="J245" t="e">
        <f ca="1"/>
        <v>#NAME?</v>
      </c>
      <c r="K245" t="e">
        <f ca="1"/>
        <v>#NAME?</v>
      </c>
      <c r="L245" t="e">
        <f ca="1"/>
        <v>#NAME?</v>
      </c>
      <c r="M245" t="e">
        <f ca="1"/>
        <v>#NAME?</v>
      </c>
      <c r="N245" t="e">
        <f ca="1"/>
        <v>#NAME?</v>
      </c>
      <c r="O245" t="e">
        <f ca="1"/>
        <v>#NAME?</v>
      </c>
      <c r="P245" t="e">
        <f ca="1"/>
        <v>#NAME?</v>
      </c>
      <c r="Q245" t="e">
        <f ca="1"/>
        <v>#NAME?</v>
      </c>
      <c r="R245" t="e">
        <f ca="1"/>
        <v>#NAME?</v>
      </c>
      <c r="S245" t="e">
        <f ca="1"/>
        <v>#NAME?</v>
      </c>
      <c r="T245" t="e">
        <f ca="1"/>
        <v>#NAME?</v>
      </c>
      <c r="U245" t="e">
        <f ca="1"/>
        <v>#NAME?</v>
      </c>
      <c r="V245" s="5" t="e">
        <f ca="1"/>
        <v>#NAME?</v>
      </c>
      <c r="W245" t="e">
        <f ca="1"/>
        <v>#NAME?</v>
      </c>
      <c r="X245" t="e">
        <f ca="1"/>
        <v>#NAME?</v>
      </c>
      <c r="Y245" t="e">
        <f ca="1"/>
        <v>#NAME?</v>
      </c>
      <c r="Z245" t="e">
        <f ca="1"/>
        <v>#NAME?</v>
      </c>
      <c r="AA245" t="e">
        <f ca="1"/>
        <v>#NAME?</v>
      </c>
      <c r="AB245" t="e">
        <f ca="1"/>
        <v>#NAME?</v>
      </c>
    </row>
    <row r="246" spans="1:28" x14ac:dyDescent="0.2">
      <c r="A246" t="e">
        <f ca="1"/>
        <v>#NAME?</v>
      </c>
      <c r="B246" t="e">
        <f ca="1"/>
        <v>#NAME?</v>
      </c>
      <c r="C246" t="e">
        <f ca="1"/>
        <v>#NAME?</v>
      </c>
      <c r="D246" t="e">
        <f ca="1"/>
        <v>#NAME?</v>
      </c>
      <c r="E246" t="e">
        <f ca="1"/>
        <v>#NAME?</v>
      </c>
      <c r="F246" t="e">
        <f ca="1"/>
        <v>#NAME?</v>
      </c>
      <c r="G246" t="e">
        <f ca="1"/>
        <v>#NAME?</v>
      </c>
      <c r="H246" t="e">
        <f ca="1"/>
        <v>#NAME?</v>
      </c>
      <c r="I246" t="e">
        <f ca="1"/>
        <v>#NAME?</v>
      </c>
      <c r="J246" t="e">
        <f ca="1"/>
        <v>#NAME?</v>
      </c>
      <c r="K246" t="e">
        <f ca="1"/>
        <v>#NAME?</v>
      </c>
      <c r="L246" t="e">
        <f ca="1"/>
        <v>#NAME?</v>
      </c>
      <c r="M246" t="e">
        <f ca="1"/>
        <v>#NAME?</v>
      </c>
      <c r="N246" t="e">
        <f ca="1"/>
        <v>#NAME?</v>
      </c>
      <c r="O246" t="e">
        <f ca="1"/>
        <v>#NAME?</v>
      </c>
      <c r="P246" t="e">
        <f ca="1"/>
        <v>#NAME?</v>
      </c>
      <c r="Q246" t="e">
        <f ca="1"/>
        <v>#NAME?</v>
      </c>
      <c r="R246" t="e">
        <f ca="1"/>
        <v>#NAME?</v>
      </c>
      <c r="S246" t="e">
        <f ca="1"/>
        <v>#NAME?</v>
      </c>
      <c r="T246" t="e">
        <f ca="1"/>
        <v>#NAME?</v>
      </c>
      <c r="U246" t="e">
        <f ca="1"/>
        <v>#NAME?</v>
      </c>
      <c r="V246" s="5" t="e">
        <f ca="1"/>
        <v>#NAME?</v>
      </c>
      <c r="W246" t="e">
        <f ca="1"/>
        <v>#NAME?</v>
      </c>
      <c r="X246" t="e">
        <f ca="1"/>
        <v>#NAME?</v>
      </c>
      <c r="Y246" t="e">
        <f ca="1"/>
        <v>#NAME?</v>
      </c>
      <c r="Z246" t="e">
        <f ca="1"/>
        <v>#NAME?</v>
      </c>
      <c r="AA246" t="e">
        <f ca="1"/>
        <v>#NAME?</v>
      </c>
      <c r="AB246" t="e">
        <f ca="1"/>
        <v>#NAME?</v>
      </c>
    </row>
    <row r="247" spans="1:28" x14ac:dyDescent="0.2">
      <c r="A247" t="e">
        <f ca="1"/>
        <v>#NAME?</v>
      </c>
      <c r="B247" t="e">
        <f ca="1"/>
        <v>#NAME?</v>
      </c>
      <c r="C247" t="e">
        <f ca="1"/>
        <v>#NAME?</v>
      </c>
      <c r="D247" t="e">
        <f ca="1"/>
        <v>#NAME?</v>
      </c>
      <c r="E247" t="e">
        <f ca="1"/>
        <v>#NAME?</v>
      </c>
      <c r="F247" t="e">
        <f ca="1"/>
        <v>#NAME?</v>
      </c>
      <c r="G247" t="e">
        <f ca="1"/>
        <v>#NAME?</v>
      </c>
      <c r="H247" t="e">
        <f ca="1"/>
        <v>#NAME?</v>
      </c>
      <c r="I247" t="e">
        <f ca="1"/>
        <v>#NAME?</v>
      </c>
      <c r="J247" t="e">
        <f ca="1"/>
        <v>#NAME?</v>
      </c>
      <c r="K247" t="e">
        <f ca="1"/>
        <v>#NAME?</v>
      </c>
      <c r="L247" t="e">
        <f ca="1"/>
        <v>#NAME?</v>
      </c>
      <c r="M247" t="e">
        <f ca="1"/>
        <v>#NAME?</v>
      </c>
      <c r="N247" t="e">
        <f ca="1"/>
        <v>#NAME?</v>
      </c>
      <c r="O247" t="e">
        <f ca="1"/>
        <v>#NAME?</v>
      </c>
      <c r="P247" t="e">
        <f ca="1"/>
        <v>#NAME?</v>
      </c>
      <c r="Q247" t="e">
        <f ca="1"/>
        <v>#NAME?</v>
      </c>
      <c r="R247" t="e">
        <f ca="1"/>
        <v>#NAME?</v>
      </c>
      <c r="S247" t="e">
        <f ca="1"/>
        <v>#NAME?</v>
      </c>
      <c r="T247" t="e">
        <f ca="1"/>
        <v>#NAME?</v>
      </c>
      <c r="U247" t="e">
        <f ca="1"/>
        <v>#NAME?</v>
      </c>
      <c r="V247" s="5" t="e">
        <f ca="1"/>
        <v>#NAME?</v>
      </c>
      <c r="W247" t="e">
        <f ca="1"/>
        <v>#NAME?</v>
      </c>
      <c r="X247" t="e">
        <f ca="1"/>
        <v>#NAME?</v>
      </c>
      <c r="Y247" t="e">
        <f ca="1"/>
        <v>#NAME?</v>
      </c>
      <c r="Z247" t="e">
        <f ca="1"/>
        <v>#NAME?</v>
      </c>
      <c r="AA247" t="e">
        <f ca="1"/>
        <v>#NAME?</v>
      </c>
      <c r="AB247" t="e">
        <f ca="1"/>
        <v>#NAME?</v>
      </c>
    </row>
    <row r="248" spans="1:28" x14ac:dyDescent="0.2">
      <c r="A248" t="e">
        <f ca="1"/>
        <v>#NAME?</v>
      </c>
      <c r="B248" t="e">
        <f ca="1"/>
        <v>#NAME?</v>
      </c>
      <c r="C248" t="e">
        <f ca="1"/>
        <v>#NAME?</v>
      </c>
      <c r="D248" t="e">
        <f ca="1"/>
        <v>#NAME?</v>
      </c>
      <c r="E248" t="e">
        <f ca="1"/>
        <v>#NAME?</v>
      </c>
      <c r="F248" t="e">
        <f ca="1"/>
        <v>#NAME?</v>
      </c>
      <c r="G248" t="e">
        <f ca="1"/>
        <v>#NAME?</v>
      </c>
      <c r="H248" t="e">
        <f ca="1"/>
        <v>#NAME?</v>
      </c>
      <c r="I248" t="e">
        <f ca="1"/>
        <v>#NAME?</v>
      </c>
      <c r="J248" t="e">
        <f ca="1"/>
        <v>#NAME?</v>
      </c>
      <c r="K248" t="e">
        <f ca="1"/>
        <v>#NAME?</v>
      </c>
      <c r="L248" t="e">
        <f ca="1"/>
        <v>#NAME?</v>
      </c>
      <c r="M248" t="e">
        <f ca="1"/>
        <v>#NAME?</v>
      </c>
      <c r="N248" t="e">
        <f ca="1"/>
        <v>#NAME?</v>
      </c>
      <c r="O248" t="e">
        <f ca="1"/>
        <v>#NAME?</v>
      </c>
      <c r="P248" t="e">
        <f ca="1"/>
        <v>#NAME?</v>
      </c>
      <c r="Q248" t="e">
        <f ca="1"/>
        <v>#NAME?</v>
      </c>
      <c r="R248" t="e">
        <f ca="1"/>
        <v>#NAME?</v>
      </c>
      <c r="S248" t="e">
        <f ca="1"/>
        <v>#NAME?</v>
      </c>
      <c r="T248" t="e">
        <f ca="1"/>
        <v>#NAME?</v>
      </c>
      <c r="U248" t="e">
        <f ca="1"/>
        <v>#NAME?</v>
      </c>
      <c r="V248" s="5" t="e">
        <f ca="1"/>
        <v>#NAME?</v>
      </c>
      <c r="W248" t="e">
        <f ca="1"/>
        <v>#NAME?</v>
      </c>
      <c r="X248" t="e">
        <f ca="1"/>
        <v>#NAME?</v>
      </c>
      <c r="Y248" t="e">
        <f ca="1"/>
        <v>#NAME?</v>
      </c>
      <c r="Z248" t="e">
        <f ca="1"/>
        <v>#NAME?</v>
      </c>
      <c r="AA248" t="e">
        <f ca="1"/>
        <v>#NAME?</v>
      </c>
      <c r="AB248" t="e">
        <f ca="1"/>
        <v>#NAME?</v>
      </c>
    </row>
    <row r="249" spans="1:28" x14ac:dyDescent="0.2">
      <c r="A249" t="e">
        <f ca="1"/>
        <v>#NAME?</v>
      </c>
      <c r="B249" t="e">
        <f ca="1"/>
        <v>#NAME?</v>
      </c>
      <c r="C249" t="e">
        <f ca="1"/>
        <v>#NAME?</v>
      </c>
      <c r="D249" t="e">
        <f ca="1"/>
        <v>#NAME?</v>
      </c>
      <c r="E249" t="e">
        <f ca="1"/>
        <v>#NAME?</v>
      </c>
      <c r="F249" t="e">
        <f ca="1"/>
        <v>#NAME?</v>
      </c>
      <c r="G249" t="e">
        <f ca="1"/>
        <v>#NAME?</v>
      </c>
      <c r="H249" t="e">
        <f ca="1"/>
        <v>#NAME?</v>
      </c>
      <c r="I249" t="e">
        <f ca="1"/>
        <v>#NAME?</v>
      </c>
      <c r="J249" t="e">
        <f ca="1"/>
        <v>#NAME?</v>
      </c>
      <c r="K249" t="e">
        <f ca="1"/>
        <v>#NAME?</v>
      </c>
      <c r="L249" t="e">
        <f ca="1"/>
        <v>#NAME?</v>
      </c>
      <c r="M249" t="e">
        <f ca="1"/>
        <v>#NAME?</v>
      </c>
      <c r="N249" t="e">
        <f ca="1"/>
        <v>#NAME?</v>
      </c>
      <c r="O249" t="e">
        <f ca="1"/>
        <v>#NAME?</v>
      </c>
      <c r="P249" t="e">
        <f ca="1"/>
        <v>#NAME?</v>
      </c>
      <c r="Q249" t="e">
        <f ca="1"/>
        <v>#NAME?</v>
      </c>
      <c r="R249" t="e">
        <f ca="1"/>
        <v>#NAME?</v>
      </c>
      <c r="S249" t="e">
        <f ca="1"/>
        <v>#NAME?</v>
      </c>
      <c r="T249" t="e">
        <f ca="1"/>
        <v>#NAME?</v>
      </c>
      <c r="U249" t="e">
        <f ca="1"/>
        <v>#NAME?</v>
      </c>
      <c r="V249" s="5" t="e">
        <f ca="1"/>
        <v>#NAME?</v>
      </c>
      <c r="W249" t="e">
        <f ca="1"/>
        <v>#NAME?</v>
      </c>
      <c r="X249" t="e">
        <f ca="1"/>
        <v>#NAME?</v>
      </c>
      <c r="Y249" t="e">
        <f ca="1"/>
        <v>#NAME?</v>
      </c>
      <c r="Z249" t="e">
        <f ca="1"/>
        <v>#NAME?</v>
      </c>
      <c r="AA249" t="e">
        <f ca="1"/>
        <v>#NAME?</v>
      </c>
      <c r="AB249" t="e">
        <f ca="1"/>
        <v>#NAME?</v>
      </c>
    </row>
    <row r="250" spans="1:28" x14ac:dyDescent="0.2">
      <c r="A250" t="e">
        <f ca="1"/>
        <v>#NAME?</v>
      </c>
      <c r="B250" t="e">
        <f ca="1"/>
        <v>#NAME?</v>
      </c>
      <c r="C250" t="e">
        <f ca="1"/>
        <v>#NAME?</v>
      </c>
      <c r="D250" t="e">
        <f ca="1"/>
        <v>#NAME?</v>
      </c>
      <c r="E250" t="e">
        <f ca="1"/>
        <v>#NAME?</v>
      </c>
      <c r="F250" t="e">
        <f ca="1"/>
        <v>#NAME?</v>
      </c>
      <c r="G250" t="e">
        <f ca="1"/>
        <v>#NAME?</v>
      </c>
      <c r="H250" t="e">
        <f ca="1"/>
        <v>#NAME?</v>
      </c>
      <c r="I250" t="e">
        <f ca="1"/>
        <v>#NAME?</v>
      </c>
      <c r="J250" t="e">
        <f ca="1"/>
        <v>#NAME?</v>
      </c>
      <c r="K250" t="e">
        <f ca="1"/>
        <v>#NAME?</v>
      </c>
      <c r="L250" t="e">
        <f ca="1"/>
        <v>#NAME?</v>
      </c>
      <c r="M250" t="e">
        <f ca="1"/>
        <v>#NAME?</v>
      </c>
      <c r="N250" t="e">
        <f ca="1"/>
        <v>#NAME?</v>
      </c>
      <c r="O250" t="e">
        <f ca="1"/>
        <v>#NAME?</v>
      </c>
      <c r="P250" t="e">
        <f ca="1"/>
        <v>#NAME?</v>
      </c>
      <c r="Q250" t="e">
        <f ca="1"/>
        <v>#NAME?</v>
      </c>
      <c r="R250" t="e">
        <f ca="1"/>
        <v>#NAME?</v>
      </c>
      <c r="S250" t="e">
        <f ca="1"/>
        <v>#NAME?</v>
      </c>
      <c r="T250" t="e">
        <f ca="1"/>
        <v>#NAME?</v>
      </c>
      <c r="U250" t="e">
        <f ca="1"/>
        <v>#NAME?</v>
      </c>
      <c r="V250" s="5" t="e">
        <f ca="1"/>
        <v>#NAME?</v>
      </c>
      <c r="W250" t="e">
        <f ca="1"/>
        <v>#NAME?</v>
      </c>
      <c r="X250" t="e">
        <f ca="1"/>
        <v>#NAME?</v>
      </c>
      <c r="Y250" t="e">
        <f ca="1"/>
        <v>#NAME?</v>
      </c>
      <c r="Z250" t="e">
        <f ca="1"/>
        <v>#NAME?</v>
      </c>
      <c r="AA250" t="e">
        <f ca="1"/>
        <v>#NAME?</v>
      </c>
      <c r="AB250" t="e">
        <f ca="1"/>
        <v>#NAME?</v>
      </c>
    </row>
    <row r="251" spans="1:28" x14ac:dyDescent="0.2">
      <c r="A251" t="e">
        <f ca="1"/>
        <v>#NAME?</v>
      </c>
      <c r="B251" t="e">
        <f ca="1"/>
        <v>#NAME?</v>
      </c>
      <c r="C251" t="e">
        <f ca="1"/>
        <v>#NAME?</v>
      </c>
      <c r="D251" t="e">
        <f ca="1"/>
        <v>#NAME?</v>
      </c>
      <c r="E251" t="e">
        <f ca="1"/>
        <v>#NAME?</v>
      </c>
      <c r="F251" t="e">
        <f ca="1"/>
        <v>#NAME?</v>
      </c>
      <c r="G251" t="e">
        <f ca="1"/>
        <v>#NAME?</v>
      </c>
      <c r="H251" t="e">
        <f ca="1"/>
        <v>#NAME?</v>
      </c>
      <c r="I251" t="e">
        <f ca="1"/>
        <v>#NAME?</v>
      </c>
      <c r="J251" t="e">
        <f ca="1"/>
        <v>#NAME?</v>
      </c>
      <c r="K251" t="e">
        <f ca="1"/>
        <v>#NAME?</v>
      </c>
      <c r="L251" t="e">
        <f ca="1"/>
        <v>#NAME?</v>
      </c>
      <c r="M251" t="e">
        <f ca="1"/>
        <v>#NAME?</v>
      </c>
      <c r="N251" t="e">
        <f ca="1"/>
        <v>#NAME?</v>
      </c>
      <c r="O251" t="e">
        <f ca="1"/>
        <v>#NAME?</v>
      </c>
      <c r="P251" t="e">
        <f ca="1"/>
        <v>#NAME?</v>
      </c>
      <c r="Q251" t="e">
        <f ca="1"/>
        <v>#NAME?</v>
      </c>
      <c r="R251" t="e">
        <f ca="1"/>
        <v>#NAME?</v>
      </c>
      <c r="S251" t="e">
        <f ca="1"/>
        <v>#NAME?</v>
      </c>
      <c r="T251" t="e">
        <f ca="1"/>
        <v>#NAME?</v>
      </c>
      <c r="U251" t="e">
        <f ca="1"/>
        <v>#NAME?</v>
      </c>
      <c r="V251" s="5" t="e">
        <f ca="1"/>
        <v>#NAME?</v>
      </c>
      <c r="W251" t="e">
        <f ca="1"/>
        <v>#NAME?</v>
      </c>
      <c r="X251" t="e">
        <f ca="1"/>
        <v>#NAME?</v>
      </c>
      <c r="Y251" t="e">
        <f ca="1"/>
        <v>#NAME?</v>
      </c>
      <c r="Z251" t="e">
        <f ca="1"/>
        <v>#NAME?</v>
      </c>
      <c r="AA251" t="e">
        <f ca="1"/>
        <v>#NAME?</v>
      </c>
      <c r="AB251" t="e">
        <f ca="1"/>
        <v>#NAME?</v>
      </c>
    </row>
    <row r="252" spans="1:28" x14ac:dyDescent="0.2">
      <c r="A252" t="e">
        <f ca="1"/>
        <v>#NAME?</v>
      </c>
      <c r="B252" t="e">
        <f ca="1"/>
        <v>#NAME?</v>
      </c>
      <c r="C252" t="e">
        <f ca="1"/>
        <v>#NAME?</v>
      </c>
      <c r="D252" t="e">
        <f ca="1"/>
        <v>#NAME?</v>
      </c>
      <c r="E252" t="e">
        <f ca="1"/>
        <v>#NAME?</v>
      </c>
      <c r="F252" t="e">
        <f ca="1"/>
        <v>#NAME?</v>
      </c>
      <c r="G252" t="e">
        <f ca="1"/>
        <v>#NAME?</v>
      </c>
      <c r="H252" t="e">
        <f ca="1"/>
        <v>#NAME?</v>
      </c>
      <c r="I252" t="e">
        <f ca="1"/>
        <v>#NAME?</v>
      </c>
      <c r="J252" t="e">
        <f ca="1"/>
        <v>#NAME?</v>
      </c>
      <c r="K252" t="e">
        <f ca="1"/>
        <v>#NAME?</v>
      </c>
      <c r="L252" t="e">
        <f ca="1"/>
        <v>#NAME?</v>
      </c>
      <c r="M252" t="e">
        <f ca="1"/>
        <v>#NAME?</v>
      </c>
      <c r="N252" t="e">
        <f ca="1"/>
        <v>#NAME?</v>
      </c>
      <c r="O252" t="e">
        <f ca="1"/>
        <v>#NAME?</v>
      </c>
      <c r="P252" t="e">
        <f ca="1"/>
        <v>#NAME?</v>
      </c>
      <c r="Q252" t="e">
        <f ca="1"/>
        <v>#NAME?</v>
      </c>
      <c r="R252" t="e">
        <f ca="1"/>
        <v>#NAME?</v>
      </c>
      <c r="S252" t="e">
        <f ca="1"/>
        <v>#NAME?</v>
      </c>
      <c r="T252" t="e">
        <f ca="1"/>
        <v>#NAME?</v>
      </c>
      <c r="U252" t="e">
        <f ca="1"/>
        <v>#NAME?</v>
      </c>
      <c r="V252" s="5" t="e">
        <f ca="1"/>
        <v>#NAME?</v>
      </c>
      <c r="W252" t="e">
        <f ca="1"/>
        <v>#NAME?</v>
      </c>
      <c r="X252" t="e">
        <f ca="1"/>
        <v>#NAME?</v>
      </c>
      <c r="Y252" t="e">
        <f ca="1"/>
        <v>#NAME?</v>
      </c>
      <c r="Z252" t="e">
        <f ca="1"/>
        <v>#NAME?</v>
      </c>
      <c r="AA252" t="e">
        <f ca="1"/>
        <v>#NAME?</v>
      </c>
      <c r="AB252" t="e">
        <f ca="1"/>
        <v>#NAME?</v>
      </c>
    </row>
    <row r="253" spans="1:28" x14ac:dyDescent="0.2">
      <c r="A253" t="e">
        <f ca="1"/>
        <v>#NAME?</v>
      </c>
      <c r="B253" t="e">
        <f ca="1"/>
        <v>#NAME?</v>
      </c>
      <c r="C253" t="e">
        <f ca="1"/>
        <v>#NAME?</v>
      </c>
      <c r="D253" t="e">
        <f ca="1"/>
        <v>#NAME?</v>
      </c>
      <c r="E253" t="e">
        <f ca="1"/>
        <v>#NAME?</v>
      </c>
      <c r="F253" t="e">
        <f ca="1"/>
        <v>#NAME?</v>
      </c>
      <c r="G253" t="e">
        <f ca="1"/>
        <v>#NAME?</v>
      </c>
      <c r="H253" t="e">
        <f ca="1"/>
        <v>#NAME?</v>
      </c>
      <c r="I253" t="e">
        <f ca="1"/>
        <v>#NAME?</v>
      </c>
      <c r="J253" t="e">
        <f ca="1"/>
        <v>#NAME?</v>
      </c>
      <c r="K253" t="e">
        <f ca="1"/>
        <v>#NAME?</v>
      </c>
      <c r="L253" t="e">
        <f ca="1"/>
        <v>#NAME?</v>
      </c>
      <c r="M253" t="e">
        <f ca="1"/>
        <v>#NAME?</v>
      </c>
      <c r="N253" t="e">
        <f ca="1"/>
        <v>#NAME?</v>
      </c>
      <c r="O253" t="e">
        <f ca="1"/>
        <v>#NAME?</v>
      </c>
      <c r="P253" t="e">
        <f ca="1"/>
        <v>#NAME?</v>
      </c>
      <c r="Q253" t="e">
        <f ca="1"/>
        <v>#NAME?</v>
      </c>
      <c r="R253" t="e">
        <f ca="1"/>
        <v>#NAME?</v>
      </c>
      <c r="S253" t="e">
        <f ca="1"/>
        <v>#NAME?</v>
      </c>
      <c r="T253" t="e">
        <f ca="1"/>
        <v>#NAME?</v>
      </c>
      <c r="U253" t="e">
        <f ca="1"/>
        <v>#NAME?</v>
      </c>
      <c r="V253" s="5" t="e">
        <f ca="1"/>
        <v>#NAME?</v>
      </c>
      <c r="W253" t="e">
        <f ca="1"/>
        <v>#NAME?</v>
      </c>
      <c r="X253" t="e">
        <f ca="1"/>
        <v>#NAME?</v>
      </c>
      <c r="Y253" t="e">
        <f ca="1"/>
        <v>#NAME?</v>
      </c>
      <c r="Z253" t="e">
        <f ca="1"/>
        <v>#NAME?</v>
      </c>
      <c r="AA253" t="e">
        <f ca="1"/>
        <v>#NAME?</v>
      </c>
      <c r="AB253" t="e">
        <f ca="1"/>
        <v>#NAME?</v>
      </c>
    </row>
    <row r="254" spans="1:28" x14ac:dyDescent="0.2">
      <c r="A254" t="e">
        <f ca="1"/>
        <v>#NAME?</v>
      </c>
      <c r="B254" t="e">
        <f ca="1"/>
        <v>#NAME?</v>
      </c>
      <c r="C254" t="e">
        <f ca="1"/>
        <v>#NAME?</v>
      </c>
      <c r="D254" t="e">
        <f ca="1"/>
        <v>#NAME?</v>
      </c>
      <c r="E254" t="e">
        <f ca="1"/>
        <v>#NAME?</v>
      </c>
      <c r="F254" t="e">
        <f ca="1"/>
        <v>#NAME?</v>
      </c>
      <c r="G254" t="e">
        <f ca="1"/>
        <v>#NAME?</v>
      </c>
      <c r="H254" t="e">
        <f ca="1"/>
        <v>#NAME?</v>
      </c>
      <c r="I254" t="e">
        <f ca="1"/>
        <v>#NAME?</v>
      </c>
      <c r="J254" t="e">
        <f ca="1"/>
        <v>#NAME?</v>
      </c>
      <c r="K254" t="e">
        <f ca="1"/>
        <v>#NAME?</v>
      </c>
      <c r="L254" t="e">
        <f ca="1"/>
        <v>#NAME?</v>
      </c>
      <c r="M254" t="e">
        <f ca="1"/>
        <v>#NAME?</v>
      </c>
      <c r="N254" t="e">
        <f ca="1"/>
        <v>#NAME?</v>
      </c>
      <c r="O254" t="e">
        <f ca="1"/>
        <v>#NAME?</v>
      </c>
      <c r="P254" t="e">
        <f ca="1"/>
        <v>#NAME?</v>
      </c>
      <c r="Q254" t="e">
        <f ca="1"/>
        <v>#NAME?</v>
      </c>
      <c r="R254" t="e">
        <f ca="1"/>
        <v>#NAME?</v>
      </c>
      <c r="S254" t="e">
        <f ca="1"/>
        <v>#NAME?</v>
      </c>
      <c r="T254" t="e">
        <f ca="1"/>
        <v>#NAME?</v>
      </c>
      <c r="U254" t="e">
        <f ca="1"/>
        <v>#NAME?</v>
      </c>
      <c r="V254" s="5" t="e">
        <f ca="1"/>
        <v>#NAME?</v>
      </c>
      <c r="W254" t="e">
        <f ca="1"/>
        <v>#NAME?</v>
      </c>
      <c r="X254" t="e">
        <f ca="1"/>
        <v>#NAME?</v>
      </c>
      <c r="Y254" t="e">
        <f ca="1"/>
        <v>#NAME?</v>
      </c>
      <c r="Z254" t="e">
        <f ca="1"/>
        <v>#NAME?</v>
      </c>
      <c r="AA254" t="e">
        <f ca="1"/>
        <v>#NAME?</v>
      </c>
      <c r="AB254" t="e">
        <f ca="1"/>
        <v>#NAME?</v>
      </c>
    </row>
    <row r="255" spans="1:28" x14ac:dyDescent="0.2">
      <c r="A255" t="e">
        <f ca="1"/>
        <v>#NAME?</v>
      </c>
      <c r="B255" t="e">
        <f ca="1"/>
        <v>#NAME?</v>
      </c>
      <c r="C255" t="e">
        <f ca="1"/>
        <v>#NAME?</v>
      </c>
      <c r="D255" t="e">
        <f ca="1"/>
        <v>#NAME?</v>
      </c>
      <c r="E255" t="e">
        <f ca="1"/>
        <v>#NAME?</v>
      </c>
      <c r="F255" t="e">
        <f ca="1"/>
        <v>#NAME?</v>
      </c>
      <c r="G255" t="e">
        <f ca="1"/>
        <v>#NAME?</v>
      </c>
      <c r="H255" t="e">
        <f ca="1"/>
        <v>#NAME?</v>
      </c>
      <c r="I255" t="e">
        <f ca="1"/>
        <v>#NAME?</v>
      </c>
      <c r="J255" t="e">
        <f ca="1"/>
        <v>#NAME?</v>
      </c>
      <c r="K255" t="e">
        <f ca="1"/>
        <v>#NAME?</v>
      </c>
      <c r="L255" t="e">
        <f ca="1"/>
        <v>#NAME?</v>
      </c>
      <c r="M255" t="e">
        <f ca="1"/>
        <v>#NAME?</v>
      </c>
      <c r="N255" t="e">
        <f ca="1"/>
        <v>#NAME?</v>
      </c>
      <c r="O255" t="e">
        <f ca="1"/>
        <v>#NAME?</v>
      </c>
      <c r="P255" t="e">
        <f ca="1"/>
        <v>#NAME?</v>
      </c>
      <c r="Q255" t="e">
        <f ca="1"/>
        <v>#NAME?</v>
      </c>
      <c r="R255" t="e">
        <f ca="1"/>
        <v>#NAME?</v>
      </c>
      <c r="S255" t="e">
        <f ca="1"/>
        <v>#NAME?</v>
      </c>
      <c r="T255" t="e">
        <f ca="1"/>
        <v>#NAME?</v>
      </c>
      <c r="U255" t="e">
        <f ca="1"/>
        <v>#NAME?</v>
      </c>
      <c r="V255" s="5" t="e">
        <f ca="1"/>
        <v>#NAME?</v>
      </c>
      <c r="W255" t="e">
        <f ca="1"/>
        <v>#NAME?</v>
      </c>
      <c r="X255" t="e">
        <f ca="1"/>
        <v>#NAME?</v>
      </c>
      <c r="Y255" t="e">
        <f ca="1"/>
        <v>#NAME?</v>
      </c>
      <c r="Z255" t="e">
        <f ca="1"/>
        <v>#NAME?</v>
      </c>
      <c r="AA255" t="e">
        <f ca="1"/>
        <v>#NAME?</v>
      </c>
      <c r="AB255" t="e">
        <f ca="1"/>
        <v>#NAME?</v>
      </c>
    </row>
    <row r="256" spans="1:28" x14ac:dyDescent="0.2">
      <c r="A256" t="e">
        <f ca="1"/>
        <v>#NAME?</v>
      </c>
      <c r="B256" t="e">
        <f ca="1"/>
        <v>#NAME?</v>
      </c>
      <c r="C256" t="e">
        <f ca="1"/>
        <v>#NAME?</v>
      </c>
      <c r="D256" t="e">
        <f ca="1"/>
        <v>#NAME?</v>
      </c>
      <c r="E256" t="e">
        <f ca="1"/>
        <v>#NAME?</v>
      </c>
      <c r="F256" t="e">
        <f ca="1"/>
        <v>#NAME?</v>
      </c>
      <c r="G256" t="e">
        <f ca="1"/>
        <v>#NAME?</v>
      </c>
      <c r="H256" t="e">
        <f ca="1"/>
        <v>#NAME?</v>
      </c>
      <c r="I256" t="e">
        <f ca="1"/>
        <v>#NAME?</v>
      </c>
      <c r="J256" t="e">
        <f ca="1"/>
        <v>#NAME?</v>
      </c>
      <c r="K256" t="e">
        <f ca="1"/>
        <v>#NAME?</v>
      </c>
      <c r="L256" t="e">
        <f ca="1"/>
        <v>#NAME?</v>
      </c>
      <c r="M256" t="e">
        <f ca="1"/>
        <v>#NAME?</v>
      </c>
      <c r="N256" t="e">
        <f ca="1"/>
        <v>#NAME?</v>
      </c>
      <c r="O256" t="e">
        <f ca="1"/>
        <v>#NAME?</v>
      </c>
      <c r="P256" t="e">
        <f ca="1"/>
        <v>#NAME?</v>
      </c>
      <c r="Q256" t="e">
        <f ca="1"/>
        <v>#NAME?</v>
      </c>
      <c r="R256" t="e">
        <f ca="1"/>
        <v>#NAME?</v>
      </c>
      <c r="S256" t="e">
        <f ca="1"/>
        <v>#NAME?</v>
      </c>
      <c r="T256" t="e">
        <f ca="1"/>
        <v>#NAME?</v>
      </c>
      <c r="U256" t="e">
        <f ca="1"/>
        <v>#NAME?</v>
      </c>
      <c r="V256" s="5" t="e">
        <f ca="1"/>
        <v>#NAME?</v>
      </c>
      <c r="W256" t="e">
        <f ca="1"/>
        <v>#NAME?</v>
      </c>
      <c r="X256" t="e">
        <f ca="1"/>
        <v>#NAME?</v>
      </c>
      <c r="Y256" t="e">
        <f ca="1"/>
        <v>#NAME?</v>
      </c>
      <c r="Z256" t="e">
        <f ca="1"/>
        <v>#NAME?</v>
      </c>
      <c r="AA256" t="e">
        <f ca="1"/>
        <v>#NAME?</v>
      </c>
      <c r="AB256" t="e">
        <f ca="1"/>
        <v>#NAME?</v>
      </c>
    </row>
    <row r="257" spans="1:28" x14ac:dyDescent="0.2">
      <c r="A257" t="e">
        <f ca="1"/>
        <v>#NAME?</v>
      </c>
      <c r="B257" t="e">
        <f ca="1"/>
        <v>#NAME?</v>
      </c>
      <c r="C257" t="e">
        <f ca="1"/>
        <v>#NAME?</v>
      </c>
      <c r="D257" t="e">
        <f ca="1"/>
        <v>#NAME?</v>
      </c>
      <c r="E257" t="e">
        <f ca="1"/>
        <v>#NAME?</v>
      </c>
      <c r="F257" t="e">
        <f ca="1"/>
        <v>#NAME?</v>
      </c>
      <c r="G257" t="e">
        <f ca="1"/>
        <v>#NAME?</v>
      </c>
      <c r="H257" t="e">
        <f ca="1"/>
        <v>#NAME?</v>
      </c>
      <c r="I257" t="e">
        <f ca="1"/>
        <v>#NAME?</v>
      </c>
      <c r="J257" t="e">
        <f ca="1"/>
        <v>#NAME?</v>
      </c>
      <c r="K257" t="e">
        <f ca="1"/>
        <v>#NAME?</v>
      </c>
      <c r="L257" t="e">
        <f ca="1"/>
        <v>#NAME?</v>
      </c>
      <c r="M257" t="e">
        <f ca="1"/>
        <v>#NAME?</v>
      </c>
      <c r="N257" t="e">
        <f ca="1"/>
        <v>#NAME?</v>
      </c>
      <c r="O257" t="e">
        <f ca="1"/>
        <v>#NAME?</v>
      </c>
      <c r="P257" t="e">
        <f ca="1"/>
        <v>#NAME?</v>
      </c>
      <c r="Q257" t="e">
        <f ca="1"/>
        <v>#NAME?</v>
      </c>
      <c r="R257" t="e">
        <f ca="1"/>
        <v>#NAME?</v>
      </c>
      <c r="S257" t="e">
        <f ca="1"/>
        <v>#NAME?</v>
      </c>
      <c r="T257" t="e">
        <f ca="1"/>
        <v>#NAME?</v>
      </c>
      <c r="U257" t="e">
        <f ca="1"/>
        <v>#NAME?</v>
      </c>
      <c r="V257" s="5" t="e">
        <f ca="1"/>
        <v>#NAME?</v>
      </c>
      <c r="W257" t="e">
        <f ca="1"/>
        <v>#NAME?</v>
      </c>
      <c r="X257" t="e">
        <f ca="1"/>
        <v>#NAME?</v>
      </c>
      <c r="Y257" t="e">
        <f ca="1"/>
        <v>#NAME?</v>
      </c>
      <c r="Z257" t="e">
        <f ca="1"/>
        <v>#NAME?</v>
      </c>
      <c r="AA257" t="e">
        <f ca="1"/>
        <v>#NAME?</v>
      </c>
      <c r="AB257" t="e">
        <f ca="1"/>
        <v>#NAME?</v>
      </c>
    </row>
    <row r="258" spans="1:28" x14ac:dyDescent="0.2">
      <c r="A258" t="e">
        <f ca="1"/>
        <v>#NAME?</v>
      </c>
      <c r="B258" t="e">
        <f ca="1"/>
        <v>#NAME?</v>
      </c>
      <c r="C258" t="e">
        <f ca="1"/>
        <v>#NAME?</v>
      </c>
      <c r="D258" t="e">
        <f ca="1"/>
        <v>#NAME?</v>
      </c>
      <c r="E258" t="e">
        <f ca="1"/>
        <v>#NAME?</v>
      </c>
      <c r="F258" t="e">
        <f ca="1"/>
        <v>#NAME?</v>
      </c>
      <c r="G258" t="e">
        <f ca="1"/>
        <v>#NAME?</v>
      </c>
      <c r="H258" t="e">
        <f ca="1"/>
        <v>#NAME?</v>
      </c>
      <c r="I258" t="e">
        <f ca="1"/>
        <v>#NAME?</v>
      </c>
      <c r="J258" t="e">
        <f ca="1"/>
        <v>#NAME?</v>
      </c>
      <c r="K258" t="e">
        <f ca="1"/>
        <v>#NAME?</v>
      </c>
      <c r="L258" t="e">
        <f ca="1"/>
        <v>#NAME?</v>
      </c>
      <c r="M258" t="e">
        <f ca="1"/>
        <v>#NAME?</v>
      </c>
      <c r="N258" t="e">
        <f ca="1"/>
        <v>#NAME?</v>
      </c>
      <c r="O258" t="e">
        <f ca="1"/>
        <v>#NAME?</v>
      </c>
      <c r="P258" t="e">
        <f ca="1"/>
        <v>#NAME?</v>
      </c>
      <c r="Q258" t="e">
        <f ca="1"/>
        <v>#NAME?</v>
      </c>
      <c r="R258" t="e">
        <f ca="1"/>
        <v>#NAME?</v>
      </c>
      <c r="S258" t="e">
        <f ca="1"/>
        <v>#NAME?</v>
      </c>
      <c r="T258" t="e">
        <f ca="1"/>
        <v>#NAME?</v>
      </c>
      <c r="U258" t="e">
        <f ca="1"/>
        <v>#NAME?</v>
      </c>
      <c r="V258" s="5" t="e">
        <f ca="1"/>
        <v>#NAME?</v>
      </c>
      <c r="W258" t="e">
        <f ca="1"/>
        <v>#NAME?</v>
      </c>
      <c r="X258" t="e">
        <f ca="1"/>
        <v>#NAME?</v>
      </c>
      <c r="Y258" t="e">
        <f ca="1"/>
        <v>#NAME?</v>
      </c>
      <c r="Z258" t="e">
        <f ca="1"/>
        <v>#NAME?</v>
      </c>
      <c r="AA258" t="e">
        <f ca="1"/>
        <v>#NAME?</v>
      </c>
      <c r="AB258" t="e">
        <f ca="1"/>
        <v>#NAME?</v>
      </c>
    </row>
    <row r="259" spans="1:28" x14ac:dyDescent="0.2">
      <c r="A259" t="e">
        <f ca="1"/>
        <v>#NAME?</v>
      </c>
      <c r="B259" t="e">
        <f ca="1"/>
        <v>#NAME?</v>
      </c>
      <c r="C259" t="e">
        <f ca="1"/>
        <v>#NAME?</v>
      </c>
      <c r="D259" t="e">
        <f ca="1"/>
        <v>#NAME?</v>
      </c>
      <c r="E259" t="e">
        <f ca="1"/>
        <v>#NAME?</v>
      </c>
      <c r="F259" t="e">
        <f ca="1"/>
        <v>#NAME?</v>
      </c>
      <c r="G259" t="e">
        <f ca="1"/>
        <v>#NAME?</v>
      </c>
      <c r="H259" t="e">
        <f ca="1"/>
        <v>#NAME?</v>
      </c>
      <c r="I259" t="e">
        <f ca="1"/>
        <v>#NAME?</v>
      </c>
      <c r="J259" t="e">
        <f ca="1"/>
        <v>#NAME?</v>
      </c>
      <c r="K259" t="e">
        <f ca="1"/>
        <v>#NAME?</v>
      </c>
      <c r="L259" t="e">
        <f ca="1"/>
        <v>#NAME?</v>
      </c>
      <c r="M259" t="e">
        <f ca="1"/>
        <v>#NAME?</v>
      </c>
      <c r="N259" t="e">
        <f ca="1"/>
        <v>#NAME?</v>
      </c>
      <c r="O259" t="e">
        <f ca="1"/>
        <v>#NAME?</v>
      </c>
      <c r="P259" t="e">
        <f ca="1"/>
        <v>#NAME?</v>
      </c>
      <c r="Q259" t="e">
        <f ca="1"/>
        <v>#NAME?</v>
      </c>
      <c r="R259" t="e">
        <f ca="1"/>
        <v>#NAME?</v>
      </c>
      <c r="S259" t="e">
        <f ca="1"/>
        <v>#NAME?</v>
      </c>
      <c r="T259" t="e">
        <f ca="1"/>
        <v>#NAME?</v>
      </c>
      <c r="U259" t="e">
        <f ca="1"/>
        <v>#NAME?</v>
      </c>
      <c r="V259" s="5" t="e">
        <f ca="1"/>
        <v>#NAME?</v>
      </c>
      <c r="W259" t="e">
        <f ca="1"/>
        <v>#NAME?</v>
      </c>
      <c r="X259" t="e">
        <f ca="1"/>
        <v>#NAME?</v>
      </c>
      <c r="Y259" t="e">
        <f ca="1"/>
        <v>#NAME?</v>
      </c>
      <c r="Z259" t="e">
        <f ca="1"/>
        <v>#NAME?</v>
      </c>
      <c r="AA259" t="e">
        <f ca="1"/>
        <v>#NAME?</v>
      </c>
      <c r="AB259" t="e">
        <f ca="1"/>
        <v>#NAME?</v>
      </c>
    </row>
    <row r="260" spans="1:28" x14ac:dyDescent="0.2">
      <c r="A260" t="e">
        <f ca="1"/>
        <v>#NAME?</v>
      </c>
      <c r="B260" t="e">
        <f ca="1"/>
        <v>#NAME?</v>
      </c>
      <c r="C260" t="e">
        <f ca="1"/>
        <v>#NAME?</v>
      </c>
      <c r="D260" t="e">
        <f ca="1"/>
        <v>#NAME?</v>
      </c>
      <c r="E260" t="e">
        <f ca="1"/>
        <v>#NAME?</v>
      </c>
      <c r="F260" t="e">
        <f ca="1"/>
        <v>#NAME?</v>
      </c>
      <c r="G260" t="e">
        <f ca="1"/>
        <v>#NAME?</v>
      </c>
      <c r="H260" t="e">
        <f ca="1"/>
        <v>#NAME?</v>
      </c>
      <c r="I260" t="e">
        <f ca="1"/>
        <v>#NAME?</v>
      </c>
      <c r="J260" t="e">
        <f ca="1"/>
        <v>#NAME?</v>
      </c>
      <c r="K260" t="e">
        <f ca="1"/>
        <v>#NAME?</v>
      </c>
      <c r="L260" t="e">
        <f ca="1"/>
        <v>#NAME?</v>
      </c>
      <c r="M260" t="e">
        <f ca="1"/>
        <v>#NAME?</v>
      </c>
      <c r="N260" t="e">
        <f ca="1"/>
        <v>#NAME?</v>
      </c>
      <c r="O260" t="e">
        <f ca="1"/>
        <v>#NAME?</v>
      </c>
      <c r="P260" t="e">
        <f ca="1"/>
        <v>#NAME?</v>
      </c>
      <c r="Q260" t="e">
        <f ca="1"/>
        <v>#NAME?</v>
      </c>
      <c r="R260" t="e">
        <f ca="1"/>
        <v>#NAME?</v>
      </c>
      <c r="S260" t="e">
        <f ca="1"/>
        <v>#NAME?</v>
      </c>
      <c r="T260" t="e">
        <f ca="1"/>
        <v>#NAME?</v>
      </c>
      <c r="U260" t="e">
        <f ca="1"/>
        <v>#NAME?</v>
      </c>
      <c r="V260" s="5" t="e">
        <f ca="1"/>
        <v>#NAME?</v>
      </c>
      <c r="W260" t="e">
        <f ca="1"/>
        <v>#NAME?</v>
      </c>
      <c r="X260" t="e">
        <f ca="1"/>
        <v>#NAME?</v>
      </c>
      <c r="Y260" t="e">
        <f ca="1"/>
        <v>#NAME?</v>
      </c>
      <c r="Z260" t="e">
        <f ca="1"/>
        <v>#NAME?</v>
      </c>
      <c r="AA260" t="e">
        <f ca="1"/>
        <v>#NAME?</v>
      </c>
      <c r="AB260" t="e">
        <f ca="1"/>
        <v>#NAME?</v>
      </c>
    </row>
    <row r="261" spans="1:28" x14ac:dyDescent="0.2">
      <c r="A261" t="e">
        <f ca="1"/>
        <v>#NAME?</v>
      </c>
      <c r="B261" t="e">
        <f ca="1"/>
        <v>#NAME?</v>
      </c>
      <c r="C261" t="e">
        <f ca="1"/>
        <v>#NAME?</v>
      </c>
      <c r="D261" t="e">
        <f ca="1"/>
        <v>#NAME?</v>
      </c>
      <c r="E261" t="e">
        <f ca="1"/>
        <v>#NAME?</v>
      </c>
      <c r="F261" t="e">
        <f ca="1"/>
        <v>#NAME?</v>
      </c>
      <c r="G261" t="e">
        <f ca="1"/>
        <v>#NAME?</v>
      </c>
      <c r="H261" t="e">
        <f ca="1"/>
        <v>#NAME?</v>
      </c>
      <c r="I261" t="e">
        <f ca="1"/>
        <v>#NAME?</v>
      </c>
      <c r="J261" t="e">
        <f ca="1"/>
        <v>#NAME?</v>
      </c>
      <c r="K261" t="e">
        <f ca="1"/>
        <v>#NAME?</v>
      </c>
      <c r="L261" t="e">
        <f ca="1"/>
        <v>#NAME?</v>
      </c>
      <c r="M261" t="e">
        <f ca="1"/>
        <v>#NAME?</v>
      </c>
      <c r="N261" t="e">
        <f ca="1"/>
        <v>#NAME?</v>
      </c>
      <c r="O261" t="e">
        <f ca="1"/>
        <v>#NAME?</v>
      </c>
      <c r="P261" t="e">
        <f ca="1"/>
        <v>#NAME?</v>
      </c>
      <c r="Q261" t="e">
        <f ca="1"/>
        <v>#NAME?</v>
      </c>
      <c r="R261" t="e">
        <f ca="1"/>
        <v>#NAME?</v>
      </c>
      <c r="S261" t="e">
        <f ca="1"/>
        <v>#NAME?</v>
      </c>
      <c r="T261" t="e">
        <f ca="1"/>
        <v>#NAME?</v>
      </c>
      <c r="U261" t="e">
        <f ca="1"/>
        <v>#NAME?</v>
      </c>
      <c r="V261" s="5" t="e">
        <f ca="1"/>
        <v>#NAME?</v>
      </c>
      <c r="W261" t="e">
        <f ca="1"/>
        <v>#NAME?</v>
      </c>
      <c r="X261" t="e">
        <f ca="1"/>
        <v>#NAME?</v>
      </c>
      <c r="Y261" t="e">
        <f ca="1"/>
        <v>#NAME?</v>
      </c>
      <c r="Z261" t="e">
        <f ca="1"/>
        <v>#NAME?</v>
      </c>
      <c r="AA261" t="e">
        <f ca="1"/>
        <v>#NAME?</v>
      </c>
      <c r="AB261" t="e">
        <f ca="1"/>
        <v>#NAME?</v>
      </c>
    </row>
    <row r="262" spans="1:28" x14ac:dyDescent="0.2">
      <c r="A262" t="e">
        <f ca="1"/>
        <v>#NAME?</v>
      </c>
      <c r="B262" t="e">
        <f ca="1"/>
        <v>#NAME?</v>
      </c>
      <c r="C262" t="e">
        <f ca="1"/>
        <v>#NAME?</v>
      </c>
      <c r="D262" t="e">
        <f ca="1"/>
        <v>#NAME?</v>
      </c>
      <c r="E262" t="e">
        <f ca="1"/>
        <v>#NAME?</v>
      </c>
      <c r="F262" t="e">
        <f ca="1"/>
        <v>#NAME?</v>
      </c>
      <c r="G262" t="e">
        <f ca="1"/>
        <v>#NAME?</v>
      </c>
      <c r="H262" t="e">
        <f ca="1"/>
        <v>#NAME?</v>
      </c>
      <c r="I262" t="e">
        <f ca="1"/>
        <v>#NAME?</v>
      </c>
      <c r="J262" t="e">
        <f ca="1"/>
        <v>#NAME?</v>
      </c>
      <c r="K262" t="e">
        <f ca="1"/>
        <v>#NAME?</v>
      </c>
      <c r="L262" t="e">
        <f ca="1"/>
        <v>#NAME?</v>
      </c>
      <c r="M262" t="e">
        <f ca="1"/>
        <v>#NAME?</v>
      </c>
      <c r="N262" t="e">
        <f ca="1"/>
        <v>#NAME?</v>
      </c>
      <c r="O262" t="e">
        <f ca="1"/>
        <v>#NAME?</v>
      </c>
      <c r="P262" t="e">
        <f ca="1"/>
        <v>#NAME?</v>
      </c>
      <c r="Q262" t="e">
        <f ca="1"/>
        <v>#NAME?</v>
      </c>
      <c r="R262" t="e">
        <f ca="1"/>
        <v>#NAME?</v>
      </c>
      <c r="S262" t="e">
        <f ca="1"/>
        <v>#NAME?</v>
      </c>
      <c r="T262" t="e">
        <f ca="1"/>
        <v>#NAME?</v>
      </c>
      <c r="U262" t="e">
        <f ca="1"/>
        <v>#NAME?</v>
      </c>
      <c r="V262" s="5" t="e">
        <f ca="1"/>
        <v>#NAME?</v>
      </c>
      <c r="W262" t="e">
        <f ca="1"/>
        <v>#NAME?</v>
      </c>
      <c r="X262" t="e">
        <f ca="1"/>
        <v>#NAME?</v>
      </c>
      <c r="Y262" t="e">
        <f ca="1"/>
        <v>#NAME?</v>
      </c>
      <c r="Z262" t="e">
        <f ca="1"/>
        <v>#NAME?</v>
      </c>
      <c r="AA262" t="e">
        <f ca="1"/>
        <v>#NAME?</v>
      </c>
      <c r="AB262" t="e">
        <f ca="1"/>
        <v>#NAME?</v>
      </c>
    </row>
    <row r="263" spans="1:28" x14ac:dyDescent="0.2">
      <c r="A263" t="e">
        <f ca="1"/>
        <v>#NAME?</v>
      </c>
      <c r="B263" t="e">
        <f ca="1"/>
        <v>#NAME?</v>
      </c>
      <c r="C263" t="e">
        <f ca="1"/>
        <v>#NAME?</v>
      </c>
      <c r="D263" t="e">
        <f ca="1"/>
        <v>#NAME?</v>
      </c>
      <c r="E263" t="e">
        <f ca="1"/>
        <v>#NAME?</v>
      </c>
      <c r="F263" t="e">
        <f ca="1"/>
        <v>#NAME?</v>
      </c>
      <c r="G263" t="e">
        <f ca="1"/>
        <v>#NAME?</v>
      </c>
      <c r="H263" t="e">
        <f ca="1"/>
        <v>#NAME?</v>
      </c>
      <c r="I263" t="e">
        <f ca="1"/>
        <v>#NAME?</v>
      </c>
      <c r="J263" t="e">
        <f ca="1"/>
        <v>#NAME?</v>
      </c>
      <c r="K263" t="e">
        <f ca="1"/>
        <v>#NAME?</v>
      </c>
      <c r="L263" t="e">
        <f ca="1"/>
        <v>#NAME?</v>
      </c>
      <c r="M263" t="e">
        <f ca="1"/>
        <v>#NAME?</v>
      </c>
      <c r="N263" t="e">
        <f ca="1"/>
        <v>#NAME?</v>
      </c>
      <c r="O263" t="e">
        <f ca="1"/>
        <v>#NAME?</v>
      </c>
      <c r="P263" t="e">
        <f ca="1"/>
        <v>#NAME?</v>
      </c>
      <c r="Q263" t="e">
        <f ca="1"/>
        <v>#NAME?</v>
      </c>
      <c r="R263" t="e">
        <f ca="1"/>
        <v>#NAME?</v>
      </c>
      <c r="S263" t="e">
        <f ca="1"/>
        <v>#NAME?</v>
      </c>
      <c r="T263" t="e">
        <f ca="1"/>
        <v>#NAME?</v>
      </c>
      <c r="U263" t="e">
        <f ca="1"/>
        <v>#NAME?</v>
      </c>
      <c r="V263" s="5" t="e">
        <f ca="1"/>
        <v>#NAME?</v>
      </c>
      <c r="W263" t="e">
        <f ca="1"/>
        <v>#NAME?</v>
      </c>
      <c r="X263" t="e">
        <f ca="1"/>
        <v>#NAME?</v>
      </c>
      <c r="Y263" t="e">
        <f ca="1"/>
        <v>#NAME?</v>
      </c>
      <c r="Z263" t="e">
        <f ca="1"/>
        <v>#NAME?</v>
      </c>
      <c r="AA263" t="e">
        <f ca="1"/>
        <v>#NAME?</v>
      </c>
      <c r="AB263" t="e">
        <f ca="1"/>
        <v>#NAME?</v>
      </c>
    </row>
    <row r="264" spans="1:28" x14ac:dyDescent="0.2">
      <c r="A264" t="e">
        <f ca="1"/>
        <v>#NAME?</v>
      </c>
      <c r="B264" t="e">
        <f ca="1"/>
        <v>#NAME?</v>
      </c>
      <c r="C264" t="e">
        <f ca="1"/>
        <v>#NAME?</v>
      </c>
      <c r="D264" t="e">
        <f ca="1"/>
        <v>#NAME?</v>
      </c>
      <c r="E264" t="e">
        <f ca="1"/>
        <v>#NAME?</v>
      </c>
      <c r="F264" t="e">
        <f ca="1"/>
        <v>#NAME?</v>
      </c>
      <c r="G264" t="e">
        <f ca="1"/>
        <v>#NAME?</v>
      </c>
      <c r="H264" t="e">
        <f ca="1"/>
        <v>#NAME?</v>
      </c>
      <c r="I264" t="e">
        <f ca="1"/>
        <v>#NAME?</v>
      </c>
      <c r="J264" t="e">
        <f ca="1"/>
        <v>#NAME?</v>
      </c>
      <c r="K264" t="e">
        <f ca="1"/>
        <v>#NAME?</v>
      </c>
      <c r="L264" t="e">
        <f ca="1"/>
        <v>#NAME?</v>
      </c>
      <c r="M264" t="e">
        <f ca="1"/>
        <v>#NAME?</v>
      </c>
      <c r="N264" t="e">
        <f ca="1"/>
        <v>#NAME?</v>
      </c>
      <c r="O264" t="e">
        <f ca="1"/>
        <v>#NAME?</v>
      </c>
      <c r="P264" t="e">
        <f ca="1"/>
        <v>#NAME?</v>
      </c>
      <c r="Q264" t="e">
        <f ca="1"/>
        <v>#NAME?</v>
      </c>
      <c r="R264" t="e">
        <f ca="1"/>
        <v>#NAME?</v>
      </c>
      <c r="S264" t="e">
        <f ca="1"/>
        <v>#NAME?</v>
      </c>
      <c r="T264" t="e">
        <f ca="1"/>
        <v>#NAME?</v>
      </c>
      <c r="U264" t="e">
        <f ca="1"/>
        <v>#NAME?</v>
      </c>
      <c r="V264" s="5" t="e">
        <f ca="1"/>
        <v>#NAME?</v>
      </c>
      <c r="W264" t="e">
        <f ca="1"/>
        <v>#NAME?</v>
      </c>
      <c r="X264" t="e">
        <f ca="1"/>
        <v>#NAME?</v>
      </c>
      <c r="Y264" t="e">
        <f ca="1"/>
        <v>#NAME?</v>
      </c>
      <c r="Z264" t="e">
        <f ca="1"/>
        <v>#NAME?</v>
      </c>
      <c r="AA264" t="e">
        <f ca="1"/>
        <v>#NAME?</v>
      </c>
      <c r="AB264" t="e">
        <f ca="1"/>
        <v>#NAME?</v>
      </c>
    </row>
    <row r="265" spans="1:28" x14ac:dyDescent="0.2">
      <c r="A265" t="e">
        <f ca="1"/>
        <v>#NAME?</v>
      </c>
      <c r="B265" t="e">
        <f ca="1"/>
        <v>#NAME?</v>
      </c>
      <c r="C265" t="e">
        <f ca="1"/>
        <v>#NAME?</v>
      </c>
      <c r="D265" t="e">
        <f ca="1"/>
        <v>#NAME?</v>
      </c>
      <c r="E265" t="e">
        <f ca="1"/>
        <v>#NAME?</v>
      </c>
      <c r="F265" t="e">
        <f ca="1"/>
        <v>#NAME?</v>
      </c>
      <c r="G265" t="e">
        <f ca="1"/>
        <v>#NAME?</v>
      </c>
      <c r="H265" t="e">
        <f ca="1"/>
        <v>#NAME?</v>
      </c>
      <c r="I265" t="e">
        <f ca="1"/>
        <v>#NAME?</v>
      </c>
      <c r="J265" t="e">
        <f ca="1"/>
        <v>#NAME?</v>
      </c>
      <c r="K265" t="e">
        <f ca="1"/>
        <v>#NAME?</v>
      </c>
      <c r="L265" t="e">
        <f ca="1"/>
        <v>#NAME?</v>
      </c>
      <c r="M265" t="e">
        <f ca="1"/>
        <v>#NAME?</v>
      </c>
      <c r="N265" t="e">
        <f ca="1"/>
        <v>#NAME?</v>
      </c>
      <c r="O265" t="e">
        <f ca="1"/>
        <v>#NAME?</v>
      </c>
      <c r="P265" t="e">
        <f ca="1"/>
        <v>#NAME?</v>
      </c>
      <c r="Q265" t="e">
        <f ca="1"/>
        <v>#NAME?</v>
      </c>
      <c r="R265" t="e">
        <f ca="1"/>
        <v>#NAME?</v>
      </c>
      <c r="S265" t="e">
        <f ca="1"/>
        <v>#NAME?</v>
      </c>
      <c r="T265" t="e">
        <f ca="1"/>
        <v>#NAME?</v>
      </c>
      <c r="U265" t="e">
        <f ca="1"/>
        <v>#NAME?</v>
      </c>
      <c r="V265" s="5" t="e">
        <f ca="1"/>
        <v>#NAME?</v>
      </c>
      <c r="W265" t="e">
        <f ca="1"/>
        <v>#NAME?</v>
      </c>
      <c r="X265" t="e">
        <f ca="1"/>
        <v>#NAME?</v>
      </c>
      <c r="Y265" t="e">
        <f ca="1"/>
        <v>#NAME?</v>
      </c>
      <c r="Z265" t="e">
        <f ca="1"/>
        <v>#NAME?</v>
      </c>
      <c r="AA265" t="e">
        <f ca="1"/>
        <v>#NAME?</v>
      </c>
      <c r="AB265" t="e">
        <f ca="1"/>
        <v>#NAME?</v>
      </c>
    </row>
    <row r="266" spans="1:28" x14ac:dyDescent="0.2">
      <c r="A266" t="e">
        <f ca="1"/>
        <v>#NAME?</v>
      </c>
      <c r="B266" t="e">
        <f ca="1"/>
        <v>#NAME?</v>
      </c>
      <c r="C266" t="e">
        <f ca="1"/>
        <v>#NAME?</v>
      </c>
      <c r="D266" t="e">
        <f ca="1"/>
        <v>#NAME?</v>
      </c>
      <c r="E266" t="e">
        <f ca="1"/>
        <v>#NAME?</v>
      </c>
      <c r="F266" t="e">
        <f ca="1"/>
        <v>#NAME?</v>
      </c>
      <c r="G266" t="e">
        <f ca="1"/>
        <v>#NAME?</v>
      </c>
      <c r="H266" t="e">
        <f ca="1"/>
        <v>#NAME?</v>
      </c>
      <c r="I266" t="e">
        <f ca="1"/>
        <v>#NAME?</v>
      </c>
      <c r="J266" t="e">
        <f ca="1"/>
        <v>#NAME?</v>
      </c>
      <c r="K266" t="e">
        <f ca="1"/>
        <v>#NAME?</v>
      </c>
      <c r="L266" t="e">
        <f ca="1"/>
        <v>#NAME?</v>
      </c>
      <c r="M266" t="e">
        <f ca="1"/>
        <v>#NAME?</v>
      </c>
      <c r="N266" t="e">
        <f ca="1"/>
        <v>#NAME?</v>
      </c>
      <c r="O266" t="e">
        <f ca="1"/>
        <v>#NAME?</v>
      </c>
      <c r="P266" t="e">
        <f ca="1"/>
        <v>#NAME?</v>
      </c>
      <c r="Q266" t="e">
        <f ca="1"/>
        <v>#NAME?</v>
      </c>
      <c r="R266" t="e">
        <f ca="1"/>
        <v>#NAME?</v>
      </c>
      <c r="S266" t="e">
        <f ca="1"/>
        <v>#NAME?</v>
      </c>
      <c r="T266" t="e">
        <f ca="1"/>
        <v>#NAME?</v>
      </c>
      <c r="U266" t="e">
        <f ca="1"/>
        <v>#NAME?</v>
      </c>
      <c r="V266" s="5" t="e">
        <f ca="1"/>
        <v>#NAME?</v>
      </c>
      <c r="W266" t="e">
        <f ca="1"/>
        <v>#NAME?</v>
      </c>
      <c r="X266" t="e">
        <f ca="1"/>
        <v>#NAME?</v>
      </c>
      <c r="Y266" t="e">
        <f ca="1"/>
        <v>#NAME?</v>
      </c>
      <c r="Z266" t="e">
        <f ca="1"/>
        <v>#NAME?</v>
      </c>
      <c r="AA266" t="e">
        <f ca="1"/>
        <v>#NAME?</v>
      </c>
      <c r="AB266" t="e">
        <f ca="1"/>
        <v>#NAME?</v>
      </c>
    </row>
    <row r="267" spans="1:28" x14ac:dyDescent="0.2">
      <c r="A267" t="e">
        <f ca="1"/>
        <v>#NAME?</v>
      </c>
      <c r="B267" t="e">
        <f ca="1"/>
        <v>#NAME?</v>
      </c>
      <c r="C267" t="e">
        <f ca="1"/>
        <v>#NAME?</v>
      </c>
      <c r="D267" t="e">
        <f ca="1"/>
        <v>#NAME?</v>
      </c>
      <c r="E267" t="e">
        <f ca="1"/>
        <v>#NAME?</v>
      </c>
      <c r="F267" t="e">
        <f ca="1"/>
        <v>#NAME?</v>
      </c>
      <c r="G267" t="e">
        <f ca="1"/>
        <v>#NAME?</v>
      </c>
      <c r="H267" t="e">
        <f ca="1"/>
        <v>#NAME?</v>
      </c>
      <c r="I267" t="e">
        <f ca="1"/>
        <v>#NAME?</v>
      </c>
      <c r="J267" t="e">
        <f ca="1"/>
        <v>#NAME?</v>
      </c>
      <c r="K267" t="e">
        <f ca="1"/>
        <v>#NAME?</v>
      </c>
      <c r="L267" t="e">
        <f ca="1"/>
        <v>#NAME?</v>
      </c>
      <c r="M267" t="e">
        <f ca="1"/>
        <v>#NAME?</v>
      </c>
      <c r="N267" t="e">
        <f ca="1"/>
        <v>#NAME?</v>
      </c>
      <c r="O267" t="e">
        <f ca="1"/>
        <v>#NAME?</v>
      </c>
      <c r="P267" t="e">
        <f ca="1"/>
        <v>#NAME?</v>
      </c>
      <c r="Q267" t="e">
        <f ca="1"/>
        <v>#NAME?</v>
      </c>
      <c r="R267" t="e">
        <f ca="1"/>
        <v>#NAME?</v>
      </c>
      <c r="S267" t="e">
        <f ca="1"/>
        <v>#NAME?</v>
      </c>
      <c r="T267" t="e">
        <f ca="1"/>
        <v>#NAME?</v>
      </c>
      <c r="U267" t="e">
        <f ca="1"/>
        <v>#NAME?</v>
      </c>
      <c r="V267" s="5" t="e">
        <f ca="1"/>
        <v>#NAME?</v>
      </c>
      <c r="W267" t="e">
        <f ca="1"/>
        <v>#NAME?</v>
      </c>
      <c r="X267" t="e">
        <f ca="1"/>
        <v>#NAME?</v>
      </c>
      <c r="Y267" t="e">
        <f ca="1"/>
        <v>#NAME?</v>
      </c>
      <c r="Z267" t="e">
        <f ca="1"/>
        <v>#NAME?</v>
      </c>
      <c r="AA267" t="e">
        <f ca="1"/>
        <v>#NAME?</v>
      </c>
      <c r="AB267" t="e">
        <f ca="1"/>
        <v>#NAME?</v>
      </c>
    </row>
    <row r="268" spans="1:28" x14ac:dyDescent="0.2">
      <c r="A268" t="e">
        <f ca="1"/>
        <v>#NAME?</v>
      </c>
      <c r="B268" t="e">
        <f ca="1"/>
        <v>#NAME?</v>
      </c>
      <c r="C268" t="e">
        <f ca="1"/>
        <v>#NAME?</v>
      </c>
      <c r="D268" t="e">
        <f ca="1"/>
        <v>#NAME?</v>
      </c>
      <c r="E268" t="e">
        <f ca="1"/>
        <v>#NAME?</v>
      </c>
      <c r="F268" t="e">
        <f ca="1"/>
        <v>#NAME?</v>
      </c>
      <c r="G268" t="e">
        <f ca="1"/>
        <v>#NAME?</v>
      </c>
      <c r="H268" t="e">
        <f ca="1"/>
        <v>#NAME?</v>
      </c>
      <c r="I268" t="e">
        <f ca="1"/>
        <v>#NAME?</v>
      </c>
      <c r="J268" t="e">
        <f ca="1"/>
        <v>#NAME?</v>
      </c>
      <c r="K268" t="e">
        <f ca="1"/>
        <v>#NAME?</v>
      </c>
      <c r="L268" t="e">
        <f ca="1"/>
        <v>#NAME?</v>
      </c>
      <c r="M268" t="e">
        <f ca="1"/>
        <v>#NAME?</v>
      </c>
      <c r="N268" t="e">
        <f ca="1"/>
        <v>#NAME?</v>
      </c>
      <c r="O268" t="e">
        <f ca="1"/>
        <v>#NAME?</v>
      </c>
      <c r="P268" t="e">
        <f ca="1"/>
        <v>#NAME?</v>
      </c>
      <c r="Q268" t="e">
        <f ca="1"/>
        <v>#NAME?</v>
      </c>
      <c r="R268" t="e">
        <f ca="1"/>
        <v>#NAME?</v>
      </c>
      <c r="S268" t="e">
        <f ca="1"/>
        <v>#NAME?</v>
      </c>
      <c r="T268" t="e">
        <f ca="1"/>
        <v>#NAME?</v>
      </c>
      <c r="U268" t="e">
        <f ca="1"/>
        <v>#NAME?</v>
      </c>
      <c r="V268" s="5" t="e">
        <f ca="1"/>
        <v>#NAME?</v>
      </c>
      <c r="W268" t="e">
        <f ca="1"/>
        <v>#NAME?</v>
      </c>
      <c r="X268" t="e">
        <f ca="1"/>
        <v>#NAME?</v>
      </c>
      <c r="Y268" t="e">
        <f ca="1"/>
        <v>#NAME?</v>
      </c>
      <c r="Z268" t="e">
        <f ca="1"/>
        <v>#NAME?</v>
      </c>
      <c r="AA268" t="e">
        <f ca="1"/>
        <v>#NAME?</v>
      </c>
      <c r="AB268" t="e">
        <f ca="1"/>
        <v>#NAME?</v>
      </c>
    </row>
    <row r="269" spans="1:28" x14ac:dyDescent="0.2">
      <c r="A269" t="e">
        <f ca="1"/>
        <v>#NAME?</v>
      </c>
      <c r="B269" t="e">
        <f ca="1"/>
        <v>#NAME?</v>
      </c>
      <c r="C269" t="e">
        <f ca="1"/>
        <v>#NAME?</v>
      </c>
      <c r="D269" t="e">
        <f ca="1"/>
        <v>#NAME?</v>
      </c>
      <c r="E269" t="e">
        <f ca="1"/>
        <v>#NAME?</v>
      </c>
      <c r="F269" t="e">
        <f ca="1"/>
        <v>#NAME?</v>
      </c>
      <c r="G269" t="e">
        <f ca="1"/>
        <v>#NAME?</v>
      </c>
      <c r="H269" t="e">
        <f ca="1"/>
        <v>#NAME?</v>
      </c>
      <c r="I269" t="e">
        <f ca="1"/>
        <v>#NAME?</v>
      </c>
      <c r="J269" t="e">
        <f ca="1"/>
        <v>#NAME?</v>
      </c>
      <c r="K269" t="e">
        <f ca="1"/>
        <v>#NAME?</v>
      </c>
      <c r="L269" t="e">
        <f ca="1"/>
        <v>#NAME?</v>
      </c>
      <c r="M269" t="e">
        <f ca="1"/>
        <v>#NAME?</v>
      </c>
      <c r="N269" t="e">
        <f ca="1"/>
        <v>#NAME?</v>
      </c>
      <c r="O269" t="e">
        <f ca="1"/>
        <v>#NAME?</v>
      </c>
      <c r="P269" t="e">
        <f ca="1"/>
        <v>#NAME?</v>
      </c>
      <c r="Q269" t="e">
        <f ca="1"/>
        <v>#NAME?</v>
      </c>
      <c r="R269" t="e">
        <f ca="1"/>
        <v>#NAME?</v>
      </c>
      <c r="S269" t="e">
        <f ca="1"/>
        <v>#NAME?</v>
      </c>
      <c r="T269" t="e">
        <f ca="1"/>
        <v>#NAME?</v>
      </c>
      <c r="U269" t="e">
        <f ca="1"/>
        <v>#NAME?</v>
      </c>
      <c r="V269" s="5" t="e">
        <f ca="1"/>
        <v>#NAME?</v>
      </c>
      <c r="W269" t="e">
        <f ca="1"/>
        <v>#NAME?</v>
      </c>
      <c r="X269" t="e">
        <f ca="1"/>
        <v>#NAME?</v>
      </c>
      <c r="Y269" t="e">
        <f ca="1"/>
        <v>#NAME?</v>
      </c>
      <c r="Z269" t="e">
        <f ca="1"/>
        <v>#NAME?</v>
      </c>
      <c r="AA269" t="e">
        <f ca="1"/>
        <v>#NAME?</v>
      </c>
      <c r="AB269" t="e">
        <f ca="1"/>
        <v>#NAME?</v>
      </c>
    </row>
    <row r="270" spans="1:28" x14ac:dyDescent="0.2">
      <c r="A270" t="e">
        <f ca="1"/>
        <v>#NAME?</v>
      </c>
      <c r="B270" t="e">
        <f ca="1"/>
        <v>#NAME?</v>
      </c>
      <c r="C270" t="e">
        <f ca="1"/>
        <v>#NAME?</v>
      </c>
      <c r="D270" t="e">
        <f ca="1"/>
        <v>#NAME?</v>
      </c>
      <c r="E270" t="e">
        <f ca="1"/>
        <v>#NAME?</v>
      </c>
      <c r="F270" t="e">
        <f ca="1"/>
        <v>#NAME?</v>
      </c>
      <c r="G270" t="e">
        <f ca="1"/>
        <v>#NAME?</v>
      </c>
      <c r="H270" t="e">
        <f ca="1"/>
        <v>#NAME?</v>
      </c>
      <c r="I270" t="e">
        <f ca="1"/>
        <v>#NAME?</v>
      </c>
      <c r="J270" t="e">
        <f ca="1"/>
        <v>#NAME?</v>
      </c>
      <c r="K270" t="e">
        <f ca="1"/>
        <v>#NAME?</v>
      </c>
      <c r="L270" t="e">
        <f ca="1"/>
        <v>#NAME?</v>
      </c>
      <c r="M270" t="e">
        <f ca="1"/>
        <v>#NAME?</v>
      </c>
      <c r="N270" t="e">
        <f ca="1"/>
        <v>#NAME?</v>
      </c>
      <c r="O270" t="e">
        <f ca="1"/>
        <v>#NAME?</v>
      </c>
      <c r="P270" t="e">
        <f ca="1"/>
        <v>#NAME?</v>
      </c>
      <c r="Q270" t="e">
        <f ca="1"/>
        <v>#NAME?</v>
      </c>
      <c r="R270" t="e">
        <f ca="1"/>
        <v>#NAME?</v>
      </c>
      <c r="S270" t="e">
        <f ca="1"/>
        <v>#NAME?</v>
      </c>
      <c r="T270" t="e">
        <f ca="1"/>
        <v>#NAME?</v>
      </c>
      <c r="U270" t="e">
        <f ca="1"/>
        <v>#NAME?</v>
      </c>
      <c r="V270" s="5" t="e">
        <f ca="1"/>
        <v>#NAME?</v>
      </c>
      <c r="W270" t="e">
        <f ca="1"/>
        <v>#NAME?</v>
      </c>
      <c r="X270" t="e">
        <f ca="1"/>
        <v>#NAME?</v>
      </c>
      <c r="Y270" t="e">
        <f ca="1"/>
        <v>#NAME?</v>
      </c>
      <c r="Z270" t="e">
        <f ca="1"/>
        <v>#NAME?</v>
      </c>
      <c r="AA270" t="e">
        <f ca="1"/>
        <v>#NAME?</v>
      </c>
      <c r="AB270" t="e">
        <f ca="1"/>
        <v>#NAME?</v>
      </c>
    </row>
    <row r="271" spans="1:28" x14ac:dyDescent="0.2">
      <c r="A271" t="e">
        <f ca="1"/>
        <v>#NAME?</v>
      </c>
      <c r="B271" t="e">
        <f ca="1"/>
        <v>#NAME?</v>
      </c>
      <c r="C271" t="e">
        <f ca="1"/>
        <v>#NAME?</v>
      </c>
      <c r="D271" t="e">
        <f ca="1"/>
        <v>#NAME?</v>
      </c>
      <c r="E271" t="e">
        <f ca="1"/>
        <v>#NAME?</v>
      </c>
      <c r="F271" t="e">
        <f ca="1"/>
        <v>#NAME?</v>
      </c>
      <c r="G271" t="e">
        <f ca="1"/>
        <v>#NAME?</v>
      </c>
      <c r="H271" t="e">
        <f ca="1"/>
        <v>#NAME?</v>
      </c>
      <c r="I271" t="e">
        <f ca="1"/>
        <v>#NAME?</v>
      </c>
      <c r="J271" t="e">
        <f ca="1"/>
        <v>#NAME?</v>
      </c>
      <c r="K271" t="e">
        <f ca="1"/>
        <v>#NAME?</v>
      </c>
      <c r="L271" t="e">
        <f ca="1"/>
        <v>#NAME?</v>
      </c>
      <c r="M271" t="e">
        <f ca="1"/>
        <v>#NAME?</v>
      </c>
      <c r="N271" t="e">
        <f ca="1"/>
        <v>#NAME?</v>
      </c>
      <c r="O271" t="e">
        <f ca="1"/>
        <v>#NAME?</v>
      </c>
      <c r="P271" t="e">
        <f ca="1"/>
        <v>#NAME?</v>
      </c>
      <c r="Q271" t="e">
        <f ca="1"/>
        <v>#NAME?</v>
      </c>
      <c r="R271" t="e">
        <f ca="1"/>
        <v>#NAME?</v>
      </c>
      <c r="S271" t="e">
        <f ca="1"/>
        <v>#NAME?</v>
      </c>
      <c r="T271" t="e">
        <f ca="1"/>
        <v>#NAME?</v>
      </c>
      <c r="U271" t="e">
        <f ca="1"/>
        <v>#NAME?</v>
      </c>
      <c r="V271" s="5" t="e">
        <f ca="1"/>
        <v>#NAME?</v>
      </c>
      <c r="W271" t="e">
        <f ca="1"/>
        <v>#NAME?</v>
      </c>
      <c r="X271" t="e">
        <f ca="1"/>
        <v>#NAME?</v>
      </c>
      <c r="Y271" t="e">
        <f ca="1"/>
        <v>#NAME?</v>
      </c>
      <c r="Z271" t="e">
        <f ca="1"/>
        <v>#NAME?</v>
      </c>
      <c r="AA271" t="e">
        <f ca="1"/>
        <v>#NAME?</v>
      </c>
      <c r="AB271" t="e">
        <f ca="1"/>
        <v>#NAME?</v>
      </c>
    </row>
    <row r="272" spans="1:28" x14ac:dyDescent="0.2">
      <c r="A272" t="e">
        <f ca="1"/>
        <v>#NAME?</v>
      </c>
      <c r="B272" t="e">
        <f ca="1"/>
        <v>#NAME?</v>
      </c>
      <c r="C272" t="e">
        <f ca="1"/>
        <v>#NAME?</v>
      </c>
      <c r="D272" t="e">
        <f ca="1"/>
        <v>#NAME?</v>
      </c>
      <c r="E272" t="e">
        <f ca="1"/>
        <v>#NAME?</v>
      </c>
      <c r="F272" t="e">
        <f ca="1"/>
        <v>#NAME?</v>
      </c>
      <c r="G272" t="e">
        <f ca="1"/>
        <v>#NAME?</v>
      </c>
      <c r="H272" t="e">
        <f ca="1"/>
        <v>#NAME?</v>
      </c>
      <c r="I272" t="e">
        <f ca="1"/>
        <v>#NAME?</v>
      </c>
      <c r="J272" t="e">
        <f ca="1"/>
        <v>#NAME?</v>
      </c>
      <c r="K272" t="e">
        <f ca="1"/>
        <v>#NAME?</v>
      </c>
      <c r="L272" t="e">
        <f ca="1"/>
        <v>#NAME?</v>
      </c>
      <c r="M272" t="e">
        <f ca="1"/>
        <v>#NAME?</v>
      </c>
      <c r="N272" t="e">
        <f ca="1"/>
        <v>#NAME?</v>
      </c>
      <c r="O272" t="e">
        <f ca="1"/>
        <v>#NAME?</v>
      </c>
      <c r="P272" t="e">
        <f ca="1"/>
        <v>#NAME?</v>
      </c>
      <c r="Q272" t="e">
        <f ca="1"/>
        <v>#NAME?</v>
      </c>
      <c r="R272" t="e">
        <f ca="1"/>
        <v>#NAME?</v>
      </c>
      <c r="S272" t="e">
        <f ca="1"/>
        <v>#NAME?</v>
      </c>
      <c r="T272" t="e">
        <f ca="1"/>
        <v>#NAME?</v>
      </c>
      <c r="U272" t="e">
        <f ca="1"/>
        <v>#NAME?</v>
      </c>
      <c r="V272" s="5" t="e">
        <f ca="1"/>
        <v>#NAME?</v>
      </c>
      <c r="W272" t="e">
        <f ca="1"/>
        <v>#NAME?</v>
      </c>
      <c r="X272" t="e">
        <f ca="1"/>
        <v>#NAME?</v>
      </c>
      <c r="Y272" t="e">
        <f ca="1"/>
        <v>#NAME?</v>
      </c>
      <c r="Z272" t="e">
        <f ca="1"/>
        <v>#NAME?</v>
      </c>
      <c r="AA272" t="e">
        <f ca="1"/>
        <v>#NAME?</v>
      </c>
      <c r="AB272" t="e">
        <f ca="1"/>
        <v>#NAME?</v>
      </c>
    </row>
    <row r="273" spans="1:28" x14ac:dyDescent="0.2">
      <c r="A273" t="e">
        <f ca="1"/>
        <v>#NAME?</v>
      </c>
      <c r="B273" t="e">
        <f ca="1"/>
        <v>#NAME?</v>
      </c>
      <c r="C273" t="e">
        <f ca="1"/>
        <v>#NAME?</v>
      </c>
      <c r="D273" t="e">
        <f ca="1"/>
        <v>#NAME?</v>
      </c>
      <c r="E273" t="e">
        <f ca="1"/>
        <v>#NAME?</v>
      </c>
      <c r="F273" t="e">
        <f ca="1"/>
        <v>#NAME?</v>
      </c>
      <c r="G273" t="e">
        <f ca="1"/>
        <v>#NAME?</v>
      </c>
      <c r="H273" t="e">
        <f ca="1"/>
        <v>#NAME?</v>
      </c>
      <c r="I273" t="e">
        <f ca="1"/>
        <v>#NAME?</v>
      </c>
      <c r="J273" t="e">
        <f ca="1"/>
        <v>#NAME?</v>
      </c>
      <c r="K273" t="e">
        <f ca="1"/>
        <v>#NAME?</v>
      </c>
      <c r="L273" t="e">
        <f ca="1"/>
        <v>#NAME?</v>
      </c>
      <c r="M273" t="e">
        <f ca="1"/>
        <v>#NAME?</v>
      </c>
      <c r="N273" t="e">
        <f ca="1"/>
        <v>#NAME?</v>
      </c>
      <c r="O273" t="e">
        <f ca="1"/>
        <v>#NAME?</v>
      </c>
      <c r="P273" t="e">
        <f ca="1"/>
        <v>#NAME?</v>
      </c>
      <c r="Q273" t="e">
        <f ca="1"/>
        <v>#NAME?</v>
      </c>
      <c r="R273" t="e">
        <f ca="1"/>
        <v>#NAME?</v>
      </c>
      <c r="S273" t="e">
        <f ca="1"/>
        <v>#NAME?</v>
      </c>
      <c r="T273" t="e">
        <f ca="1"/>
        <v>#NAME?</v>
      </c>
      <c r="U273" t="e">
        <f ca="1"/>
        <v>#NAME?</v>
      </c>
      <c r="V273" s="5" t="e">
        <f ca="1"/>
        <v>#NAME?</v>
      </c>
      <c r="W273" t="e">
        <f ca="1"/>
        <v>#NAME?</v>
      </c>
      <c r="X273" t="e">
        <f ca="1"/>
        <v>#NAME?</v>
      </c>
      <c r="Y273" t="e">
        <f ca="1"/>
        <v>#NAME?</v>
      </c>
      <c r="Z273" t="e">
        <f ca="1"/>
        <v>#NAME?</v>
      </c>
      <c r="AA273" t="e">
        <f ca="1"/>
        <v>#NAME?</v>
      </c>
      <c r="AB273" t="e">
        <f ca="1"/>
        <v>#NAME?</v>
      </c>
    </row>
    <row r="274" spans="1:28" x14ac:dyDescent="0.2">
      <c r="A274" t="e">
        <f ca="1"/>
        <v>#NAME?</v>
      </c>
      <c r="B274" t="e">
        <f ca="1"/>
        <v>#NAME?</v>
      </c>
      <c r="C274" t="e">
        <f ca="1"/>
        <v>#NAME?</v>
      </c>
      <c r="D274" t="e">
        <f ca="1"/>
        <v>#NAME?</v>
      </c>
      <c r="E274" t="e">
        <f ca="1"/>
        <v>#NAME?</v>
      </c>
      <c r="F274" t="e">
        <f ca="1"/>
        <v>#NAME?</v>
      </c>
      <c r="G274" t="e">
        <f ca="1"/>
        <v>#NAME?</v>
      </c>
      <c r="H274" t="e">
        <f ca="1"/>
        <v>#NAME?</v>
      </c>
      <c r="I274" t="e">
        <f ca="1"/>
        <v>#NAME?</v>
      </c>
      <c r="J274" t="e">
        <f ca="1"/>
        <v>#NAME?</v>
      </c>
      <c r="K274" t="e">
        <f ca="1"/>
        <v>#NAME?</v>
      </c>
      <c r="L274" t="e">
        <f ca="1"/>
        <v>#NAME?</v>
      </c>
      <c r="M274" t="e">
        <f ca="1"/>
        <v>#NAME?</v>
      </c>
      <c r="N274" t="e">
        <f ca="1"/>
        <v>#NAME?</v>
      </c>
      <c r="O274" t="e">
        <f ca="1"/>
        <v>#NAME?</v>
      </c>
      <c r="P274" t="e">
        <f ca="1"/>
        <v>#NAME?</v>
      </c>
      <c r="Q274" t="e">
        <f ca="1"/>
        <v>#NAME?</v>
      </c>
      <c r="R274" t="e">
        <f ca="1"/>
        <v>#NAME?</v>
      </c>
      <c r="S274" t="e">
        <f ca="1"/>
        <v>#NAME?</v>
      </c>
      <c r="T274" t="e">
        <f ca="1"/>
        <v>#NAME?</v>
      </c>
      <c r="U274" t="e">
        <f ca="1"/>
        <v>#NAME?</v>
      </c>
      <c r="V274" s="5" t="e">
        <f ca="1"/>
        <v>#NAME?</v>
      </c>
      <c r="W274" t="e">
        <f ca="1"/>
        <v>#NAME?</v>
      </c>
      <c r="X274" t="e">
        <f ca="1"/>
        <v>#NAME?</v>
      </c>
      <c r="Y274" t="e">
        <f ca="1"/>
        <v>#NAME?</v>
      </c>
      <c r="Z274" t="e">
        <f ca="1"/>
        <v>#NAME?</v>
      </c>
      <c r="AA274" t="e">
        <f ca="1"/>
        <v>#NAME?</v>
      </c>
      <c r="AB274" t="e">
        <f ca="1"/>
        <v>#NAME?</v>
      </c>
    </row>
    <row r="275" spans="1:28" x14ac:dyDescent="0.2">
      <c r="A275" t="e">
        <f ca="1"/>
        <v>#NAME?</v>
      </c>
      <c r="B275" t="e">
        <f ca="1"/>
        <v>#NAME?</v>
      </c>
      <c r="C275" t="e">
        <f ca="1"/>
        <v>#NAME?</v>
      </c>
      <c r="D275" t="e">
        <f ca="1"/>
        <v>#NAME?</v>
      </c>
      <c r="E275" t="e">
        <f ca="1"/>
        <v>#NAME?</v>
      </c>
      <c r="F275" t="e">
        <f ca="1"/>
        <v>#NAME?</v>
      </c>
      <c r="G275" t="e">
        <f ca="1"/>
        <v>#NAME?</v>
      </c>
      <c r="H275" t="e">
        <f ca="1"/>
        <v>#NAME?</v>
      </c>
      <c r="I275" t="e">
        <f ca="1"/>
        <v>#NAME?</v>
      </c>
      <c r="J275" t="e">
        <f ca="1"/>
        <v>#NAME?</v>
      </c>
      <c r="K275" t="e">
        <f ca="1"/>
        <v>#NAME?</v>
      </c>
      <c r="L275" t="e">
        <f ca="1"/>
        <v>#NAME?</v>
      </c>
      <c r="M275" t="e">
        <f ca="1"/>
        <v>#NAME?</v>
      </c>
      <c r="N275" t="e">
        <f ca="1"/>
        <v>#NAME?</v>
      </c>
      <c r="O275" t="e">
        <f ca="1"/>
        <v>#NAME?</v>
      </c>
      <c r="P275" t="e">
        <f ca="1"/>
        <v>#NAME?</v>
      </c>
      <c r="Q275" t="e">
        <f ca="1"/>
        <v>#NAME?</v>
      </c>
      <c r="R275" t="e">
        <f ca="1"/>
        <v>#NAME?</v>
      </c>
      <c r="S275" t="e">
        <f ca="1"/>
        <v>#NAME?</v>
      </c>
      <c r="T275" t="e">
        <f ca="1"/>
        <v>#NAME?</v>
      </c>
      <c r="U275" t="e">
        <f ca="1"/>
        <v>#NAME?</v>
      </c>
      <c r="V275" s="5" t="e">
        <f ca="1"/>
        <v>#NAME?</v>
      </c>
      <c r="W275" t="e">
        <f ca="1"/>
        <v>#NAME?</v>
      </c>
      <c r="X275" t="e">
        <f ca="1"/>
        <v>#NAME?</v>
      </c>
      <c r="Y275" t="e">
        <f ca="1"/>
        <v>#NAME?</v>
      </c>
      <c r="Z275" t="e">
        <f ca="1"/>
        <v>#NAME?</v>
      </c>
      <c r="AA275" t="e">
        <f ca="1"/>
        <v>#NAME?</v>
      </c>
      <c r="AB275" t="e">
        <f ca="1"/>
        <v>#NAME?</v>
      </c>
    </row>
    <row r="276" spans="1:28" x14ac:dyDescent="0.2">
      <c r="A276" t="e">
        <f ca="1"/>
        <v>#NAME?</v>
      </c>
      <c r="B276" t="e">
        <f ca="1"/>
        <v>#NAME?</v>
      </c>
      <c r="C276" t="e">
        <f ca="1"/>
        <v>#NAME?</v>
      </c>
      <c r="D276" t="e">
        <f ca="1"/>
        <v>#NAME?</v>
      </c>
      <c r="E276" t="e">
        <f ca="1"/>
        <v>#NAME?</v>
      </c>
      <c r="F276" t="e">
        <f ca="1"/>
        <v>#NAME?</v>
      </c>
      <c r="G276" t="e">
        <f ca="1"/>
        <v>#NAME?</v>
      </c>
      <c r="H276" t="e">
        <f ca="1"/>
        <v>#NAME?</v>
      </c>
      <c r="I276" t="e">
        <f ca="1"/>
        <v>#NAME?</v>
      </c>
      <c r="J276" t="e">
        <f ca="1"/>
        <v>#NAME?</v>
      </c>
      <c r="K276" t="e">
        <f ca="1"/>
        <v>#NAME?</v>
      </c>
      <c r="L276" t="e">
        <f ca="1"/>
        <v>#NAME?</v>
      </c>
      <c r="M276" t="e">
        <f ca="1"/>
        <v>#NAME?</v>
      </c>
      <c r="N276" t="e">
        <f ca="1"/>
        <v>#NAME?</v>
      </c>
      <c r="O276" t="e">
        <f ca="1"/>
        <v>#NAME?</v>
      </c>
      <c r="P276" t="e">
        <f ca="1"/>
        <v>#NAME?</v>
      </c>
      <c r="Q276" t="e">
        <f ca="1"/>
        <v>#NAME?</v>
      </c>
      <c r="R276" t="e">
        <f ca="1"/>
        <v>#NAME?</v>
      </c>
      <c r="S276" t="e">
        <f ca="1"/>
        <v>#NAME?</v>
      </c>
      <c r="T276" t="e">
        <f ca="1"/>
        <v>#NAME?</v>
      </c>
      <c r="U276" t="e">
        <f ca="1"/>
        <v>#NAME?</v>
      </c>
      <c r="V276" s="5" t="e">
        <f ca="1"/>
        <v>#NAME?</v>
      </c>
      <c r="W276" t="e">
        <f ca="1"/>
        <v>#NAME?</v>
      </c>
      <c r="X276" t="e">
        <f ca="1"/>
        <v>#NAME?</v>
      </c>
      <c r="Y276" t="e">
        <f ca="1"/>
        <v>#NAME?</v>
      </c>
      <c r="Z276" t="e">
        <f ca="1"/>
        <v>#NAME?</v>
      </c>
      <c r="AA276" t="e">
        <f ca="1"/>
        <v>#NAME?</v>
      </c>
      <c r="AB276" t="e">
        <f ca="1"/>
        <v>#NAME?</v>
      </c>
    </row>
    <row r="277" spans="1:28" x14ac:dyDescent="0.2">
      <c r="A277" t="e">
        <f ca="1"/>
        <v>#NAME?</v>
      </c>
      <c r="B277" t="e">
        <f ca="1"/>
        <v>#NAME?</v>
      </c>
      <c r="C277" t="e">
        <f ca="1"/>
        <v>#NAME?</v>
      </c>
      <c r="D277" t="e">
        <f ca="1"/>
        <v>#NAME?</v>
      </c>
      <c r="E277" t="e">
        <f ca="1"/>
        <v>#NAME?</v>
      </c>
      <c r="F277" t="e">
        <f ca="1"/>
        <v>#NAME?</v>
      </c>
      <c r="G277" t="e">
        <f ca="1"/>
        <v>#NAME?</v>
      </c>
      <c r="H277" t="e">
        <f ca="1"/>
        <v>#NAME?</v>
      </c>
      <c r="I277" t="e">
        <f ca="1"/>
        <v>#NAME?</v>
      </c>
      <c r="J277" t="e">
        <f ca="1"/>
        <v>#NAME?</v>
      </c>
      <c r="K277" t="e">
        <f ca="1"/>
        <v>#NAME?</v>
      </c>
      <c r="L277" t="e">
        <f ca="1"/>
        <v>#NAME?</v>
      </c>
      <c r="M277" t="e">
        <f ca="1"/>
        <v>#NAME?</v>
      </c>
      <c r="N277" t="e">
        <f ca="1"/>
        <v>#NAME?</v>
      </c>
      <c r="O277" t="e">
        <f ca="1"/>
        <v>#NAME?</v>
      </c>
      <c r="P277" t="e">
        <f ca="1"/>
        <v>#NAME?</v>
      </c>
      <c r="Q277" t="e">
        <f ca="1"/>
        <v>#NAME?</v>
      </c>
      <c r="R277" t="e">
        <f ca="1"/>
        <v>#NAME?</v>
      </c>
      <c r="S277" t="e">
        <f ca="1"/>
        <v>#NAME?</v>
      </c>
      <c r="T277" t="e">
        <f ca="1"/>
        <v>#NAME?</v>
      </c>
      <c r="U277" t="e">
        <f ca="1"/>
        <v>#NAME?</v>
      </c>
      <c r="V277" s="5" t="e">
        <f ca="1"/>
        <v>#NAME?</v>
      </c>
      <c r="W277" t="e">
        <f ca="1"/>
        <v>#NAME?</v>
      </c>
      <c r="X277" t="e">
        <f ca="1"/>
        <v>#NAME?</v>
      </c>
      <c r="Y277" t="e">
        <f ca="1"/>
        <v>#NAME?</v>
      </c>
      <c r="Z277" t="e">
        <f ca="1"/>
        <v>#NAME?</v>
      </c>
      <c r="AA277" t="e">
        <f ca="1"/>
        <v>#NAME?</v>
      </c>
      <c r="AB277" t="e">
        <f ca="1"/>
        <v>#NAME?</v>
      </c>
    </row>
    <row r="278" spans="1:28" x14ac:dyDescent="0.2">
      <c r="A278" t="e">
        <f ca="1"/>
        <v>#NAME?</v>
      </c>
      <c r="B278" t="e">
        <f ca="1"/>
        <v>#NAME?</v>
      </c>
      <c r="C278" t="e">
        <f ca="1"/>
        <v>#NAME?</v>
      </c>
      <c r="D278" t="e">
        <f ca="1"/>
        <v>#NAME?</v>
      </c>
      <c r="E278" t="e">
        <f ca="1"/>
        <v>#NAME?</v>
      </c>
      <c r="F278" t="e">
        <f ca="1"/>
        <v>#NAME?</v>
      </c>
      <c r="G278" t="e">
        <f ca="1"/>
        <v>#NAME?</v>
      </c>
      <c r="H278" t="e">
        <f ca="1"/>
        <v>#NAME?</v>
      </c>
      <c r="I278" t="e">
        <f ca="1"/>
        <v>#NAME?</v>
      </c>
      <c r="J278" t="e">
        <f ca="1"/>
        <v>#NAME?</v>
      </c>
      <c r="K278" t="e">
        <f ca="1"/>
        <v>#NAME?</v>
      </c>
      <c r="L278" t="e">
        <f ca="1"/>
        <v>#NAME?</v>
      </c>
      <c r="M278" t="e">
        <f ca="1"/>
        <v>#NAME?</v>
      </c>
      <c r="N278" t="e">
        <f ca="1"/>
        <v>#NAME?</v>
      </c>
      <c r="O278" t="e">
        <f ca="1"/>
        <v>#NAME?</v>
      </c>
      <c r="P278" t="e">
        <f ca="1"/>
        <v>#NAME?</v>
      </c>
      <c r="Q278" t="e">
        <f ca="1"/>
        <v>#NAME?</v>
      </c>
      <c r="R278" t="e">
        <f ca="1"/>
        <v>#NAME?</v>
      </c>
      <c r="S278" t="e">
        <f ca="1"/>
        <v>#NAME?</v>
      </c>
      <c r="T278" t="e">
        <f ca="1"/>
        <v>#NAME?</v>
      </c>
      <c r="U278" t="e">
        <f ca="1"/>
        <v>#NAME?</v>
      </c>
      <c r="V278" s="5" t="e">
        <f ca="1"/>
        <v>#NAME?</v>
      </c>
      <c r="W278" t="e">
        <f ca="1"/>
        <v>#NAME?</v>
      </c>
      <c r="X278" t="e">
        <f ca="1"/>
        <v>#NAME?</v>
      </c>
      <c r="Y278" t="e">
        <f ca="1"/>
        <v>#NAME?</v>
      </c>
      <c r="Z278" t="e">
        <f ca="1"/>
        <v>#NAME?</v>
      </c>
      <c r="AA278" t="e">
        <f ca="1"/>
        <v>#NAME?</v>
      </c>
      <c r="AB278" t="e">
        <f ca="1"/>
        <v>#NAME?</v>
      </c>
    </row>
    <row r="279" spans="1:28" x14ac:dyDescent="0.2">
      <c r="A279" t="e">
        <f ca="1"/>
        <v>#NAME?</v>
      </c>
      <c r="B279" t="e">
        <f ca="1"/>
        <v>#NAME?</v>
      </c>
      <c r="C279" t="e">
        <f ca="1"/>
        <v>#NAME?</v>
      </c>
      <c r="D279" t="e">
        <f ca="1"/>
        <v>#NAME?</v>
      </c>
      <c r="E279" t="e">
        <f ca="1"/>
        <v>#NAME?</v>
      </c>
      <c r="F279" t="e">
        <f ca="1"/>
        <v>#NAME?</v>
      </c>
      <c r="G279" t="e">
        <f ca="1"/>
        <v>#NAME?</v>
      </c>
      <c r="H279" t="e">
        <f ca="1"/>
        <v>#NAME?</v>
      </c>
      <c r="I279" t="e">
        <f ca="1"/>
        <v>#NAME?</v>
      </c>
      <c r="J279" t="e">
        <f ca="1"/>
        <v>#NAME?</v>
      </c>
      <c r="K279" t="e">
        <f ca="1"/>
        <v>#NAME?</v>
      </c>
      <c r="L279" t="e">
        <f ca="1"/>
        <v>#NAME?</v>
      </c>
      <c r="M279" t="e">
        <f ca="1"/>
        <v>#NAME?</v>
      </c>
      <c r="N279" t="e">
        <f ca="1"/>
        <v>#NAME?</v>
      </c>
      <c r="O279" t="e">
        <f ca="1"/>
        <v>#NAME?</v>
      </c>
      <c r="P279" t="e">
        <f ca="1"/>
        <v>#NAME?</v>
      </c>
      <c r="Q279" t="e">
        <f ca="1"/>
        <v>#NAME?</v>
      </c>
      <c r="R279" t="e">
        <f ca="1"/>
        <v>#NAME?</v>
      </c>
      <c r="S279" t="e">
        <f ca="1"/>
        <v>#NAME?</v>
      </c>
      <c r="T279" t="e">
        <f ca="1"/>
        <v>#NAME?</v>
      </c>
      <c r="U279" t="e">
        <f ca="1"/>
        <v>#NAME?</v>
      </c>
      <c r="V279" s="5" t="e">
        <f ca="1"/>
        <v>#NAME?</v>
      </c>
      <c r="W279" t="e">
        <f ca="1"/>
        <v>#NAME?</v>
      </c>
      <c r="X279" t="e">
        <f ca="1"/>
        <v>#NAME?</v>
      </c>
      <c r="Y279" t="e">
        <f ca="1"/>
        <v>#NAME?</v>
      </c>
      <c r="Z279" t="e">
        <f ca="1"/>
        <v>#NAME?</v>
      </c>
      <c r="AA279" t="e">
        <f ca="1"/>
        <v>#NAME?</v>
      </c>
      <c r="AB279" t="e">
        <f ca="1"/>
        <v>#NAME?</v>
      </c>
    </row>
    <row r="280" spans="1:28" x14ac:dyDescent="0.2">
      <c r="A280" t="e">
        <f ca="1"/>
        <v>#NAME?</v>
      </c>
      <c r="B280" t="e">
        <f ca="1"/>
        <v>#NAME?</v>
      </c>
      <c r="C280" t="e">
        <f ca="1"/>
        <v>#NAME?</v>
      </c>
      <c r="D280" t="e">
        <f ca="1"/>
        <v>#NAME?</v>
      </c>
      <c r="E280" t="e">
        <f ca="1"/>
        <v>#NAME?</v>
      </c>
      <c r="F280" t="e">
        <f ca="1"/>
        <v>#NAME?</v>
      </c>
      <c r="G280" t="e">
        <f ca="1"/>
        <v>#NAME?</v>
      </c>
      <c r="H280" t="e">
        <f ca="1"/>
        <v>#NAME?</v>
      </c>
      <c r="I280" t="e">
        <f ca="1"/>
        <v>#NAME?</v>
      </c>
      <c r="J280" t="e">
        <f ca="1"/>
        <v>#NAME?</v>
      </c>
      <c r="K280" t="e">
        <f ca="1"/>
        <v>#NAME?</v>
      </c>
      <c r="L280" t="e">
        <f ca="1"/>
        <v>#NAME?</v>
      </c>
      <c r="M280" t="e">
        <f ca="1"/>
        <v>#NAME?</v>
      </c>
      <c r="N280" t="e">
        <f ca="1"/>
        <v>#NAME?</v>
      </c>
      <c r="O280" t="e">
        <f ca="1"/>
        <v>#NAME?</v>
      </c>
      <c r="P280" t="e">
        <f ca="1"/>
        <v>#NAME?</v>
      </c>
      <c r="Q280" t="e">
        <f ca="1"/>
        <v>#NAME?</v>
      </c>
      <c r="R280" t="e">
        <f ca="1"/>
        <v>#NAME?</v>
      </c>
      <c r="S280" t="e">
        <f ca="1"/>
        <v>#NAME?</v>
      </c>
      <c r="T280" t="e">
        <f ca="1"/>
        <v>#NAME?</v>
      </c>
      <c r="U280" t="e">
        <f ca="1"/>
        <v>#NAME?</v>
      </c>
      <c r="V280" s="5" t="e">
        <f ca="1"/>
        <v>#NAME?</v>
      </c>
      <c r="W280" t="e">
        <f ca="1"/>
        <v>#NAME?</v>
      </c>
      <c r="X280" t="e">
        <f ca="1"/>
        <v>#NAME?</v>
      </c>
      <c r="Y280" t="e">
        <f ca="1"/>
        <v>#NAME?</v>
      </c>
      <c r="Z280" t="e">
        <f ca="1"/>
        <v>#NAME?</v>
      </c>
      <c r="AA280" t="e">
        <f ca="1"/>
        <v>#NAME?</v>
      </c>
      <c r="AB280" t="e">
        <f ca="1"/>
        <v>#NAME?</v>
      </c>
    </row>
    <row r="281" spans="1:28" x14ac:dyDescent="0.2">
      <c r="A281" t="e">
        <f ca="1"/>
        <v>#NAME?</v>
      </c>
      <c r="B281" t="e">
        <f ca="1"/>
        <v>#NAME?</v>
      </c>
      <c r="C281" t="e">
        <f ca="1"/>
        <v>#NAME?</v>
      </c>
      <c r="D281" t="e">
        <f ca="1"/>
        <v>#NAME?</v>
      </c>
      <c r="E281" t="e">
        <f ca="1"/>
        <v>#NAME?</v>
      </c>
      <c r="F281" t="e">
        <f ca="1"/>
        <v>#NAME?</v>
      </c>
      <c r="G281" t="e">
        <f ca="1"/>
        <v>#NAME?</v>
      </c>
      <c r="H281" t="e">
        <f ca="1"/>
        <v>#NAME?</v>
      </c>
      <c r="I281" t="e">
        <f ca="1"/>
        <v>#NAME?</v>
      </c>
      <c r="J281" t="e">
        <f ca="1"/>
        <v>#NAME?</v>
      </c>
      <c r="K281" t="e">
        <f ca="1"/>
        <v>#NAME?</v>
      </c>
      <c r="L281" t="e">
        <f ca="1"/>
        <v>#NAME?</v>
      </c>
      <c r="M281" t="e">
        <f ca="1"/>
        <v>#NAME?</v>
      </c>
      <c r="N281" t="e">
        <f ca="1"/>
        <v>#NAME?</v>
      </c>
      <c r="O281" t="e">
        <f ca="1"/>
        <v>#NAME?</v>
      </c>
      <c r="P281" t="e">
        <f ca="1"/>
        <v>#NAME?</v>
      </c>
      <c r="Q281" t="e">
        <f ca="1"/>
        <v>#NAME?</v>
      </c>
      <c r="R281" t="e">
        <f ca="1"/>
        <v>#NAME?</v>
      </c>
      <c r="S281" t="e">
        <f ca="1"/>
        <v>#NAME?</v>
      </c>
      <c r="T281" t="e">
        <f ca="1"/>
        <v>#NAME?</v>
      </c>
      <c r="U281" t="e">
        <f ca="1"/>
        <v>#NAME?</v>
      </c>
      <c r="V281" s="5" t="e">
        <f ca="1"/>
        <v>#NAME?</v>
      </c>
      <c r="W281" t="e">
        <f ca="1"/>
        <v>#NAME?</v>
      </c>
      <c r="X281" t="e">
        <f ca="1"/>
        <v>#NAME?</v>
      </c>
      <c r="Y281" t="e">
        <f ca="1"/>
        <v>#NAME?</v>
      </c>
      <c r="Z281" t="e">
        <f ca="1"/>
        <v>#NAME?</v>
      </c>
      <c r="AA281" t="e">
        <f ca="1"/>
        <v>#NAME?</v>
      </c>
      <c r="AB281" t="e">
        <f ca="1"/>
        <v>#NAME?</v>
      </c>
    </row>
    <row r="282" spans="1:28" x14ac:dyDescent="0.2">
      <c r="A282" t="e">
        <f ca="1"/>
        <v>#NAME?</v>
      </c>
      <c r="B282" t="e">
        <f ca="1"/>
        <v>#NAME?</v>
      </c>
      <c r="C282" t="e">
        <f ca="1"/>
        <v>#NAME?</v>
      </c>
      <c r="D282" t="e">
        <f ca="1"/>
        <v>#NAME?</v>
      </c>
      <c r="E282" t="e">
        <f ca="1"/>
        <v>#NAME?</v>
      </c>
      <c r="F282" t="e">
        <f ca="1"/>
        <v>#NAME?</v>
      </c>
      <c r="G282" t="e">
        <f ca="1"/>
        <v>#NAME?</v>
      </c>
      <c r="H282" t="e">
        <f ca="1"/>
        <v>#NAME?</v>
      </c>
      <c r="I282" t="e">
        <f ca="1"/>
        <v>#NAME?</v>
      </c>
      <c r="J282" t="e">
        <f ca="1"/>
        <v>#NAME?</v>
      </c>
      <c r="K282" t="e">
        <f ca="1"/>
        <v>#NAME?</v>
      </c>
      <c r="L282" t="e">
        <f ca="1"/>
        <v>#NAME?</v>
      </c>
      <c r="M282" t="e">
        <f ca="1"/>
        <v>#NAME?</v>
      </c>
      <c r="N282" t="e">
        <f ca="1"/>
        <v>#NAME?</v>
      </c>
      <c r="O282" t="e">
        <f ca="1"/>
        <v>#NAME?</v>
      </c>
      <c r="P282" t="e">
        <f ca="1"/>
        <v>#NAME?</v>
      </c>
      <c r="Q282" t="e">
        <f ca="1"/>
        <v>#NAME?</v>
      </c>
      <c r="R282" t="e">
        <f ca="1"/>
        <v>#NAME?</v>
      </c>
      <c r="S282" t="e">
        <f ca="1"/>
        <v>#NAME?</v>
      </c>
      <c r="T282" t="e">
        <f ca="1"/>
        <v>#NAME?</v>
      </c>
      <c r="U282" t="e">
        <f ca="1"/>
        <v>#NAME?</v>
      </c>
      <c r="V282" s="5" t="e">
        <f ca="1"/>
        <v>#NAME?</v>
      </c>
      <c r="W282" t="e">
        <f ca="1"/>
        <v>#NAME?</v>
      </c>
      <c r="X282" t="e">
        <f ca="1"/>
        <v>#NAME?</v>
      </c>
      <c r="Y282" t="e">
        <f ca="1"/>
        <v>#NAME?</v>
      </c>
      <c r="Z282" t="e">
        <f ca="1"/>
        <v>#NAME?</v>
      </c>
      <c r="AA282" t="e">
        <f ca="1"/>
        <v>#NAME?</v>
      </c>
      <c r="AB282" t="e">
        <f ca="1"/>
        <v>#NAME?</v>
      </c>
    </row>
    <row r="283" spans="1:28" x14ac:dyDescent="0.2">
      <c r="A283" t="e">
        <f ca="1"/>
        <v>#NAME?</v>
      </c>
      <c r="B283" t="e">
        <f ca="1"/>
        <v>#NAME?</v>
      </c>
      <c r="C283" t="e">
        <f ca="1"/>
        <v>#NAME?</v>
      </c>
      <c r="D283" t="e">
        <f ca="1"/>
        <v>#NAME?</v>
      </c>
      <c r="E283" t="e">
        <f ca="1"/>
        <v>#NAME?</v>
      </c>
      <c r="F283" t="e">
        <f ca="1"/>
        <v>#NAME?</v>
      </c>
      <c r="G283" t="e">
        <f ca="1"/>
        <v>#NAME?</v>
      </c>
      <c r="H283" t="e">
        <f ca="1"/>
        <v>#NAME?</v>
      </c>
      <c r="I283" t="e">
        <f ca="1"/>
        <v>#NAME?</v>
      </c>
      <c r="J283" t="e">
        <f ca="1"/>
        <v>#NAME?</v>
      </c>
      <c r="K283" t="e">
        <f ca="1"/>
        <v>#NAME?</v>
      </c>
      <c r="L283" t="e">
        <f ca="1"/>
        <v>#NAME?</v>
      </c>
      <c r="M283" t="e">
        <f ca="1"/>
        <v>#NAME?</v>
      </c>
      <c r="N283" t="e">
        <f ca="1"/>
        <v>#NAME?</v>
      </c>
      <c r="O283" t="e">
        <f ca="1"/>
        <v>#NAME?</v>
      </c>
      <c r="P283" t="e">
        <f ca="1"/>
        <v>#NAME?</v>
      </c>
      <c r="Q283" t="e">
        <f ca="1"/>
        <v>#NAME?</v>
      </c>
      <c r="R283" t="e">
        <f ca="1"/>
        <v>#NAME?</v>
      </c>
      <c r="S283" t="e">
        <f ca="1"/>
        <v>#NAME?</v>
      </c>
      <c r="T283" t="e">
        <f ca="1"/>
        <v>#NAME?</v>
      </c>
      <c r="U283" t="e">
        <f ca="1"/>
        <v>#NAME?</v>
      </c>
      <c r="V283" s="5" t="e">
        <f ca="1"/>
        <v>#NAME?</v>
      </c>
      <c r="W283" t="e">
        <f ca="1"/>
        <v>#NAME?</v>
      </c>
      <c r="X283" t="e">
        <f ca="1"/>
        <v>#NAME?</v>
      </c>
      <c r="Y283" t="e">
        <f ca="1"/>
        <v>#NAME?</v>
      </c>
      <c r="Z283" t="e">
        <f ca="1"/>
        <v>#NAME?</v>
      </c>
      <c r="AA283" t="e">
        <f ca="1"/>
        <v>#NAME?</v>
      </c>
      <c r="AB283" t="e">
        <f ca="1"/>
        <v>#NAME?</v>
      </c>
    </row>
    <row r="284" spans="1:28" x14ac:dyDescent="0.2">
      <c r="A284" t="e">
        <f ca="1"/>
        <v>#NAME?</v>
      </c>
      <c r="B284" t="e">
        <f ca="1"/>
        <v>#NAME?</v>
      </c>
      <c r="C284" t="e">
        <f ca="1"/>
        <v>#NAME?</v>
      </c>
      <c r="D284" t="e">
        <f ca="1"/>
        <v>#NAME?</v>
      </c>
      <c r="E284" t="e">
        <f ca="1"/>
        <v>#NAME?</v>
      </c>
      <c r="F284" t="e">
        <f ca="1"/>
        <v>#NAME?</v>
      </c>
      <c r="G284" t="e">
        <f ca="1"/>
        <v>#NAME?</v>
      </c>
      <c r="H284" t="e">
        <f ca="1"/>
        <v>#NAME?</v>
      </c>
      <c r="I284" t="e">
        <f ca="1"/>
        <v>#NAME?</v>
      </c>
      <c r="J284" t="e">
        <f ca="1"/>
        <v>#NAME?</v>
      </c>
      <c r="K284" t="e">
        <f ca="1"/>
        <v>#NAME?</v>
      </c>
      <c r="L284" t="e">
        <f ca="1"/>
        <v>#NAME?</v>
      </c>
      <c r="M284" t="e">
        <f ca="1"/>
        <v>#NAME?</v>
      </c>
      <c r="N284" t="e">
        <f ca="1"/>
        <v>#NAME?</v>
      </c>
      <c r="O284" t="e">
        <f ca="1"/>
        <v>#NAME?</v>
      </c>
      <c r="P284" t="e">
        <f ca="1"/>
        <v>#NAME?</v>
      </c>
      <c r="Q284" t="e">
        <f ca="1"/>
        <v>#NAME?</v>
      </c>
      <c r="R284" t="e">
        <f ca="1"/>
        <v>#NAME?</v>
      </c>
      <c r="S284" t="e">
        <f ca="1"/>
        <v>#NAME?</v>
      </c>
      <c r="T284" t="e">
        <f ca="1"/>
        <v>#NAME?</v>
      </c>
      <c r="U284" t="e">
        <f ca="1"/>
        <v>#NAME?</v>
      </c>
      <c r="V284" s="5" t="e">
        <f ca="1"/>
        <v>#NAME?</v>
      </c>
      <c r="W284" t="e">
        <f ca="1"/>
        <v>#NAME?</v>
      </c>
      <c r="X284" t="e">
        <f ca="1"/>
        <v>#NAME?</v>
      </c>
      <c r="Y284" t="e">
        <f ca="1"/>
        <v>#NAME?</v>
      </c>
      <c r="Z284" t="e">
        <f ca="1"/>
        <v>#NAME?</v>
      </c>
      <c r="AA284" t="e">
        <f ca="1"/>
        <v>#NAME?</v>
      </c>
      <c r="AB284" t="e">
        <f ca="1"/>
        <v>#NAME?</v>
      </c>
    </row>
    <row r="285" spans="1:28" x14ac:dyDescent="0.2">
      <c r="A285" t="e">
        <f ca="1"/>
        <v>#NAME?</v>
      </c>
      <c r="B285" t="e">
        <f ca="1"/>
        <v>#NAME?</v>
      </c>
      <c r="C285" t="e">
        <f ca="1"/>
        <v>#NAME?</v>
      </c>
      <c r="D285" t="e">
        <f ca="1"/>
        <v>#NAME?</v>
      </c>
      <c r="E285" t="e">
        <f ca="1"/>
        <v>#NAME?</v>
      </c>
      <c r="F285" t="e">
        <f ca="1"/>
        <v>#NAME?</v>
      </c>
      <c r="G285" t="e">
        <f ca="1"/>
        <v>#NAME?</v>
      </c>
      <c r="H285" t="e">
        <f ca="1"/>
        <v>#NAME?</v>
      </c>
      <c r="I285" t="e">
        <f ca="1"/>
        <v>#NAME?</v>
      </c>
      <c r="J285" t="e">
        <f ca="1"/>
        <v>#NAME?</v>
      </c>
      <c r="K285" t="e">
        <f ca="1"/>
        <v>#NAME?</v>
      </c>
      <c r="L285" t="e">
        <f ca="1"/>
        <v>#NAME?</v>
      </c>
      <c r="M285" t="e">
        <f ca="1"/>
        <v>#NAME?</v>
      </c>
      <c r="N285" t="e">
        <f ca="1"/>
        <v>#NAME?</v>
      </c>
      <c r="O285" t="e">
        <f ca="1"/>
        <v>#NAME?</v>
      </c>
      <c r="P285" t="e">
        <f ca="1"/>
        <v>#NAME?</v>
      </c>
      <c r="Q285" t="e">
        <f ca="1"/>
        <v>#NAME?</v>
      </c>
      <c r="R285" t="e">
        <f ca="1"/>
        <v>#NAME?</v>
      </c>
      <c r="S285" t="e">
        <f ca="1"/>
        <v>#NAME?</v>
      </c>
      <c r="T285" t="e">
        <f ca="1"/>
        <v>#NAME?</v>
      </c>
      <c r="U285" t="e">
        <f ca="1"/>
        <v>#NAME?</v>
      </c>
      <c r="V285" s="5" t="e">
        <f ca="1"/>
        <v>#NAME?</v>
      </c>
      <c r="W285" t="e">
        <f ca="1"/>
        <v>#NAME?</v>
      </c>
      <c r="X285" t="e">
        <f ca="1"/>
        <v>#NAME?</v>
      </c>
      <c r="Y285" t="e">
        <f ca="1"/>
        <v>#NAME?</v>
      </c>
      <c r="Z285" t="e">
        <f ca="1"/>
        <v>#NAME?</v>
      </c>
      <c r="AA285" t="e">
        <f ca="1"/>
        <v>#NAME?</v>
      </c>
      <c r="AB285" t="e">
        <f ca="1"/>
        <v>#NAME?</v>
      </c>
    </row>
    <row r="286" spans="1:28" x14ac:dyDescent="0.2">
      <c r="A286" t="e">
        <f ca="1"/>
        <v>#NAME?</v>
      </c>
      <c r="B286" t="e">
        <f ca="1"/>
        <v>#NAME?</v>
      </c>
      <c r="C286" t="e">
        <f ca="1"/>
        <v>#NAME?</v>
      </c>
      <c r="D286" t="e">
        <f ca="1"/>
        <v>#NAME?</v>
      </c>
      <c r="E286" t="e">
        <f ca="1"/>
        <v>#NAME?</v>
      </c>
      <c r="F286" t="e">
        <f ca="1"/>
        <v>#NAME?</v>
      </c>
      <c r="G286" t="e">
        <f ca="1"/>
        <v>#NAME?</v>
      </c>
      <c r="H286" t="e">
        <f ca="1"/>
        <v>#NAME?</v>
      </c>
      <c r="I286" t="e">
        <f ca="1"/>
        <v>#NAME?</v>
      </c>
      <c r="J286" t="e">
        <f ca="1"/>
        <v>#NAME?</v>
      </c>
      <c r="K286" t="e">
        <f ca="1"/>
        <v>#NAME?</v>
      </c>
      <c r="L286" t="e">
        <f ca="1"/>
        <v>#NAME?</v>
      </c>
      <c r="M286" t="e">
        <f ca="1"/>
        <v>#NAME?</v>
      </c>
      <c r="N286" t="e">
        <f ca="1"/>
        <v>#NAME?</v>
      </c>
      <c r="O286" t="e">
        <f ca="1"/>
        <v>#NAME?</v>
      </c>
      <c r="P286" t="e">
        <f ca="1"/>
        <v>#NAME?</v>
      </c>
      <c r="Q286" t="e">
        <f ca="1"/>
        <v>#NAME?</v>
      </c>
      <c r="R286" t="e">
        <f ca="1"/>
        <v>#NAME?</v>
      </c>
      <c r="S286" t="e">
        <f ca="1"/>
        <v>#NAME?</v>
      </c>
      <c r="T286" t="e">
        <f ca="1"/>
        <v>#NAME?</v>
      </c>
      <c r="U286" t="e">
        <f ca="1"/>
        <v>#NAME?</v>
      </c>
      <c r="V286" s="5" t="e">
        <f ca="1"/>
        <v>#NAME?</v>
      </c>
      <c r="W286" t="e">
        <f ca="1"/>
        <v>#NAME?</v>
      </c>
      <c r="X286" t="e">
        <f ca="1"/>
        <v>#NAME?</v>
      </c>
      <c r="Y286" t="e">
        <f ca="1"/>
        <v>#NAME?</v>
      </c>
      <c r="Z286" t="e">
        <f ca="1"/>
        <v>#NAME?</v>
      </c>
      <c r="AA286" t="e">
        <f ca="1"/>
        <v>#NAME?</v>
      </c>
      <c r="AB286" t="e">
        <f ca="1"/>
        <v>#NAME?</v>
      </c>
    </row>
    <row r="287" spans="1:28" x14ac:dyDescent="0.2">
      <c r="A287" t="e">
        <f ca="1"/>
        <v>#NAME?</v>
      </c>
      <c r="B287" t="e">
        <f ca="1"/>
        <v>#NAME?</v>
      </c>
      <c r="C287" t="e">
        <f ca="1"/>
        <v>#NAME?</v>
      </c>
      <c r="D287" t="e">
        <f ca="1"/>
        <v>#NAME?</v>
      </c>
      <c r="E287" t="e">
        <f ca="1"/>
        <v>#NAME?</v>
      </c>
      <c r="F287" t="e">
        <f ca="1"/>
        <v>#NAME?</v>
      </c>
      <c r="G287" t="e">
        <f ca="1"/>
        <v>#NAME?</v>
      </c>
      <c r="H287" t="e">
        <f ca="1"/>
        <v>#NAME?</v>
      </c>
      <c r="I287" t="e">
        <f ca="1"/>
        <v>#NAME?</v>
      </c>
      <c r="J287" t="e">
        <f ca="1"/>
        <v>#NAME?</v>
      </c>
      <c r="K287" t="e">
        <f ca="1"/>
        <v>#NAME?</v>
      </c>
      <c r="L287" t="e">
        <f ca="1"/>
        <v>#NAME?</v>
      </c>
      <c r="M287" t="e">
        <f ca="1"/>
        <v>#NAME?</v>
      </c>
      <c r="N287" t="e">
        <f ca="1"/>
        <v>#NAME?</v>
      </c>
      <c r="O287" t="e">
        <f ca="1"/>
        <v>#NAME?</v>
      </c>
      <c r="P287" t="e">
        <f ca="1"/>
        <v>#NAME?</v>
      </c>
      <c r="Q287" t="e">
        <f ca="1"/>
        <v>#NAME?</v>
      </c>
      <c r="R287" t="e">
        <f ca="1"/>
        <v>#NAME?</v>
      </c>
      <c r="S287" t="e">
        <f ca="1"/>
        <v>#NAME?</v>
      </c>
      <c r="T287" t="e">
        <f ca="1"/>
        <v>#NAME?</v>
      </c>
      <c r="U287" t="e">
        <f ca="1"/>
        <v>#NAME?</v>
      </c>
      <c r="V287" s="5" t="e">
        <f ca="1"/>
        <v>#NAME?</v>
      </c>
      <c r="W287" t="e">
        <f ca="1"/>
        <v>#NAME?</v>
      </c>
      <c r="X287" t="e">
        <f ca="1"/>
        <v>#NAME?</v>
      </c>
      <c r="Y287" t="e">
        <f ca="1"/>
        <v>#NAME?</v>
      </c>
      <c r="Z287" t="e">
        <f ca="1"/>
        <v>#NAME?</v>
      </c>
      <c r="AA287" t="e">
        <f ca="1"/>
        <v>#NAME?</v>
      </c>
      <c r="AB287" t="e">
        <f ca="1"/>
        <v>#NAME?</v>
      </c>
    </row>
    <row r="288" spans="1:28" x14ac:dyDescent="0.2">
      <c r="A288" t="e">
        <f ca="1"/>
        <v>#NAME?</v>
      </c>
      <c r="B288" t="e">
        <f ca="1"/>
        <v>#NAME?</v>
      </c>
      <c r="C288" t="e">
        <f ca="1"/>
        <v>#NAME?</v>
      </c>
      <c r="D288" t="e">
        <f ca="1"/>
        <v>#NAME?</v>
      </c>
      <c r="E288" t="e">
        <f ca="1"/>
        <v>#NAME?</v>
      </c>
      <c r="F288" t="e">
        <f ca="1"/>
        <v>#NAME?</v>
      </c>
      <c r="G288" t="e">
        <f ca="1"/>
        <v>#NAME?</v>
      </c>
      <c r="H288" t="e">
        <f ca="1"/>
        <v>#NAME?</v>
      </c>
      <c r="I288" t="e">
        <f ca="1"/>
        <v>#NAME?</v>
      </c>
      <c r="J288" t="e">
        <f ca="1"/>
        <v>#NAME?</v>
      </c>
      <c r="K288" t="e">
        <f ca="1"/>
        <v>#NAME?</v>
      </c>
      <c r="L288" t="e">
        <f ca="1"/>
        <v>#NAME?</v>
      </c>
      <c r="M288" t="e">
        <f ca="1"/>
        <v>#NAME?</v>
      </c>
      <c r="N288" t="e">
        <f ca="1"/>
        <v>#NAME?</v>
      </c>
      <c r="O288" t="e">
        <f ca="1"/>
        <v>#NAME?</v>
      </c>
      <c r="P288" t="e">
        <f ca="1"/>
        <v>#NAME?</v>
      </c>
      <c r="Q288" t="e">
        <f ca="1"/>
        <v>#NAME?</v>
      </c>
      <c r="R288" t="e">
        <f ca="1"/>
        <v>#NAME?</v>
      </c>
      <c r="S288" t="e">
        <f ca="1"/>
        <v>#NAME?</v>
      </c>
      <c r="T288" t="e">
        <f ca="1"/>
        <v>#NAME?</v>
      </c>
      <c r="U288" t="e">
        <f ca="1"/>
        <v>#NAME?</v>
      </c>
      <c r="V288" s="5" t="e">
        <f ca="1"/>
        <v>#NAME?</v>
      </c>
      <c r="W288" t="e">
        <f ca="1"/>
        <v>#NAME?</v>
      </c>
      <c r="X288" t="e">
        <f ca="1"/>
        <v>#NAME?</v>
      </c>
      <c r="Y288" t="e">
        <f ca="1"/>
        <v>#NAME?</v>
      </c>
      <c r="Z288" t="e">
        <f ca="1"/>
        <v>#NAME?</v>
      </c>
      <c r="AA288" t="e">
        <f ca="1"/>
        <v>#NAME?</v>
      </c>
      <c r="AB288" t="e">
        <f ca="1"/>
        <v>#NAME?</v>
      </c>
    </row>
    <row r="289" spans="1:28" x14ac:dyDescent="0.2">
      <c r="A289" t="e">
        <f ca="1"/>
        <v>#NAME?</v>
      </c>
      <c r="B289" t="e">
        <f ca="1"/>
        <v>#NAME?</v>
      </c>
      <c r="C289" t="e">
        <f ca="1"/>
        <v>#NAME?</v>
      </c>
      <c r="D289" t="e">
        <f ca="1"/>
        <v>#NAME?</v>
      </c>
      <c r="E289" t="e">
        <f ca="1"/>
        <v>#NAME?</v>
      </c>
      <c r="F289" t="e">
        <f ca="1"/>
        <v>#NAME?</v>
      </c>
      <c r="G289" t="e">
        <f ca="1"/>
        <v>#NAME?</v>
      </c>
      <c r="H289" t="e">
        <f ca="1"/>
        <v>#NAME?</v>
      </c>
      <c r="I289" t="e">
        <f ca="1"/>
        <v>#NAME?</v>
      </c>
      <c r="J289" t="e">
        <f ca="1"/>
        <v>#NAME?</v>
      </c>
      <c r="K289" t="e">
        <f ca="1"/>
        <v>#NAME?</v>
      </c>
      <c r="L289" t="e">
        <f ca="1"/>
        <v>#NAME?</v>
      </c>
      <c r="M289" t="e">
        <f ca="1"/>
        <v>#NAME?</v>
      </c>
      <c r="N289" t="e">
        <f ca="1"/>
        <v>#NAME?</v>
      </c>
      <c r="O289" t="e">
        <f ca="1"/>
        <v>#NAME?</v>
      </c>
      <c r="P289" t="e">
        <f ca="1"/>
        <v>#NAME?</v>
      </c>
      <c r="Q289" t="e">
        <f ca="1"/>
        <v>#NAME?</v>
      </c>
      <c r="R289" t="e">
        <f ca="1"/>
        <v>#NAME?</v>
      </c>
      <c r="S289" t="e">
        <f ca="1"/>
        <v>#NAME?</v>
      </c>
      <c r="T289" t="e">
        <f ca="1"/>
        <v>#NAME?</v>
      </c>
      <c r="U289" t="e">
        <f ca="1"/>
        <v>#NAME?</v>
      </c>
      <c r="V289" s="5" t="e">
        <f ca="1"/>
        <v>#NAME?</v>
      </c>
      <c r="W289" t="e">
        <f ca="1"/>
        <v>#NAME?</v>
      </c>
      <c r="X289" t="e">
        <f ca="1"/>
        <v>#NAME?</v>
      </c>
      <c r="Y289" t="e">
        <f ca="1"/>
        <v>#NAME?</v>
      </c>
      <c r="Z289" t="e">
        <f ca="1"/>
        <v>#NAME?</v>
      </c>
      <c r="AA289" t="e">
        <f ca="1"/>
        <v>#NAME?</v>
      </c>
      <c r="AB289" t="e">
        <f ca="1"/>
        <v>#NAME?</v>
      </c>
    </row>
    <row r="290" spans="1:28" x14ac:dyDescent="0.2">
      <c r="A290" t="e">
        <f ca="1"/>
        <v>#NAME?</v>
      </c>
      <c r="B290" t="e">
        <f ca="1"/>
        <v>#NAME?</v>
      </c>
      <c r="C290" t="e">
        <f ca="1"/>
        <v>#NAME?</v>
      </c>
      <c r="D290" t="e">
        <f ca="1"/>
        <v>#NAME?</v>
      </c>
      <c r="E290" t="e">
        <f ca="1"/>
        <v>#NAME?</v>
      </c>
      <c r="F290" t="e">
        <f ca="1"/>
        <v>#NAME?</v>
      </c>
      <c r="G290" t="e">
        <f ca="1"/>
        <v>#NAME?</v>
      </c>
      <c r="H290" t="e">
        <f ca="1"/>
        <v>#NAME?</v>
      </c>
      <c r="I290" t="e">
        <f ca="1"/>
        <v>#NAME?</v>
      </c>
      <c r="J290" t="e">
        <f ca="1"/>
        <v>#NAME?</v>
      </c>
      <c r="K290" t="e">
        <f ca="1"/>
        <v>#NAME?</v>
      </c>
      <c r="L290" t="e">
        <f ca="1"/>
        <v>#NAME?</v>
      </c>
      <c r="M290" t="e">
        <f ca="1"/>
        <v>#NAME?</v>
      </c>
      <c r="N290" t="e">
        <f ca="1"/>
        <v>#NAME?</v>
      </c>
      <c r="O290" t="e">
        <f ca="1"/>
        <v>#NAME?</v>
      </c>
      <c r="P290" t="e">
        <f ca="1"/>
        <v>#NAME?</v>
      </c>
      <c r="Q290" t="e">
        <f ca="1"/>
        <v>#NAME?</v>
      </c>
      <c r="R290" t="e">
        <f ca="1"/>
        <v>#NAME?</v>
      </c>
      <c r="S290" t="e">
        <f ca="1"/>
        <v>#NAME?</v>
      </c>
      <c r="T290" t="e">
        <f ca="1"/>
        <v>#NAME?</v>
      </c>
      <c r="U290" t="e">
        <f ca="1"/>
        <v>#NAME?</v>
      </c>
      <c r="V290" s="5" t="e">
        <f ca="1"/>
        <v>#NAME?</v>
      </c>
      <c r="W290" t="e">
        <f ca="1"/>
        <v>#NAME?</v>
      </c>
      <c r="X290" t="e">
        <f ca="1"/>
        <v>#NAME?</v>
      </c>
      <c r="Y290" t="e">
        <f ca="1"/>
        <v>#NAME?</v>
      </c>
      <c r="Z290" t="e">
        <f ca="1"/>
        <v>#NAME?</v>
      </c>
      <c r="AA290" t="e">
        <f ca="1"/>
        <v>#NAME?</v>
      </c>
      <c r="AB290" t="e">
        <f ca="1"/>
        <v>#NAME?</v>
      </c>
    </row>
    <row r="291" spans="1:28" x14ac:dyDescent="0.2">
      <c r="A291" t="e">
        <f ca="1"/>
        <v>#NAME?</v>
      </c>
      <c r="B291" t="e">
        <f ca="1"/>
        <v>#NAME?</v>
      </c>
      <c r="C291" t="e">
        <f ca="1"/>
        <v>#NAME?</v>
      </c>
      <c r="D291" t="e">
        <f ca="1"/>
        <v>#NAME?</v>
      </c>
      <c r="E291" t="e">
        <f ca="1"/>
        <v>#NAME?</v>
      </c>
      <c r="F291" t="e">
        <f ca="1"/>
        <v>#NAME?</v>
      </c>
      <c r="G291" t="e">
        <f ca="1"/>
        <v>#NAME?</v>
      </c>
      <c r="H291" t="e">
        <f ca="1"/>
        <v>#NAME?</v>
      </c>
      <c r="I291" t="e">
        <f ca="1"/>
        <v>#NAME?</v>
      </c>
      <c r="J291" t="e">
        <f ca="1"/>
        <v>#NAME?</v>
      </c>
      <c r="K291" t="e">
        <f ca="1"/>
        <v>#NAME?</v>
      </c>
      <c r="L291" t="e">
        <f ca="1"/>
        <v>#NAME?</v>
      </c>
      <c r="M291" t="e">
        <f ca="1"/>
        <v>#NAME?</v>
      </c>
      <c r="N291" t="e">
        <f ca="1"/>
        <v>#NAME?</v>
      </c>
      <c r="O291" t="e">
        <f ca="1"/>
        <v>#NAME?</v>
      </c>
      <c r="P291" t="e">
        <f ca="1"/>
        <v>#NAME?</v>
      </c>
      <c r="Q291" t="e">
        <f ca="1"/>
        <v>#NAME?</v>
      </c>
      <c r="R291" t="e">
        <f ca="1"/>
        <v>#NAME?</v>
      </c>
      <c r="S291" t="e">
        <f ca="1"/>
        <v>#NAME?</v>
      </c>
      <c r="T291" t="e">
        <f ca="1"/>
        <v>#NAME?</v>
      </c>
      <c r="U291" t="e">
        <f ca="1"/>
        <v>#NAME?</v>
      </c>
      <c r="V291" s="5" t="e">
        <f ca="1"/>
        <v>#NAME?</v>
      </c>
      <c r="W291" t="e">
        <f ca="1"/>
        <v>#NAME?</v>
      </c>
      <c r="X291" t="e">
        <f ca="1"/>
        <v>#NAME?</v>
      </c>
      <c r="Y291" t="e">
        <f ca="1"/>
        <v>#NAME?</v>
      </c>
      <c r="Z291" t="e">
        <f ca="1"/>
        <v>#NAME?</v>
      </c>
      <c r="AA291" t="e">
        <f ca="1"/>
        <v>#NAME?</v>
      </c>
      <c r="AB291" t="e">
        <f ca="1"/>
        <v>#NAME?</v>
      </c>
    </row>
    <row r="292" spans="1:28" x14ac:dyDescent="0.2">
      <c r="A292" t="e">
        <f ca="1"/>
        <v>#NAME?</v>
      </c>
      <c r="B292" t="e">
        <f ca="1"/>
        <v>#NAME?</v>
      </c>
      <c r="C292" t="e">
        <f ca="1"/>
        <v>#NAME?</v>
      </c>
      <c r="D292" t="e">
        <f ca="1"/>
        <v>#NAME?</v>
      </c>
      <c r="E292" t="e">
        <f ca="1"/>
        <v>#NAME?</v>
      </c>
      <c r="F292" t="e">
        <f ca="1"/>
        <v>#NAME?</v>
      </c>
      <c r="G292" t="e">
        <f ca="1"/>
        <v>#NAME?</v>
      </c>
      <c r="H292" t="e">
        <f ca="1"/>
        <v>#NAME?</v>
      </c>
      <c r="I292" t="e">
        <f ca="1"/>
        <v>#NAME?</v>
      </c>
      <c r="J292" t="e">
        <f ca="1"/>
        <v>#NAME?</v>
      </c>
      <c r="K292" t="e">
        <f ca="1"/>
        <v>#NAME?</v>
      </c>
      <c r="L292" t="e">
        <f ca="1"/>
        <v>#NAME?</v>
      </c>
      <c r="M292" t="e">
        <f ca="1"/>
        <v>#NAME?</v>
      </c>
      <c r="N292" t="e">
        <f ca="1"/>
        <v>#NAME?</v>
      </c>
      <c r="O292" t="e">
        <f ca="1"/>
        <v>#NAME?</v>
      </c>
      <c r="P292" t="e">
        <f ca="1"/>
        <v>#NAME?</v>
      </c>
      <c r="Q292" t="e">
        <f ca="1"/>
        <v>#NAME?</v>
      </c>
      <c r="R292" t="e">
        <f ca="1"/>
        <v>#NAME?</v>
      </c>
      <c r="S292" t="e">
        <f ca="1"/>
        <v>#NAME?</v>
      </c>
      <c r="T292" t="e">
        <f ca="1"/>
        <v>#NAME?</v>
      </c>
      <c r="U292" t="e">
        <f ca="1"/>
        <v>#NAME?</v>
      </c>
      <c r="V292" s="5" t="e">
        <f ca="1"/>
        <v>#NAME?</v>
      </c>
      <c r="W292" t="e">
        <f ca="1"/>
        <v>#NAME?</v>
      </c>
      <c r="X292" t="e">
        <f ca="1"/>
        <v>#NAME?</v>
      </c>
      <c r="Y292" t="e">
        <f ca="1"/>
        <v>#NAME?</v>
      </c>
      <c r="Z292" t="e">
        <f ca="1"/>
        <v>#NAME?</v>
      </c>
      <c r="AA292" t="e">
        <f ca="1"/>
        <v>#NAME?</v>
      </c>
      <c r="AB292" t="e">
        <f ca="1"/>
        <v>#NAME?</v>
      </c>
    </row>
    <row r="293" spans="1:28" x14ac:dyDescent="0.2">
      <c r="A293" t="e">
        <f ca="1"/>
        <v>#NAME?</v>
      </c>
      <c r="B293" t="e">
        <f ca="1"/>
        <v>#NAME?</v>
      </c>
      <c r="C293" t="e">
        <f ca="1"/>
        <v>#NAME?</v>
      </c>
      <c r="D293" t="e">
        <f ca="1"/>
        <v>#NAME?</v>
      </c>
      <c r="E293" t="e">
        <f ca="1"/>
        <v>#NAME?</v>
      </c>
      <c r="F293" t="e">
        <f ca="1"/>
        <v>#NAME?</v>
      </c>
      <c r="G293" t="e">
        <f ca="1"/>
        <v>#NAME?</v>
      </c>
      <c r="H293" t="e">
        <f ca="1"/>
        <v>#NAME?</v>
      </c>
      <c r="I293" t="e">
        <f ca="1"/>
        <v>#NAME?</v>
      </c>
      <c r="J293" t="e">
        <f ca="1"/>
        <v>#NAME?</v>
      </c>
      <c r="K293" t="e">
        <f ca="1"/>
        <v>#NAME?</v>
      </c>
      <c r="L293" t="e">
        <f ca="1"/>
        <v>#NAME?</v>
      </c>
      <c r="M293" t="e">
        <f ca="1"/>
        <v>#NAME?</v>
      </c>
      <c r="N293" t="e">
        <f ca="1"/>
        <v>#NAME?</v>
      </c>
      <c r="O293" t="e">
        <f ca="1"/>
        <v>#NAME?</v>
      </c>
      <c r="P293" t="e">
        <f ca="1"/>
        <v>#NAME?</v>
      </c>
      <c r="Q293" t="e">
        <f ca="1"/>
        <v>#NAME?</v>
      </c>
      <c r="R293" t="e">
        <f ca="1"/>
        <v>#NAME?</v>
      </c>
      <c r="S293" t="e">
        <f ca="1"/>
        <v>#NAME?</v>
      </c>
      <c r="T293" t="e">
        <f ca="1"/>
        <v>#NAME?</v>
      </c>
      <c r="U293" t="e">
        <f ca="1"/>
        <v>#NAME?</v>
      </c>
      <c r="V293" s="5" t="e">
        <f ca="1"/>
        <v>#NAME?</v>
      </c>
      <c r="W293" t="e">
        <f ca="1"/>
        <v>#NAME?</v>
      </c>
      <c r="X293" t="e">
        <f ca="1"/>
        <v>#NAME?</v>
      </c>
      <c r="Y293" t="e">
        <f ca="1"/>
        <v>#NAME?</v>
      </c>
      <c r="Z293" t="e">
        <f ca="1"/>
        <v>#NAME?</v>
      </c>
      <c r="AA293" t="e">
        <f ca="1"/>
        <v>#NAME?</v>
      </c>
      <c r="AB293" t="e">
        <f ca="1"/>
        <v>#NAME?</v>
      </c>
    </row>
    <row r="294" spans="1:28" x14ac:dyDescent="0.2">
      <c r="A294" t="e">
        <f ca="1"/>
        <v>#NAME?</v>
      </c>
      <c r="B294" t="e">
        <f ca="1"/>
        <v>#NAME?</v>
      </c>
      <c r="C294" t="e">
        <f ca="1"/>
        <v>#NAME?</v>
      </c>
      <c r="D294" t="e">
        <f ca="1"/>
        <v>#NAME?</v>
      </c>
      <c r="E294" t="e">
        <f ca="1"/>
        <v>#NAME?</v>
      </c>
      <c r="F294" t="e">
        <f ca="1"/>
        <v>#NAME?</v>
      </c>
      <c r="G294" t="e">
        <f ca="1"/>
        <v>#NAME?</v>
      </c>
      <c r="H294" t="e">
        <f ca="1"/>
        <v>#NAME?</v>
      </c>
      <c r="I294" t="e">
        <f ca="1"/>
        <v>#NAME?</v>
      </c>
      <c r="J294" t="e">
        <f ca="1"/>
        <v>#NAME?</v>
      </c>
      <c r="K294" t="e">
        <f ca="1"/>
        <v>#NAME?</v>
      </c>
      <c r="L294" t="e">
        <f ca="1"/>
        <v>#NAME?</v>
      </c>
      <c r="M294" t="e">
        <f ca="1"/>
        <v>#NAME?</v>
      </c>
      <c r="N294" t="e">
        <f ca="1"/>
        <v>#NAME?</v>
      </c>
      <c r="O294" t="e">
        <f ca="1"/>
        <v>#NAME?</v>
      </c>
      <c r="P294" t="e">
        <f ca="1"/>
        <v>#NAME?</v>
      </c>
      <c r="Q294" t="e">
        <f ca="1"/>
        <v>#NAME?</v>
      </c>
      <c r="R294" t="e">
        <f ca="1"/>
        <v>#NAME?</v>
      </c>
      <c r="S294" t="e">
        <f ca="1"/>
        <v>#NAME?</v>
      </c>
      <c r="T294" t="e">
        <f ca="1"/>
        <v>#NAME?</v>
      </c>
      <c r="U294" t="e">
        <f ca="1"/>
        <v>#NAME?</v>
      </c>
      <c r="V294" s="5" t="e">
        <f ca="1"/>
        <v>#NAME?</v>
      </c>
      <c r="W294" t="e">
        <f ca="1"/>
        <v>#NAME?</v>
      </c>
      <c r="X294" t="e">
        <f ca="1"/>
        <v>#NAME?</v>
      </c>
      <c r="Y294" t="e">
        <f ca="1"/>
        <v>#NAME?</v>
      </c>
      <c r="Z294" t="e">
        <f ca="1"/>
        <v>#NAME?</v>
      </c>
      <c r="AA294" t="e">
        <f ca="1"/>
        <v>#NAME?</v>
      </c>
      <c r="AB294" t="e">
        <f ca="1"/>
        <v>#NAME?</v>
      </c>
    </row>
    <row r="295" spans="1:28" x14ac:dyDescent="0.2">
      <c r="A295" t="e">
        <f ca="1"/>
        <v>#NAME?</v>
      </c>
      <c r="B295" t="e">
        <f ca="1"/>
        <v>#NAME?</v>
      </c>
      <c r="C295" t="e">
        <f ca="1"/>
        <v>#NAME?</v>
      </c>
      <c r="D295" t="e">
        <f ca="1"/>
        <v>#NAME?</v>
      </c>
      <c r="E295" t="e">
        <f ca="1"/>
        <v>#NAME?</v>
      </c>
      <c r="F295" t="e">
        <f ca="1"/>
        <v>#NAME?</v>
      </c>
      <c r="G295" t="e">
        <f ca="1"/>
        <v>#NAME?</v>
      </c>
      <c r="H295" t="e">
        <f ca="1"/>
        <v>#NAME?</v>
      </c>
      <c r="I295" t="e">
        <f ca="1"/>
        <v>#NAME?</v>
      </c>
      <c r="J295" t="e">
        <f ca="1"/>
        <v>#NAME?</v>
      </c>
      <c r="K295" t="e">
        <f ca="1"/>
        <v>#NAME?</v>
      </c>
      <c r="L295" t="e">
        <f ca="1"/>
        <v>#NAME?</v>
      </c>
      <c r="M295" t="e">
        <f ca="1"/>
        <v>#NAME?</v>
      </c>
      <c r="N295" t="e">
        <f ca="1"/>
        <v>#NAME?</v>
      </c>
      <c r="O295" t="e">
        <f ca="1"/>
        <v>#NAME?</v>
      </c>
      <c r="P295" t="e">
        <f ca="1"/>
        <v>#NAME?</v>
      </c>
      <c r="Q295" t="e">
        <f ca="1"/>
        <v>#NAME?</v>
      </c>
      <c r="R295" t="e">
        <f ca="1"/>
        <v>#NAME?</v>
      </c>
      <c r="S295" t="e">
        <f ca="1"/>
        <v>#NAME?</v>
      </c>
      <c r="T295" t="e">
        <f ca="1"/>
        <v>#NAME?</v>
      </c>
      <c r="U295" t="e">
        <f ca="1"/>
        <v>#NAME?</v>
      </c>
      <c r="V295" s="5" t="e">
        <f ca="1"/>
        <v>#NAME?</v>
      </c>
      <c r="W295" t="e">
        <f ca="1"/>
        <v>#NAME?</v>
      </c>
      <c r="X295" t="e">
        <f ca="1"/>
        <v>#NAME?</v>
      </c>
      <c r="Y295" t="e">
        <f ca="1"/>
        <v>#NAME?</v>
      </c>
      <c r="Z295" t="e">
        <f ca="1"/>
        <v>#NAME?</v>
      </c>
      <c r="AA295" t="e">
        <f ca="1"/>
        <v>#NAME?</v>
      </c>
      <c r="AB295" t="e">
        <f ca="1"/>
        <v>#NAME?</v>
      </c>
    </row>
    <row r="296" spans="1:28" x14ac:dyDescent="0.2">
      <c r="A296" t="e">
        <f ca="1"/>
        <v>#NAME?</v>
      </c>
      <c r="B296" t="e">
        <f ca="1"/>
        <v>#NAME?</v>
      </c>
      <c r="C296" t="e">
        <f ca="1"/>
        <v>#NAME?</v>
      </c>
      <c r="D296" t="e">
        <f ca="1"/>
        <v>#NAME?</v>
      </c>
      <c r="E296" t="e">
        <f ca="1"/>
        <v>#NAME?</v>
      </c>
      <c r="F296" t="e">
        <f ca="1"/>
        <v>#NAME?</v>
      </c>
      <c r="G296" t="e">
        <f ca="1"/>
        <v>#NAME?</v>
      </c>
      <c r="H296" t="e">
        <f ca="1"/>
        <v>#NAME?</v>
      </c>
      <c r="I296" t="e">
        <f ca="1"/>
        <v>#NAME?</v>
      </c>
      <c r="J296" t="e">
        <f ca="1"/>
        <v>#NAME?</v>
      </c>
      <c r="K296" t="e">
        <f ca="1"/>
        <v>#NAME?</v>
      </c>
      <c r="L296" t="e">
        <f ca="1"/>
        <v>#NAME?</v>
      </c>
      <c r="M296" t="e">
        <f ca="1"/>
        <v>#NAME?</v>
      </c>
      <c r="N296" t="e">
        <f ca="1"/>
        <v>#NAME?</v>
      </c>
      <c r="O296" t="e">
        <f ca="1"/>
        <v>#NAME?</v>
      </c>
      <c r="P296" t="e">
        <f ca="1"/>
        <v>#NAME?</v>
      </c>
      <c r="Q296" t="e">
        <f ca="1"/>
        <v>#NAME?</v>
      </c>
      <c r="R296" t="e">
        <f ca="1"/>
        <v>#NAME?</v>
      </c>
      <c r="S296" t="e">
        <f ca="1"/>
        <v>#NAME?</v>
      </c>
      <c r="T296" t="e">
        <f ca="1"/>
        <v>#NAME?</v>
      </c>
      <c r="U296" t="e">
        <f ca="1"/>
        <v>#NAME?</v>
      </c>
      <c r="V296" s="5" t="e">
        <f ca="1"/>
        <v>#NAME?</v>
      </c>
      <c r="W296" t="e">
        <f ca="1"/>
        <v>#NAME?</v>
      </c>
      <c r="X296" t="e">
        <f ca="1"/>
        <v>#NAME?</v>
      </c>
      <c r="Y296" t="e">
        <f ca="1"/>
        <v>#NAME?</v>
      </c>
      <c r="Z296" t="e">
        <f ca="1"/>
        <v>#NAME?</v>
      </c>
      <c r="AA296" t="e">
        <f ca="1"/>
        <v>#NAME?</v>
      </c>
      <c r="AB296" t="e">
        <f ca="1"/>
        <v>#NAME?</v>
      </c>
    </row>
    <row r="297" spans="1:28" x14ac:dyDescent="0.2">
      <c r="A297" t="e">
        <f ca="1"/>
        <v>#NAME?</v>
      </c>
      <c r="B297" t="e">
        <f ca="1"/>
        <v>#NAME?</v>
      </c>
      <c r="C297" t="e">
        <f ca="1"/>
        <v>#NAME?</v>
      </c>
      <c r="D297" t="e">
        <f ca="1"/>
        <v>#NAME?</v>
      </c>
      <c r="E297" t="e">
        <f ca="1"/>
        <v>#NAME?</v>
      </c>
      <c r="F297" t="e">
        <f ca="1"/>
        <v>#NAME?</v>
      </c>
      <c r="G297" t="e">
        <f ca="1"/>
        <v>#NAME?</v>
      </c>
      <c r="H297" t="e">
        <f ca="1"/>
        <v>#NAME?</v>
      </c>
      <c r="I297" t="e">
        <f ca="1"/>
        <v>#NAME?</v>
      </c>
      <c r="J297" t="e">
        <f ca="1"/>
        <v>#NAME?</v>
      </c>
      <c r="K297" t="e">
        <f ca="1"/>
        <v>#NAME?</v>
      </c>
      <c r="L297" t="e">
        <f ca="1"/>
        <v>#NAME?</v>
      </c>
      <c r="M297" t="e">
        <f ca="1"/>
        <v>#NAME?</v>
      </c>
      <c r="N297" t="e">
        <f ca="1"/>
        <v>#NAME?</v>
      </c>
      <c r="O297" t="e">
        <f ca="1"/>
        <v>#NAME?</v>
      </c>
      <c r="P297" t="e">
        <f ca="1"/>
        <v>#NAME?</v>
      </c>
      <c r="Q297" t="e">
        <f ca="1"/>
        <v>#NAME?</v>
      </c>
      <c r="R297" t="e">
        <f ca="1"/>
        <v>#NAME?</v>
      </c>
      <c r="S297" t="e">
        <f ca="1"/>
        <v>#NAME?</v>
      </c>
      <c r="T297" t="e">
        <f ca="1"/>
        <v>#NAME?</v>
      </c>
      <c r="U297" t="e">
        <f ca="1"/>
        <v>#NAME?</v>
      </c>
      <c r="V297" s="5" t="e">
        <f ca="1"/>
        <v>#NAME?</v>
      </c>
      <c r="W297" t="e">
        <f ca="1"/>
        <v>#NAME?</v>
      </c>
      <c r="X297" t="e">
        <f ca="1"/>
        <v>#NAME?</v>
      </c>
      <c r="Y297" t="e">
        <f ca="1"/>
        <v>#NAME?</v>
      </c>
      <c r="Z297" t="e">
        <f ca="1"/>
        <v>#NAME?</v>
      </c>
      <c r="AA297" t="e">
        <f ca="1"/>
        <v>#NAME?</v>
      </c>
      <c r="AB297" t="e">
        <f ca="1"/>
        <v>#NAME?</v>
      </c>
    </row>
    <row r="298" spans="1:28" x14ac:dyDescent="0.2">
      <c r="A298" t="e">
        <f ca="1"/>
        <v>#NAME?</v>
      </c>
      <c r="B298" t="e">
        <f ca="1"/>
        <v>#NAME?</v>
      </c>
      <c r="C298" t="e">
        <f ca="1"/>
        <v>#NAME?</v>
      </c>
      <c r="D298" t="e">
        <f ca="1"/>
        <v>#NAME?</v>
      </c>
      <c r="E298" t="e">
        <f ca="1"/>
        <v>#NAME?</v>
      </c>
      <c r="F298" t="e">
        <f ca="1"/>
        <v>#NAME?</v>
      </c>
      <c r="G298" t="e">
        <f ca="1"/>
        <v>#NAME?</v>
      </c>
      <c r="H298" t="e">
        <f ca="1"/>
        <v>#NAME?</v>
      </c>
      <c r="I298" t="e">
        <f ca="1"/>
        <v>#NAME?</v>
      </c>
      <c r="J298" t="e">
        <f ca="1"/>
        <v>#NAME?</v>
      </c>
      <c r="K298" t="e">
        <f ca="1"/>
        <v>#NAME?</v>
      </c>
      <c r="L298" t="e">
        <f ca="1"/>
        <v>#NAME?</v>
      </c>
      <c r="M298" t="e">
        <f ca="1"/>
        <v>#NAME?</v>
      </c>
      <c r="N298" t="e">
        <f ca="1"/>
        <v>#NAME?</v>
      </c>
      <c r="O298" t="e">
        <f ca="1"/>
        <v>#NAME?</v>
      </c>
      <c r="P298" t="e">
        <f ca="1"/>
        <v>#NAME?</v>
      </c>
      <c r="Q298" t="e">
        <f ca="1"/>
        <v>#NAME?</v>
      </c>
      <c r="R298" t="e">
        <f ca="1"/>
        <v>#NAME?</v>
      </c>
      <c r="S298" t="e">
        <f ca="1"/>
        <v>#NAME?</v>
      </c>
      <c r="T298" t="e">
        <f ca="1"/>
        <v>#NAME?</v>
      </c>
      <c r="U298" t="e">
        <f ca="1"/>
        <v>#NAME?</v>
      </c>
      <c r="V298" s="5" t="e">
        <f ca="1"/>
        <v>#NAME?</v>
      </c>
      <c r="W298" t="e">
        <f ca="1"/>
        <v>#NAME?</v>
      </c>
      <c r="X298" t="e">
        <f ca="1"/>
        <v>#NAME?</v>
      </c>
      <c r="Y298" t="e">
        <f ca="1"/>
        <v>#NAME?</v>
      </c>
      <c r="Z298" t="e">
        <f ca="1"/>
        <v>#NAME?</v>
      </c>
      <c r="AA298" t="e">
        <f ca="1"/>
        <v>#NAME?</v>
      </c>
      <c r="AB298" t="e">
        <f ca="1"/>
        <v>#NAME?</v>
      </c>
    </row>
    <row r="299" spans="1:28" x14ac:dyDescent="0.2">
      <c r="A299" t="e">
        <f ca="1"/>
        <v>#NAME?</v>
      </c>
      <c r="B299" t="e">
        <f ca="1"/>
        <v>#NAME?</v>
      </c>
      <c r="C299" t="e">
        <f ca="1"/>
        <v>#NAME?</v>
      </c>
      <c r="D299" t="e">
        <f ca="1"/>
        <v>#NAME?</v>
      </c>
      <c r="E299" t="e">
        <f ca="1"/>
        <v>#NAME?</v>
      </c>
      <c r="F299" t="e">
        <f ca="1"/>
        <v>#NAME?</v>
      </c>
      <c r="G299" t="e">
        <f ca="1"/>
        <v>#NAME?</v>
      </c>
      <c r="H299" t="e">
        <f ca="1"/>
        <v>#NAME?</v>
      </c>
      <c r="I299" t="e">
        <f ca="1"/>
        <v>#NAME?</v>
      </c>
      <c r="J299" t="e">
        <f ca="1"/>
        <v>#NAME?</v>
      </c>
      <c r="K299" t="e">
        <f ca="1"/>
        <v>#NAME?</v>
      </c>
      <c r="L299" t="e">
        <f ca="1"/>
        <v>#NAME?</v>
      </c>
      <c r="M299" t="e">
        <f ca="1"/>
        <v>#NAME?</v>
      </c>
      <c r="N299" t="e">
        <f ca="1"/>
        <v>#NAME?</v>
      </c>
      <c r="O299" t="e">
        <f ca="1"/>
        <v>#NAME?</v>
      </c>
      <c r="P299" t="e">
        <f ca="1"/>
        <v>#NAME?</v>
      </c>
      <c r="Q299" t="e">
        <f ca="1"/>
        <v>#NAME?</v>
      </c>
      <c r="R299" t="e">
        <f ca="1"/>
        <v>#NAME?</v>
      </c>
      <c r="S299" t="e">
        <f ca="1"/>
        <v>#NAME?</v>
      </c>
      <c r="T299" t="e">
        <f ca="1"/>
        <v>#NAME?</v>
      </c>
      <c r="U299" t="e">
        <f ca="1"/>
        <v>#NAME?</v>
      </c>
      <c r="V299" s="5" t="e">
        <f ca="1"/>
        <v>#NAME?</v>
      </c>
      <c r="W299" t="e">
        <f ca="1"/>
        <v>#NAME?</v>
      </c>
      <c r="X299" t="e">
        <f ca="1"/>
        <v>#NAME?</v>
      </c>
      <c r="Y299" t="e">
        <f ca="1"/>
        <v>#NAME?</v>
      </c>
      <c r="Z299" t="e">
        <f ca="1"/>
        <v>#NAME?</v>
      </c>
      <c r="AA299" t="e">
        <f ca="1"/>
        <v>#NAME?</v>
      </c>
      <c r="AB299" t="e">
        <f ca="1"/>
        <v>#NAME?</v>
      </c>
    </row>
    <row r="300" spans="1:28" x14ac:dyDescent="0.2">
      <c r="A300" t="e">
        <f ca="1"/>
        <v>#NAME?</v>
      </c>
      <c r="B300" t="e">
        <f ca="1"/>
        <v>#NAME?</v>
      </c>
      <c r="C300" t="e">
        <f ca="1"/>
        <v>#NAME?</v>
      </c>
      <c r="D300" t="e">
        <f ca="1"/>
        <v>#NAME?</v>
      </c>
      <c r="E300" t="e">
        <f ca="1"/>
        <v>#NAME?</v>
      </c>
      <c r="F300" t="e">
        <f ca="1"/>
        <v>#NAME?</v>
      </c>
      <c r="G300" t="e">
        <f ca="1"/>
        <v>#NAME?</v>
      </c>
      <c r="H300" t="e">
        <f ca="1"/>
        <v>#NAME?</v>
      </c>
      <c r="I300" t="e">
        <f ca="1"/>
        <v>#NAME?</v>
      </c>
      <c r="J300" t="e">
        <f ca="1"/>
        <v>#NAME?</v>
      </c>
      <c r="K300" t="e">
        <f ca="1"/>
        <v>#NAME?</v>
      </c>
      <c r="L300" t="e">
        <f ca="1"/>
        <v>#NAME?</v>
      </c>
      <c r="M300" t="e">
        <f ca="1"/>
        <v>#NAME?</v>
      </c>
      <c r="N300" t="e">
        <f ca="1"/>
        <v>#NAME?</v>
      </c>
      <c r="O300" t="e">
        <f ca="1"/>
        <v>#NAME?</v>
      </c>
      <c r="P300" t="e">
        <f ca="1"/>
        <v>#NAME?</v>
      </c>
      <c r="Q300" t="e">
        <f ca="1"/>
        <v>#NAME?</v>
      </c>
      <c r="R300" t="e">
        <f ca="1"/>
        <v>#NAME?</v>
      </c>
      <c r="S300" t="e">
        <f ca="1"/>
        <v>#NAME?</v>
      </c>
      <c r="T300" t="e">
        <f ca="1"/>
        <v>#NAME?</v>
      </c>
      <c r="U300" t="e">
        <f ca="1"/>
        <v>#NAME?</v>
      </c>
      <c r="V300" s="5" t="e">
        <f ca="1"/>
        <v>#NAME?</v>
      </c>
      <c r="W300" t="e">
        <f ca="1"/>
        <v>#NAME?</v>
      </c>
      <c r="X300" t="e">
        <f ca="1"/>
        <v>#NAME?</v>
      </c>
      <c r="Y300" t="e">
        <f ca="1"/>
        <v>#NAME?</v>
      </c>
      <c r="Z300" t="e">
        <f ca="1"/>
        <v>#NAME?</v>
      </c>
      <c r="AA300" t="e">
        <f ca="1"/>
        <v>#NAME?</v>
      </c>
      <c r="AB300" t="e">
        <f ca="1"/>
        <v>#NAME?</v>
      </c>
    </row>
    <row r="301" spans="1:28" x14ac:dyDescent="0.2">
      <c r="A301" t="e">
        <f ca="1"/>
        <v>#NAME?</v>
      </c>
      <c r="B301" t="e">
        <f ca="1"/>
        <v>#NAME?</v>
      </c>
      <c r="C301" t="e">
        <f ca="1"/>
        <v>#NAME?</v>
      </c>
      <c r="D301" t="e">
        <f ca="1"/>
        <v>#NAME?</v>
      </c>
      <c r="E301" t="e">
        <f ca="1"/>
        <v>#NAME?</v>
      </c>
      <c r="F301" t="e">
        <f ca="1"/>
        <v>#NAME?</v>
      </c>
      <c r="G301" t="e">
        <f ca="1"/>
        <v>#NAME?</v>
      </c>
      <c r="H301" t="e">
        <f ca="1"/>
        <v>#NAME?</v>
      </c>
      <c r="I301" t="e">
        <f ca="1"/>
        <v>#NAME?</v>
      </c>
      <c r="J301" t="e">
        <f ca="1"/>
        <v>#NAME?</v>
      </c>
      <c r="K301" t="e">
        <f ca="1"/>
        <v>#NAME?</v>
      </c>
      <c r="L301" t="e">
        <f ca="1"/>
        <v>#NAME?</v>
      </c>
      <c r="M301" t="e">
        <f ca="1"/>
        <v>#NAME?</v>
      </c>
      <c r="N301" t="e">
        <f ca="1"/>
        <v>#NAME?</v>
      </c>
      <c r="O301" t="e">
        <f ca="1"/>
        <v>#NAME?</v>
      </c>
      <c r="P301" t="e">
        <f ca="1"/>
        <v>#NAME?</v>
      </c>
      <c r="Q301" t="e">
        <f ca="1"/>
        <v>#NAME?</v>
      </c>
      <c r="R301" t="e">
        <f ca="1"/>
        <v>#NAME?</v>
      </c>
      <c r="S301" t="e">
        <f ca="1"/>
        <v>#NAME?</v>
      </c>
      <c r="T301" t="e">
        <f ca="1"/>
        <v>#NAME?</v>
      </c>
      <c r="U301" t="e">
        <f ca="1"/>
        <v>#NAME?</v>
      </c>
      <c r="V301" s="5" t="e">
        <f ca="1"/>
        <v>#NAME?</v>
      </c>
      <c r="W301" t="e">
        <f ca="1"/>
        <v>#NAME?</v>
      </c>
      <c r="X301" t="e">
        <f ca="1"/>
        <v>#NAME?</v>
      </c>
      <c r="Y301" t="e">
        <f ca="1"/>
        <v>#NAME?</v>
      </c>
      <c r="Z301" t="e">
        <f ca="1"/>
        <v>#NAME?</v>
      </c>
      <c r="AA301" t="e">
        <f ca="1"/>
        <v>#NAME?</v>
      </c>
      <c r="AB301" t="e">
        <f ca="1"/>
        <v>#NAME?</v>
      </c>
    </row>
    <row r="302" spans="1:28" x14ac:dyDescent="0.2">
      <c r="A302" t="e">
        <f ca="1"/>
        <v>#NAME?</v>
      </c>
      <c r="B302" t="e">
        <f ca="1"/>
        <v>#NAME?</v>
      </c>
      <c r="C302" t="e">
        <f ca="1"/>
        <v>#NAME?</v>
      </c>
      <c r="D302" t="e">
        <f ca="1"/>
        <v>#NAME?</v>
      </c>
      <c r="E302" t="e">
        <f ca="1"/>
        <v>#NAME?</v>
      </c>
      <c r="F302" t="e">
        <f ca="1"/>
        <v>#NAME?</v>
      </c>
      <c r="G302" t="e">
        <f ca="1"/>
        <v>#NAME?</v>
      </c>
      <c r="H302" t="e">
        <f ca="1"/>
        <v>#NAME?</v>
      </c>
      <c r="I302" t="e">
        <f ca="1"/>
        <v>#NAME?</v>
      </c>
      <c r="J302" t="e">
        <f ca="1"/>
        <v>#NAME?</v>
      </c>
      <c r="K302" t="e">
        <f ca="1"/>
        <v>#NAME?</v>
      </c>
      <c r="L302" t="e">
        <f ca="1"/>
        <v>#NAME?</v>
      </c>
      <c r="M302" t="e">
        <f ca="1"/>
        <v>#NAME?</v>
      </c>
      <c r="N302" t="e">
        <f ca="1"/>
        <v>#NAME?</v>
      </c>
      <c r="O302" t="e">
        <f ca="1"/>
        <v>#NAME?</v>
      </c>
      <c r="P302" t="e">
        <f ca="1"/>
        <v>#NAME?</v>
      </c>
      <c r="Q302" t="e">
        <f ca="1"/>
        <v>#NAME?</v>
      </c>
      <c r="R302" t="e">
        <f ca="1"/>
        <v>#NAME?</v>
      </c>
      <c r="S302" t="e">
        <f ca="1"/>
        <v>#NAME?</v>
      </c>
      <c r="T302" t="e">
        <f ca="1"/>
        <v>#NAME?</v>
      </c>
      <c r="U302" t="e">
        <f ca="1"/>
        <v>#NAME?</v>
      </c>
      <c r="V302" s="5" t="e">
        <f ca="1"/>
        <v>#NAME?</v>
      </c>
      <c r="W302" t="e">
        <f ca="1"/>
        <v>#NAME?</v>
      </c>
      <c r="X302" t="e">
        <f ca="1"/>
        <v>#NAME?</v>
      </c>
      <c r="Y302" t="e">
        <f ca="1"/>
        <v>#NAME?</v>
      </c>
      <c r="Z302" t="e">
        <f ca="1"/>
        <v>#NAME?</v>
      </c>
      <c r="AA302" t="e">
        <f ca="1"/>
        <v>#NAME?</v>
      </c>
      <c r="AB302" t="e">
        <f ca="1"/>
        <v>#NAME?</v>
      </c>
    </row>
    <row r="303" spans="1:28" x14ac:dyDescent="0.2">
      <c r="A303" t="e">
        <f ca="1"/>
        <v>#NAME?</v>
      </c>
      <c r="B303" t="e">
        <f ca="1"/>
        <v>#NAME?</v>
      </c>
      <c r="C303" t="e">
        <f ca="1"/>
        <v>#NAME?</v>
      </c>
      <c r="D303" t="e">
        <f ca="1"/>
        <v>#NAME?</v>
      </c>
      <c r="E303" t="e">
        <f ca="1"/>
        <v>#NAME?</v>
      </c>
      <c r="F303" t="e">
        <f ca="1"/>
        <v>#NAME?</v>
      </c>
      <c r="G303" t="e">
        <f ca="1"/>
        <v>#NAME?</v>
      </c>
      <c r="H303" t="e">
        <f ca="1"/>
        <v>#NAME?</v>
      </c>
      <c r="I303" t="e">
        <f ca="1"/>
        <v>#NAME?</v>
      </c>
      <c r="J303" t="e">
        <f ca="1"/>
        <v>#NAME?</v>
      </c>
      <c r="K303" t="e">
        <f ca="1"/>
        <v>#NAME?</v>
      </c>
      <c r="L303" t="e">
        <f ca="1"/>
        <v>#NAME?</v>
      </c>
      <c r="M303" t="e">
        <f ca="1"/>
        <v>#NAME?</v>
      </c>
      <c r="N303" t="e">
        <f ca="1"/>
        <v>#NAME?</v>
      </c>
      <c r="O303" t="e">
        <f ca="1"/>
        <v>#NAME?</v>
      </c>
      <c r="P303" t="e">
        <f ca="1"/>
        <v>#NAME?</v>
      </c>
      <c r="Q303" t="e">
        <f ca="1"/>
        <v>#NAME?</v>
      </c>
      <c r="R303" t="e">
        <f ca="1"/>
        <v>#NAME?</v>
      </c>
      <c r="S303" t="e">
        <f ca="1"/>
        <v>#NAME?</v>
      </c>
      <c r="T303" t="e">
        <f ca="1"/>
        <v>#NAME?</v>
      </c>
      <c r="U303" t="e">
        <f ca="1"/>
        <v>#NAME?</v>
      </c>
      <c r="V303" s="5" t="e">
        <f ca="1"/>
        <v>#NAME?</v>
      </c>
      <c r="W303" t="e">
        <f ca="1"/>
        <v>#NAME?</v>
      </c>
      <c r="X303" t="e">
        <f ca="1"/>
        <v>#NAME?</v>
      </c>
      <c r="Y303" t="e">
        <f ca="1"/>
        <v>#NAME?</v>
      </c>
      <c r="Z303" t="e">
        <f ca="1"/>
        <v>#NAME?</v>
      </c>
      <c r="AA303" t="e">
        <f ca="1"/>
        <v>#NAME?</v>
      </c>
      <c r="AB303" t="e">
        <f ca="1"/>
        <v>#NAME?</v>
      </c>
    </row>
    <row r="304" spans="1:28" x14ac:dyDescent="0.2">
      <c r="A304" t="e">
        <f ca="1"/>
        <v>#NAME?</v>
      </c>
      <c r="B304" t="e">
        <f ca="1"/>
        <v>#NAME?</v>
      </c>
      <c r="C304" t="e">
        <f ca="1"/>
        <v>#NAME?</v>
      </c>
      <c r="D304" t="e">
        <f ca="1"/>
        <v>#NAME?</v>
      </c>
      <c r="E304" t="e">
        <f ca="1"/>
        <v>#NAME?</v>
      </c>
      <c r="F304" t="e">
        <f ca="1"/>
        <v>#NAME?</v>
      </c>
      <c r="G304" t="e">
        <f ca="1"/>
        <v>#NAME?</v>
      </c>
      <c r="H304" t="e">
        <f ca="1"/>
        <v>#NAME?</v>
      </c>
      <c r="I304" t="e">
        <f ca="1"/>
        <v>#NAME?</v>
      </c>
      <c r="J304" t="e">
        <f ca="1"/>
        <v>#NAME?</v>
      </c>
      <c r="K304" t="e">
        <f ca="1"/>
        <v>#NAME?</v>
      </c>
      <c r="L304" t="e">
        <f ca="1"/>
        <v>#NAME?</v>
      </c>
      <c r="M304" t="e">
        <f ca="1"/>
        <v>#NAME?</v>
      </c>
      <c r="N304" t="e">
        <f ca="1"/>
        <v>#NAME?</v>
      </c>
      <c r="O304" t="e">
        <f ca="1"/>
        <v>#NAME?</v>
      </c>
      <c r="P304" t="e">
        <f ca="1"/>
        <v>#NAME?</v>
      </c>
      <c r="Q304" t="e">
        <f ca="1"/>
        <v>#NAME?</v>
      </c>
      <c r="R304" t="e">
        <f ca="1"/>
        <v>#NAME?</v>
      </c>
      <c r="S304" t="e">
        <f ca="1"/>
        <v>#NAME?</v>
      </c>
      <c r="T304" t="e">
        <f ca="1"/>
        <v>#NAME?</v>
      </c>
      <c r="U304" t="e">
        <f ca="1"/>
        <v>#NAME?</v>
      </c>
      <c r="V304" s="5" t="e">
        <f ca="1"/>
        <v>#NAME?</v>
      </c>
      <c r="W304" t="e">
        <f ca="1"/>
        <v>#NAME?</v>
      </c>
      <c r="X304" t="e">
        <f ca="1"/>
        <v>#NAME?</v>
      </c>
      <c r="Y304" t="e">
        <f ca="1"/>
        <v>#NAME?</v>
      </c>
      <c r="Z304" t="e">
        <f ca="1"/>
        <v>#NAME?</v>
      </c>
      <c r="AA304" t="e">
        <f ca="1"/>
        <v>#NAME?</v>
      </c>
      <c r="AB304" t="e">
        <f ca="1"/>
        <v>#NAME?</v>
      </c>
    </row>
    <row r="305" spans="1:28" x14ac:dyDescent="0.2">
      <c r="A305" t="e">
        <f ca="1"/>
        <v>#NAME?</v>
      </c>
      <c r="B305" t="e">
        <f ca="1"/>
        <v>#NAME?</v>
      </c>
      <c r="C305" t="e">
        <f ca="1"/>
        <v>#NAME?</v>
      </c>
      <c r="D305" t="e">
        <f ca="1"/>
        <v>#NAME?</v>
      </c>
      <c r="E305" t="e">
        <f ca="1"/>
        <v>#NAME?</v>
      </c>
      <c r="F305" t="e">
        <f ca="1"/>
        <v>#NAME?</v>
      </c>
      <c r="G305" t="e">
        <f ca="1"/>
        <v>#NAME?</v>
      </c>
      <c r="H305" t="e">
        <f ca="1"/>
        <v>#NAME?</v>
      </c>
      <c r="I305" t="e">
        <f ca="1"/>
        <v>#NAME?</v>
      </c>
      <c r="J305" t="e">
        <f ca="1"/>
        <v>#NAME?</v>
      </c>
      <c r="K305" t="e">
        <f ca="1"/>
        <v>#NAME?</v>
      </c>
      <c r="L305" t="e">
        <f ca="1"/>
        <v>#NAME?</v>
      </c>
      <c r="M305" t="e">
        <f ca="1"/>
        <v>#NAME?</v>
      </c>
      <c r="N305" t="e">
        <f ca="1"/>
        <v>#NAME?</v>
      </c>
      <c r="O305" t="e">
        <f ca="1"/>
        <v>#NAME?</v>
      </c>
      <c r="P305" t="e">
        <f ca="1"/>
        <v>#NAME?</v>
      </c>
      <c r="Q305" t="e">
        <f ca="1"/>
        <v>#NAME?</v>
      </c>
      <c r="R305" t="e">
        <f ca="1"/>
        <v>#NAME?</v>
      </c>
      <c r="S305" t="e">
        <f ca="1"/>
        <v>#NAME?</v>
      </c>
      <c r="T305" t="e">
        <f ca="1"/>
        <v>#NAME?</v>
      </c>
      <c r="U305" t="e">
        <f ca="1"/>
        <v>#NAME?</v>
      </c>
      <c r="V305" s="5" t="e">
        <f ca="1"/>
        <v>#NAME?</v>
      </c>
      <c r="W305" t="e">
        <f ca="1"/>
        <v>#NAME?</v>
      </c>
      <c r="X305" t="e">
        <f ca="1"/>
        <v>#NAME?</v>
      </c>
      <c r="Y305" t="e">
        <f ca="1"/>
        <v>#NAME?</v>
      </c>
      <c r="Z305" t="e">
        <f ca="1"/>
        <v>#NAME?</v>
      </c>
      <c r="AA305" t="e">
        <f ca="1"/>
        <v>#NAME?</v>
      </c>
      <c r="AB305" t="e">
        <f ca="1"/>
        <v>#NAME?</v>
      </c>
    </row>
    <row r="306" spans="1:28" x14ac:dyDescent="0.2">
      <c r="A306" t="e">
        <f ca="1"/>
        <v>#NAME?</v>
      </c>
      <c r="B306" t="e">
        <f ca="1"/>
        <v>#NAME?</v>
      </c>
      <c r="C306" t="e">
        <f ca="1"/>
        <v>#NAME?</v>
      </c>
      <c r="D306" t="e">
        <f ca="1"/>
        <v>#NAME?</v>
      </c>
      <c r="E306" t="e">
        <f ca="1"/>
        <v>#NAME?</v>
      </c>
      <c r="F306" t="e">
        <f ca="1"/>
        <v>#NAME?</v>
      </c>
      <c r="G306" t="e">
        <f ca="1"/>
        <v>#NAME?</v>
      </c>
      <c r="H306" t="e">
        <f ca="1"/>
        <v>#NAME?</v>
      </c>
      <c r="I306" t="e">
        <f ca="1"/>
        <v>#NAME?</v>
      </c>
      <c r="J306" t="e">
        <f ca="1"/>
        <v>#NAME?</v>
      </c>
      <c r="K306" t="e">
        <f ca="1"/>
        <v>#NAME?</v>
      </c>
      <c r="L306" t="e">
        <f ca="1"/>
        <v>#NAME?</v>
      </c>
      <c r="M306" t="e">
        <f ca="1"/>
        <v>#NAME?</v>
      </c>
      <c r="N306" t="e">
        <f ca="1"/>
        <v>#NAME?</v>
      </c>
      <c r="O306" t="e">
        <f ca="1"/>
        <v>#NAME?</v>
      </c>
      <c r="P306" t="e">
        <f ca="1"/>
        <v>#NAME?</v>
      </c>
      <c r="Q306" t="e">
        <f ca="1"/>
        <v>#NAME?</v>
      </c>
      <c r="R306" t="e">
        <f ca="1"/>
        <v>#NAME?</v>
      </c>
      <c r="S306" t="e">
        <f ca="1"/>
        <v>#NAME?</v>
      </c>
      <c r="T306" t="e">
        <f ca="1"/>
        <v>#NAME?</v>
      </c>
      <c r="U306" t="e">
        <f ca="1"/>
        <v>#NAME?</v>
      </c>
      <c r="V306" s="5" t="e">
        <f ca="1"/>
        <v>#NAME?</v>
      </c>
      <c r="W306" t="e">
        <f ca="1"/>
        <v>#NAME?</v>
      </c>
      <c r="X306" t="e">
        <f ca="1"/>
        <v>#NAME?</v>
      </c>
      <c r="Y306" t="e">
        <f ca="1"/>
        <v>#NAME?</v>
      </c>
      <c r="Z306" t="e">
        <f ca="1"/>
        <v>#NAME?</v>
      </c>
      <c r="AA306" t="e">
        <f ca="1"/>
        <v>#NAME?</v>
      </c>
      <c r="AB306" t="e">
        <f ca="1"/>
        <v>#NAME?</v>
      </c>
    </row>
    <row r="307" spans="1:28" x14ac:dyDescent="0.2">
      <c r="A307" t="e">
        <f ca="1"/>
        <v>#NAME?</v>
      </c>
      <c r="B307" t="e">
        <f ca="1"/>
        <v>#NAME?</v>
      </c>
      <c r="C307" t="e">
        <f ca="1"/>
        <v>#NAME?</v>
      </c>
      <c r="D307" t="e">
        <f ca="1"/>
        <v>#NAME?</v>
      </c>
      <c r="E307" t="e">
        <f ca="1"/>
        <v>#NAME?</v>
      </c>
      <c r="F307" t="e">
        <f ca="1"/>
        <v>#NAME?</v>
      </c>
      <c r="G307" t="e">
        <f ca="1"/>
        <v>#NAME?</v>
      </c>
      <c r="H307" t="e">
        <f ca="1"/>
        <v>#NAME?</v>
      </c>
      <c r="I307" t="e">
        <f ca="1"/>
        <v>#NAME?</v>
      </c>
      <c r="J307" t="e">
        <f ca="1"/>
        <v>#NAME?</v>
      </c>
      <c r="K307" t="e">
        <f ca="1"/>
        <v>#NAME?</v>
      </c>
      <c r="L307" t="e">
        <f ca="1"/>
        <v>#NAME?</v>
      </c>
      <c r="M307" t="e">
        <f ca="1"/>
        <v>#NAME?</v>
      </c>
      <c r="N307" t="e">
        <f ca="1"/>
        <v>#NAME?</v>
      </c>
      <c r="O307" t="e">
        <f ca="1"/>
        <v>#NAME?</v>
      </c>
      <c r="P307" t="e">
        <f ca="1"/>
        <v>#NAME?</v>
      </c>
      <c r="Q307" t="e">
        <f ca="1"/>
        <v>#NAME?</v>
      </c>
      <c r="R307" t="e">
        <f ca="1"/>
        <v>#NAME?</v>
      </c>
      <c r="S307" t="e">
        <f ca="1"/>
        <v>#NAME?</v>
      </c>
      <c r="T307" t="e">
        <f ca="1"/>
        <v>#NAME?</v>
      </c>
      <c r="U307" t="e">
        <f ca="1"/>
        <v>#NAME?</v>
      </c>
      <c r="V307" s="5" t="e">
        <f ca="1"/>
        <v>#NAME?</v>
      </c>
      <c r="W307" t="e">
        <f ca="1"/>
        <v>#NAME?</v>
      </c>
      <c r="X307" t="e">
        <f ca="1"/>
        <v>#NAME?</v>
      </c>
      <c r="Y307" t="e">
        <f ca="1"/>
        <v>#NAME?</v>
      </c>
      <c r="Z307" t="e">
        <f ca="1"/>
        <v>#NAME?</v>
      </c>
      <c r="AA307" t="e">
        <f ca="1"/>
        <v>#NAME?</v>
      </c>
      <c r="AB307" t="e">
        <f ca="1"/>
        <v>#NAME?</v>
      </c>
    </row>
    <row r="308" spans="1:28" x14ac:dyDescent="0.2">
      <c r="A308" t="e">
        <f ca="1"/>
        <v>#NAME?</v>
      </c>
      <c r="B308" t="e">
        <f ca="1"/>
        <v>#NAME?</v>
      </c>
      <c r="C308" t="e">
        <f ca="1"/>
        <v>#NAME?</v>
      </c>
      <c r="D308" t="e">
        <f ca="1"/>
        <v>#NAME?</v>
      </c>
      <c r="E308" t="e">
        <f ca="1"/>
        <v>#NAME?</v>
      </c>
      <c r="F308" t="e">
        <f ca="1"/>
        <v>#NAME?</v>
      </c>
      <c r="G308" t="e">
        <f ca="1"/>
        <v>#NAME?</v>
      </c>
      <c r="H308" t="e">
        <f ca="1"/>
        <v>#NAME?</v>
      </c>
      <c r="I308" t="e">
        <f ca="1"/>
        <v>#NAME?</v>
      </c>
      <c r="J308" t="e">
        <f ca="1"/>
        <v>#NAME?</v>
      </c>
      <c r="K308" t="e">
        <f ca="1"/>
        <v>#NAME?</v>
      </c>
      <c r="L308" t="e">
        <f ca="1"/>
        <v>#NAME?</v>
      </c>
      <c r="M308" t="e">
        <f ca="1"/>
        <v>#NAME?</v>
      </c>
      <c r="N308" t="e">
        <f ca="1"/>
        <v>#NAME?</v>
      </c>
      <c r="O308" t="e">
        <f ca="1"/>
        <v>#NAME?</v>
      </c>
      <c r="P308" t="e">
        <f ca="1"/>
        <v>#NAME?</v>
      </c>
      <c r="Q308" t="e">
        <f ca="1"/>
        <v>#NAME?</v>
      </c>
      <c r="R308" t="e">
        <f ca="1"/>
        <v>#NAME?</v>
      </c>
      <c r="S308" t="e">
        <f ca="1"/>
        <v>#NAME?</v>
      </c>
      <c r="T308" t="e">
        <f ca="1"/>
        <v>#NAME?</v>
      </c>
      <c r="U308" t="e">
        <f ca="1"/>
        <v>#NAME?</v>
      </c>
      <c r="V308" s="5" t="e">
        <f ca="1"/>
        <v>#NAME?</v>
      </c>
      <c r="W308" t="e">
        <f ca="1"/>
        <v>#NAME?</v>
      </c>
      <c r="X308" t="e">
        <f ca="1"/>
        <v>#NAME?</v>
      </c>
      <c r="Y308" t="e">
        <f ca="1"/>
        <v>#NAME?</v>
      </c>
      <c r="Z308" t="e">
        <f ca="1"/>
        <v>#NAME?</v>
      </c>
      <c r="AA308" t="e">
        <f ca="1"/>
        <v>#NAME?</v>
      </c>
      <c r="AB308" t="e">
        <f ca="1"/>
        <v>#NAME?</v>
      </c>
    </row>
    <row r="309" spans="1:28" x14ac:dyDescent="0.2">
      <c r="A309" t="e">
        <f ca="1"/>
        <v>#NAME?</v>
      </c>
      <c r="B309" t="e">
        <f ca="1"/>
        <v>#NAME?</v>
      </c>
      <c r="C309" t="e">
        <f ca="1"/>
        <v>#NAME?</v>
      </c>
      <c r="D309" t="e">
        <f ca="1"/>
        <v>#NAME?</v>
      </c>
      <c r="E309" t="e">
        <f ca="1"/>
        <v>#NAME?</v>
      </c>
      <c r="F309" t="e">
        <f ca="1"/>
        <v>#NAME?</v>
      </c>
      <c r="G309" t="e">
        <f ca="1"/>
        <v>#NAME?</v>
      </c>
      <c r="H309" t="e">
        <f ca="1"/>
        <v>#NAME?</v>
      </c>
      <c r="I309" t="e">
        <f ca="1"/>
        <v>#NAME?</v>
      </c>
      <c r="J309" t="e">
        <f ca="1"/>
        <v>#NAME?</v>
      </c>
      <c r="K309" t="e">
        <f ca="1"/>
        <v>#NAME?</v>
      </c>
      <c r="L309" t="e">
        <f ca="1"/>
        <v>#NAME?</v>
      </c>
      <c r="M309" t="e">
        <f ca="1"/>
        <v>#NAME?</v>
      </c>
      <c r="N309" t="e">
        <f ca="1"/>
        <v>#NAME?</v>
      </c>
      <c r="O309" t="e">
        <f ca="1"/>
        <v>#NAME?</v>
      </c>
      <c r="P309" t="e">
        <f ca="1"/>
        <v>#NAME?</v>
      </c>
      <c r="Q309" t="e">
        <f ca="1"/>
        <v>#NAME?</v>
      </c>
      <c r="R309" t="e">
        <f ca="1"/>
        <v>#NAME?</v>
      </c>
      <c r="S309" t="e">
        <f ca="1"/>
        <v>#NAME?</v>
      </c>
      <c r="T309" t="e">
        <f ca="1"/>
        <v>#NAME?</v>
      </c>
      <c r="U309" t="e">
        <f ca="1"/>
        <v>#NAME?</v>
      </c>
      <c r="V309" s="5" t="e">
        <f ca="1"/>
        <v>#NAME?</v>
      </c>
      <c r="W309" t="e">
        <f ca="1"/>
        <v>#NAME?</v>
      </c>
      <c r="X309" t="e">
        <f ca="1"/>
        <v>#NAME?</v>
      </c>
      <c r="Y309" t="e">
        <f ca="1"/>
        <v>#NAME?</v>
      </c>
      <c r="Z309" t="e">
        <f ca="1"/>
        <v>#NAME?</v>
      </c>
      <c r="AA309" t="e">
        <f ca="1"/>
        <v>#NAME?</v>
      </c>
      <c r="AB309" t="e">
        <f ca="1"/>
        <v>#NAME?</v>
      </c>
    </row>
    <row r="310" spans="1:28" x14ac:dyDescent="0.2">
      <c r="A310" t="e">
        <f ca="1"/>
        <v>#NAME?</v>
      </c>
      <c r="B310" t="e">
        <f ca="1"/>
        <v>#NAME?</v>
      </c>
      <c r="C310" t="e">
        <f ca="1"/>
        <v>#NAME?</v>
      </c>
      <c r="D310" t="e">
        <f ca="1"/>
        <v>#NAME?</v>
      </c>
      <c r="E310" t="e">
        <f ca="1"/>
        <v>#NAME?</v>
      </c>
      <c r="F310" t="e">
        <f ca="1"/>
        <v>#NAME?</v>
      </c>
      <c r="G310" t="e">
        <f ca="1"/>
        <v>#NAME?</v>
      </c>
      <c r="H310" t="e">
        <f ca="1"/>
        <v>#NAME?</v>
      </c>
      <c r="I310" t="e">
        <f ca="1"/>
        <v>#NAME?</v>
      </c>
      <c r="J310" t="e">
        <f ca="1"/>
        <v>#NAME?</v>
      </c>
      <c r="K310" t="e">
        <f ca="1"/>
        <v>#NAME?</v>
      </c>
      <c r="L310" t="e">
        <f ca="1"/>
        <v>#NAME?</v>
      </c>
      <c r="M310" t="e">
        <f ca="1"/>
        <v>#NAME?</v>
      </c>
      <c r="N310" t="e">
        <f ca="1"/>
        <v>#NAME?</v>
      </c>
      <c r="O310" t="e">
        <f ca="1"/>
        <v>#NAME?</v>
      </c>
      <c r="P310" t="e">
        <f ca="1"/>
        <v>#NAME?</v>
      </c>
      <c r="Q310" t="e">
        <f ca="1"/>
        <v>#NAME?</v>
      </c>
      <c r="R310" t="e">
        <f ca="1"/>
        <v>#NAME?</v>
      </c>
      <c r="S310" t="e">
        <f ca="1"/>
        <v>#NAME?</v>
      </c>
      <c r="T310" t="e">
        <f ca="1"/>
        <v>#NAME?</v>
      </c>
      <c r="U310" t="e">
        <f ca="1"/>
        <v>#NAME?</v>
      </c>
      <c r="V310" s="5" t="e">
        <f ca="1"/>
        <v>#NAME?</v>
      </c>
      <c r="W310" t="e">
        <f ca="1"/>
        <v>#NAME?</v>
      </c>
      <c r="X310" t="e">
        <f ca="1"/>
        <v>#NAME?</v>
      </c>
      <c r="Y310" t="e">
        <f ca="1"/>
        <v>#NAME?</v>
      </c>
      <c r="Z310" t="e">
        <f ca="1"/>
        <v>#NAME?</v>
      </c>
      <c r="AA310" t="e">
        <f ca="1"/>
        <v>#NAME?</v>
      </c>
      <c r="AB310" t="e">
        <f ca="1"/>
        <v>#NAME?</v>
      </c>
    </row>
    <row r="311" spans="1:28" x14ac:dyDescent="0.2">
      <c r="A311" t="e">
        <f ca="1"/>
        <v>#NAME?</v>
      </c>
      <c r="B311" t="e">
        <f ca="1"/>
        <v>#NAME?</v>
      </c>
      <c r="C311" t="e">
        <f ca="1"/>
        <v>#NAME?</v>
      </c>
      <c r="D311" t="e">
        <f ca="1"/>
        <v>#NAME?</v>
      </c>
      <c r="E311" t="e">
        <f ca="1"/>
        <v>#NAME?</v>
      </c>
      <c r="F311" t="e">
        <f ca="1"/>
        <v>#NAME?</v>
      </c>
      <c r="G311" t="e">
        <f ca="1"/>
        <v>#NAME?</v>
      </c>
      <c r="H311" t="e">
        <f ca="1"/>
        <v>#NAME?</v>
      </c>
      <c r="I311" t="e">
        <f ca="1"/>
        <v>#NAME?</v>
      </c>
      <c r="J311" t="e">
        <f ca="1"/>
        <v>#NAME?</v>
      </c>
      <c r="K311" t="e">
        <f ca="1"/>
        <v>#NAME?</v>
      </c>
      <c r="L311" t="e">
        <f ca="1"/>
        <v>#NAME?</v>
      </c>
      <c r="M311" t="e">
        <f ca="1"/>
        <v>#NAME?</v>
      </c>
      <c r="N311" t="e">
        <f ca="1"/>
        <v>#NAME?</v>
      </c>
      <c r="O311" t="e">
        <f ca="1"/>
        <v>#NAME?</v>
      </c>
      <c r="P311" t="e">
        <f ca="1"/>
        <v>#NAME?</v>
      </c>
      <c r="Q311" t="e">
        <f ca="1"/>
        <v>#NAME?</v>
      </c>
      <c r="R311" t="e">
        <f ca="1"/>
        <v>#NAME?</v>
      </c>
      <c r="S311" t="e">
        <f ca="1"/>
        <v>#NAME?</v>
      </c>
      <c r="T311" t="e">
        <f ca="1"/>
        <v>#NAME?</v>
      </c>
      <c r="U311" t="e">
        <f ca="1"/>
        <v>#NAME?</v>
      </c>
      <c r="V311" s="5" t="e">
        <f ca="1"/>
        <v>#NAME?</v>
      </c>
      <c r="W311" t="e">
        <f ca="1"/>
        <v>#NAME?</v>
      </c>
      <c r="X311" t="e">
        <f ca="1"/>
        <v>#NAME?</v>
      </c>
      <c r="Y311" t="e">
        <f ca="1"/>
        <v>#NAME?</v>
      </c>
      <c r="Z311" t="e">
        <f ca="1"/>
        <v>#NAME?</v>
      </c>
      <c r="AA311" t="e">
        <f ca="1"/>
        <v>#NAME?</v>
      </c>
      <c r="AB311" t="e">
        <f ca="1"/>
        <v>#NAME?</v>
      </c>
    </row>
    <row r="312" spans="1:28" x14ac:dyDescent="0.2">
      <c r="A312" t="e">
        <f ca="1"/>
        <v>#NAME?</v>
      </c>
      <c r="B312" t="e">
        <f ca="1"/>
        <v>#NAME?</v>
      </c>
      <c r="C312" t="e">
        <f ca="1"/>
        <v>#NAME?</v>
      </c>
      <c r="D312" t="e">
        <f ca="1"/>
        <v>#NAME?</v>
      </c>
      <c r="E312" t="e">
        <f ca="1"/>
        <v>#NAME?</v>
      </c>
      <c r="F312" t="e">
        <f ca="1"/>
        <v>#NAME?</v>
      </c>
      <c r="G312" t="e">
        <f ca="1"/>
        <v>#NAME?</v>
      </c>
      <c r="H312" t="e">
        <f ca="1"/>
        <v>#NAME?</v>
      </c>
      <c r="I312" t="e">
        <f ca="1"/>
        <v>#NAME?</v>
      </c>
      <c r="J312" t="e">
        <f ca="1"/>
        <v>#NAME?</v>
      </c>
      <c r="K312" t="e">
        <f ca="1"/>
        <v>#NAME?</v>
      </c>
      <c r="L312" t="e">
        <f ca="1"/>
        <v>#NAME?</v>
      </c>
      <c r="M312" t="e">
        <f ca="1"/>
        <v>#NAME?</v>
      </c>
      <c r="N312" t="e">
        <f ca="1"/>
        <v>#NAME?</v>
      </c>
      <c r="O312" t="e">
        <f ca="1"/>
        <v>#NAME?</v>
      </c>
      <c r="P312" t="e">
        <f ca="1"/>
        <v>#NAME?</v>
      </c>
      <c r="Q312" t="e">
        <f ca="1"/>
        <v>#NAME?</v>
      </c>
      <c r="R312" t="e">
        <f ca="1"/>
        <v>#NAME?</v>
      </c>
      <c r="S312" t="e">
        <f ca="1"/>
        <v>#NAME?</v>
      </c>
      <c r="T312" t="e">
        <f ca="1"/>
        <v>#NAME?</v>
      </c>
      <c r="U312" t="e">
        <f ca="1"/>
        <v>#NAME?</v>
      </c>
      <c r="V312" s="5" t="e">
        <f ca="1"/>
        <v>#NAME?</v>
      </c>
      <c r="W312" t="e">
        <f ca="1"/>
        <v>#NAME?</v>
      </c>
      <c r="X312" t="e">
        <f ca="1"/>
        <v>#NAME?</v>
      </c>
      <c r="Y312" t="e">
        <f ca="1"/>
        <v>#NAME?</v>
      </c>
      <c r="Z312" t="e">
        <f ca="1"/>
        <v>#NAME?</v>
      </c>
      <c r="AA312" t="e">
        <f ca="1"/>
        <v>#NAME?</v>
      </c>
      <c r="AB312" t="e">
        <f ca="1"/>
        <v>#NAME?</v>
      </c>
    </row>
    <row r="313" spans="1:28" x14ac:dyDescent="0.2">
      <c r="A313" t="e">
        <f ca="1"/>
        <v>#NAME?</v>
      </c>
      <c r="B313" t="e">
        <f ca="1"/>
        <v>#NAME?</v>
      </c>
      <c r="C313" t="e">
        <f ca="1"/>
        <v>#NAME?</v>
      </c>
      <c r="D313" t="e">
        <f ca="1"/>
        <v>#NAME?</v>
      </c>
      <c r="E313" t="e">
        <f ca="1"/>
        <v>#NAME?</v>
      </c>
      <c r="F313" t="e">
        <f ca="1"/>
        <v>#NAME?</v>
      </c>
      <c r="G313" t="e">
        <f ca="1"/>
        <v>#NAME?</v>
      </c>
      <c r="H313" t="e">
        <f ca="1"/>
        <v>#NAME?</v>
      </c>
      <c r="I313" t="e">
        <f ca="1"/>
        <v>#NAME?</v>
      </c>
      <c r="J313" t="e">
        <f ca="1"/>
        <v>#NAME?</v>
      </c>
      <c r="K313" t="e">
        <f ca="1"/>
        <v>#NAME?</v>
      </c>
      <c r="L313" t="e">
        <f ca="1"/>
        <v>#NAME?</v>
      </c>
      <c r="M313" t="e">
        <f ca="1"/>
        <v>#NAME?</v>
      </c>
      <c r="N313" t="e">
        <f ca="1"/>
        <v>#NAME?</v>
      </c>
      <c r="O313" t="e">
        <f ca="1"/>
        <v>#NAME?</v>
      </c>
      <c r="P313" t="e">
        <f ca="1"/>
        <v>#NAME?</v>
      </c>
      <c r="Q313" t="e">
        <f ca="1"/>
        <v>#NAME?</v>
      </c>
      <c r="R313" t="e">
        <f ca="1"/>
        <v>#NAME?</v>
      </c>
      <c r="S313" t="e">
        <f ca="1"/>
        <v>#NAME?</v>
      </c>
      <c r="T313" t="e">
        <f ca="1"/>
        <v>#NAME?</v>
      </c>
      <c r="U313" t="e">
        <f ca="1"/>
        <v>#NAME?</v>
      </c>
      <c r="V313" s="5" t="e">
        <f ca="1"/>
        <v>#NAME?</v>
      </c>
      <c r="W313" t="e">
        <f ca="1"/>
        <v>#NAME?</v>
      </c>
      <c r="X313" t="e">
        <f ca="1"/>
        <v>#NAME?</v>
      </c>
      <c r="Y313" t="e">
        <f ca="1"/>
        <v>#NAME?</v>
      </c>
      <c r="Z313" t="e">
        <f ca="1"/>
        <v>#NAME?</v>
      </c>
      <c r="AA313" t="e">
        <f ca="1"/>
        <v>#NAME?</v>
      </c>
      <c r="AB313" t="e">
        <f ca="1"/>
        <v>#NAME?</v>
      </c>
    </row>
    <row r="314" spans="1:28" x14ac:dyDescent="0.2">
      <c r="A314" t="e">
        <f ca="1"/>
        <v>#NAME?</v>
      </c>
      <c r="B314" t="e">
        <f ca="1"/>
        <v>#NAME?</v>
      </c>
      <c r="C314" t="e">
        <f ca="1"/>
        <v>#NAME?</v>
      </c>
      <c r="D314" t="e">
        <f ca="1"/>
        <v>#NAME?</v>
      </c>
      <c r="E314" t="e">
        <f ca="1"/>
        <v>#NAME?</v>
      </c>
      <c r="F314" t="e">
        <f ca="1"/>
        <v>#NAME?</v>
      </c>
      <c r="G314" t="e">
        <f ca="1"/>
        <v>#NAME?</v>
      </c>
      <c r="H314" t="e">
        <f ca="1"/>
        <v>#NAME?</v>
      </c>
      <c r="I314" t="e">
        <f ca="1"/>
        <v>#NAME?</v>
      </c>
      <c r="J314" t="e">
        <f ca="1"/>
        <v>#NAME?</v>
      </c>
      <c r="K314" t="e">
        <f ca="1"/>
        <v>#NAME?</v>
      </c>
      <c r="L314" t="e">
        <f ca="1"/>
        <v>#NAME?</v>
      </c>
      <c r="M314" t="e">
        <f ca="1"/>
        <v>#NAME?</v>
      </c>
      <c r="N314" t="e">
        <f ca="1"/>
        <v>#NAME?</v>
      </c>
      <c r="O314" t="e">
        <f ca="1"/>
        <v>#NAME?</v>
      </c>
      <c r="P314" t="e">
        <f ca="1"/>
        <v>#NAME?</v>
      </c>
      <c r="Q314" t="e">
        <f ca="1"/>
        <v>#NAME?</v>
      </c>
      <c r="R314" t="e">
        <f ca="1"/>
        <v>#NAME?</v>
      </c>
      <c r="S314" t="e">
        <f ca="1"/>
        <v>#NAME?</v>
      </c>
      <c r="T314" t="e">
        <f ca="1"/>
        <v>#NAME?</v>
      </c>
      <c r="U314" t="e">
        <f ca="1"/>
        <v>#NAME?</v>
      </c>
      <c r="V314" s="5" t="e">
        <f ca="1"/>
        <v>#NAME?</v>
      </c>
      <c r="W314" t="e">
        <f ca="1"/>
        <v>#NAME?</v>
      </c>
      <c r="X314" t="e">
        <f ca="1"/>
        <v>#NAME?</v>
      </c>
      <c r="Y314" t="e">
        <f ca="1"/>
        <v>#NAME?</v>
      </c>
      <c r="Z314" t="e">
        <f ca="1"/>
        <v>#NAME?</v>
      </c>
      <c r="AA314" t="e">
        <f ca="1"/>
        <v>#NAME?</v>
      </c>
      <c r="AB314" t="e">
        <f ca="1"/>
        <v>#NAME?</v>
      </c>
    </row>
    <row r="315" spans="1:28" x14ac:dyDescent="0.2">
      <c r="A315" t="e">
        <f ca="1"/>
        <v>#NAME?</v>
      </c>
      <c r="B315" t="e">
        <f ca="1"/>
        <v>#NAME?</v>
      </c>
      <c r="C315" t="e">
        <f ca="1"/>
        <v>#NAME?</v>
      </c>
      <c r="D315" t="e">
        <f ca="1"/>
        <v>#NAME?</v>
      </c>
      <c r="E315" t="e">
        <f ca="1"/>
        <v>#NAME?</v>
      </c>
      <c r="F315" t="e">
        <f ca="1"/>
        <v>#NAME?</v>
      </c>
      <c r="G315" t="e">
        <f ca="1"/>
        <v>#NAME?</v>
      </c>
      <c r="H315" t="e">
        <f ca="1"/>
        <v>#NAME?</v>
      </c>
      <c r="I315" t="e">
        <f ca="1"/>
        <v>#NAME?</v>
      </c>
      <c r="J315" t="e">
        <f ca="1"/>
        <v>#NAME?</v>
      </c>
      <c r="K315" t="e">
        <f ca="1"/>
        <v>#NAME?</v>
      </c>
      <c r="L315" t="e">
        <f ca="1"/>
        <v>#NAME?</v>
      </c>
      <c r="M315" t="e">
        <f ca="1"/>
        <v>#NAME?</v>
      </c>
      <c r="N315" t="e">
        <f ca="1"/>
        <v>#NAME?</v>
      </c>
      <c r="O315" t="e">
        <f ca="1"/>
        <v>#NAME?</v>
      </c>
      <c r="P315" t="e">
        <f ca="1"/>
        <v>#NAME?</v>
      </c>
      <c r="Q315" t="e">
        <f ca="1"/>
        <v>#NAME?</v>
      </c>
      <c r="R315" t="e">
        <f ca="1"/>
        <v>#NAME?</v>
      </c>
      <c r="S315" t="e">
        <f ca="1"/>
        <v>#NAME?</v>
      </c>
      <c r="T315" t="e">
        <f ca="1"/>
        <v>#NAME?</v>
      </c>
      <c r="U315" t="e">
        <f ca="1"/>
        <v>#NAME?</v>
      </c>
      <c r="V315" s="5" t="e">
        <f ca="1"/>
        <v>#NAME?</v>
      </c>
      <c r="W315" t="e">
        <f ca="1"/>
        <v>#NAME?</v>
      </c>
      <c r="X315" t="e">
        <f ca="1"/>
        <v>#NAME?</v>
      </c>
      <c r="Y315" t="e">
        <f ca="1"/>
        <v>#NAME?</v>
      </c>
      <c r="Z315" t="e">
        <f ca="1"/>
        <v>#NAME?</v>
      </c>
      <c r="AA315" t="e">
        <f ca="1"/>
        <v>#NAME?</v>
      </c>
      <c r="AB315" t="e">
        <f ca="1"/>
        <v>#NAME?</v>
      </c>
    </row>
    <row r="316" spans="1:28" x14ac:dyDescent="0.2">
      <c r="A316" t="e">
        <f ca="1"/>
        <v>#NAME?</v>
      </c>
      <c r="B316" t="e">
        <f ca="1"/>
        <v>#NAME?</v>
      </c>
      <c r="C316" t="e">
        <f ca="1"/>
        <v>#NAME?</v>
      </c>
      <c r="D316" t="e">
        <f ca="1"/>
        <v>#NAME?</v>
      </c>
      <c r="E316" t="e">
        <f ca="1"/>
        <v>#NAME?</v>
      </c>
      <c r="F316" t="e">
        <f ca="1"/>
        <v>#NAME?</v>
      </c>
      <c r="G316" t="e">
        <f ca="1"/>
        <v>#NAME?</v>
      </c>
      <c r="H316" t="e">
        <f ca="1"/>
        <v>#NAME?</v>
      </c>
      <c r="I316" t="e">
        <f ca="1"/>
        <v>#NAME?</v>
      </c>
      <c r="J316" t="e">
        <f ca="1"/>
        <v>#NAME?</v>
      </c>
      <c r="K316" t="e">
        <f ca="1"/>
        <v>#NAME?</v>
      </c>
      <c r="L316" t="e">
        <f ca="1"/>
        <v>#NAME?</v>
      </c>
      <c r="M316" t="e">
        <f ca="1"/>
        <v>#NAME?</v>
      </c>
      <c r="N316" t="e">
        <f ca="1"/>
        <v>#NAME?</v>
      </c>
      <c r="O316" t="e">
        <f ca="1"/>
        <v>#NAME?</v>
      </c>
      <c r="P316" t="e">
        <f ca="1"/>
        <v>#NAME?</v>
      </c>
      <c r="Q316" t="e">
        <f ca="1"/>
        <v>#NAME?</v>
      </c>
      <c r="R316" t="e">
        <f ca="1"/>
        <v>#NAME?</v>
      </c>
      <c r="S316" t="e">
        <f ca="1"/>
        <v>#NAME?</v>
      </c>
      <c r="T316" t="e">
        <f ca="1"/>
        <v>#NAME?</v>
      </c>
      <c r="U316" t="e">
        <f ca="1"/>
        <v>#NAME?</v>
      </c>
      <c r="V316" s="5" t="e">
        <f ca="1"/>
        <v>#NAME?</v>
      </c>
      <c r="W316" t="e">
        <f ca="1"/>
        <v>#NAME?</v>
      </c>
      <c r="X316" t="e">
        <f ca="1"/>
        <v>#NAME?</v>
      </c>
      <c r="Y316" t="e">
        <f ca="1"/>
        <v>#NAME?</v>
      </c>
      <c r="Z316" t="e">
        <f ca="1"/>
        <v>#NAME?</v>
      </c>
      <c r="AA316" t="e">
        <f ca="1"/>
        <v>#NAME?</v>
      </c>
      <c r="AB316" t="e">
        <f ca="1"/>
        <v>#NAME?</v>
      </c>
    </row>
    <row r="317" spans="1:28" x14ac:dyDescent="0.2">
      <c r="A317" t="e">
        <f ca="1"/>
        <v>#NAME?</v>
      </c>
      <c r="B317" t="e">
        <f ca="1"/>
        <v>#NAME?</v>
      </c>
      <c r="C317" t="e">
        <f ca="1"/>
        <v>#NAME?</v>
      </c>
      <c r="D317" t="e">
        <f ca="1"/>
        <v>#NAME?</v>
      </c>
      <c r="E317" t="e">
        <f ca="1"/>
        <v>#NAME?</v>
      </c>
      <c r="F317" t="e">
        <f ca="1"/>
        <v>#NAME?</v>
      </c>
      <c r="G317" t="e">
        <f ca="1"/>
        <v>#NAME?</v>
      </c>
      <c r="H317" t="e">
        <f ca="1"/>
        <v>#NAME?</v>
      </c>
      <c r="I317" t="e">
        <f ca="1"/>
        <v>#NAME?</v>
      </c>
      <c r="J317" t="e">
        <f ca="1"/>
        <v>#NAME?</v>
      </c>
      <c r="K317" t="e">
        <f ca="1"/>
        <v>#NAME?</v>
      </c>
      <c r="L317" t="e">
        <f ca="1"/>
        <v>#NAME?</v>
      </c>
      <c r="M317" t="e">
        <f ca="1"/>
        <v>#NAME?</v>
      </c>
      <c r="N317" t="e">
        <f ca="1"/>
        <v>#NAME?</v>
      </c>
      <c r="O317" t="e">
        <f ca="1"/>
        <v>#NAME?</v>
      </c>
      <c r="P317" t="e">
        <f ca="1"/>
        <v>#NAME?</v>
      </c>
      <c r="Q317" t="e">
        <f ca="1"/>
        <v>#NAME?</v>
      </c>
      <c r="R317" t="e">
        <f ca="1"/>
        <v>#NAME?</v>
      </c>
      <c r="S317" t="e">
        <f ca="1"/>
        <v>#NAME?</v>
      </c>
      <c r="T317" t="e">
        <f ca="1"/>
        <v>#NAME?</v>
      </c>
      <c r="U317" t="e">
        <f ca="1"/>
        <v>#NAME?</v>
      </c>
      <c r="V317" s="5" t="e">
        <f ca="1"/>
        <v>#NAME?</v>
      </c>
      <c r="W317" t="e">
        <f ca="1"/>
        <v>#NAME?</v>
      </c>
      <c r="X317" t="e">
        <f ca="1"/>
        <v>#NAME?</v>
      </c>
      <c r="Y317" t="e">
        <f ca="1"/>
        <v>#NAME?</v>
      </c>
      <c r="Z317" t="e">
        <f ca="1"/>
        <v>#NAME?</v>
      </c>
      <c r="AA317" t="e">
        <f ca="1"/>
        <v>#NAME?</v>
      </c>
      <c r="AB317" t="e">
        <f ca="1"/>
        <v>#NAME?</v>
      </c>
    </row>
    <row r="318" spans="1:28" x14ac:dyDescent="0.2">
      <c r="A318" t="e">
        <f ca="1"/>
        <v>#NAME?</v>
      </c>
      <c r="B318" t="e">
        <f ca="1"/>
        <v>#NAME?</v>
      </c>
      <c r="C318" t="e">
        <f ca="1"/>
        <v>#NAME?</v>
      </c>
      <c r="D318" t="e">
        <f ca="1"/>
        <v>#NAME?</v>
      </c>
      <c r="E318" t="e">
        <f ca="1"/>
        <v>#NAME?</v>
      </c>
      <c r="F318" t="e">
        <f ca="1"/>
        <v>#NAME?</v>
      </c>
      <c r="G318" t="e">
        <f ca="1"/>
        <v>#NAME?</v>
      </c>
      <c r="H318" t="e">
        <f ca="1"/>
        <v>#NAME?</v>
      </c>
      <c r="I318" t="e">
        <f ca="1"/>
        <v>#NAME?</v>
      </c>
      <c r="J318" t="e">
        <f ca="1"/>
        <v>#NAME?</v>
      </c>
      <c r="K318" t="e">
        <f ca="1"/>
        <v>#NAME?</v>
      </c>
      <c r="L318" t="e">
        <f ca="1"/>
        <v>#NAME?</v>
      </c>
      <c r="M318" t="e">
        <f ca="1"/>
        <v>#NAME?</v>
      </c>
      <c r="N318" t="e">
        <f ca="1"/>
        <v>#NAME?</v>
      </c>
      <c r="O318" t="e">
        <f ca="1"/>
        <v>#NAME?</v>
      </c>
      <c r="P318" t="e">
        <f ca="1"/>
        <v>#NAME?</v>
      </c>
      <c r="Q318" t="e">
        <f ca="1"/>
        <v>#NAME?</v>
      </c>
      <c r="R318" t="e">
        <f ca="1"/>
        <v>#NAME?</v>
      </c>
      <c r="S318" t="e">
        <f ca="1"/>
        <v>#NAME?</v>
      </c>
      <c r="T318" t="e">
        <f ca="1"/>
        <v>#NAME?</v>
      </c>
      <c r="U318" t="e">
        <f ca="1"/>
        <v>#NAME?</v>
      </c>
      <c r="V318" s="5" t="e">
        <f ca="1"/>
        <v>#NAME?</v>
      </c>
      <c r="W318" t="e">
        <f ca="1"/>
        <v>#NAME?</v>
      </c>
      <c r="X318" t="e">
        <f ca="1"/>
        <v>#NAME?</v>
      </c>
      <c r="Y318" t="e">
        <f ca="1"/>
        <v>#NAME?</v>
      </c>
      <c r="Z318" t="e">
        <f ca="1"/>
        <v>#NAME?</v>
      </c>
      <c r="AA318" t="e">
        <f ca="1"/>
        <v>#NAME?</v>
      </c>
      <c r="AB318" t="e">
        <f ca="1"/>
        <v>#NAME?</v>
      </c>
    </row>
    <row r="319" spans="1:28" x14ac:dyDescent="0.2">
      <c r="A319" t="e">
        <f ca="1"/>
        <v>#NAME?</v>
      </c>
      <c r="B319" t="e">
        <f ca="1"/>
        <v>#NAME?</v>
      </c>
      <c r="C319" t="e">
        <f ca="1"/>
        <v>#NAME?</v>
      </c>
      <c r="D319" t="e">
        <f ca="1"/>
        <v>#NAME?</v>
      </c>
      <c r="E319" t="e">
        <f ca="1"/>
        <v>#NAME?</v>
      </c>
      <c r="F319" t="e">
        <f ca="1"/>
        <v>#NAME?</v>
      </c>
      <c r="G319" t="e">
        <f ca="1"/>
        <v>#NAME?</v>
      </c>
      <c r="H319" t="e">
        <f ca="1"/>
        <v>#NAME?</v>
      </c>
      <c r="I319" t="e">
        <f ca="1"/>
        <v>#NAME?</v>
      </c>
      <c r="J319" t="e">
        <f ca="1"/>
        <v>#NAME?</v>
      </c>
      <c r="K319" t="e">
        <f ca="1"/>
        <v>#NAME?</v>
      </c>
      <c r="L319" t="e">
        <f ca="1"/>
        <v>#NAME?</v>
      </c>
      <c r="M319" t="e">
        <f ca="1"/>
        <v>#NAME?</v>
      </c>
      <c r="N319" t="e">
        <f ca="1"/>
        <v>#NAME?</v>
      </c>
      <c r="O319" t="e">
        <f ca="1"/>
        <v>#NAME?</v>
      </c>
      <c r="P319" t="e">
        <f ca="1"/>
        <v>#NAME?</v>
      </c>
      <c r="Q319" t="e">
        <f ca="1"/>
        <v>#NAME?</v>
      </c>
      <c r="R319" t="e">
        <f ca="1"/>
        <v>#NAME?</v>
      </c>
      <c r="S319" t="e">
        <f ca="1"/>
        <v>#NAME?</v>
      </c>
      <c r="T319" t="e">
        <f ca="1"/>
        <v>#NAME?</v>
      </c>
      <c r="U319" t="e">
        <f ca="1"/>
        <v>#NAME?</v>
      </c>
      <c r="V319" s="5" t="e">
        <f ca="1"/>
        <v>#NAME?</v>
      </c>
      <c r="W319" t="e">
        <f ca="1"/>
        <v>#NAME?</v>
      </c>
      <c r="X319" t="e">
        <f ca="1"/>
        <v>#NAME?</v>
      </c>
      <c r="Y319" t="e">
        <f ca="1"/>
        <v>#NAME?</v>
      </c>
      <c r="Z319" t="e">
        <f ca="1"/>
        <v>#NAME?</v>
      </c>
      <c r="AA319" t="e">
        <f ca="1"/>
        <v>#NAME?</v>
      </c>
      <c r="AB319" t="e">
        <f ca="1"/>
        <v>#NAME?</v>
      </c>
    </row>
    <row r="320" spans="1:28" x14ac:dyDescent="0.2">
      <c r="A320" t="e">
        <f ca="1"/>
        <v>#NAME?</v>
      </c>
      <c r="B320" t="e">
        <f ca="1"/>
        <v>#NAME?</v>
      </c>
      <c r="C320" t="e">
        <f ca="1"/>
        <v>#NAME?</v>
      </c>
      <c r="D320" t="e">
        <f ca="1"/>
        <v>#NAME?</v>
      </c>
      <c r="E320" t="e">
        <f ca="1"/>
        <v>#NAME?</v>
      </c>
      <c r="F320" t="e">
        <f ca="1"/>
        <v>#NAME?</v>
      </c>
      <c r="G320" t="e">
        <f ca="1"/>
        <v>#NAME?</v>
      </c>
      <c r="H320" t="e">
        <f ca="1"/>
        <v>#NAME?</v>
      </c>
      <c r="I320" t="e">
        <f ca="1"/>
        <v>#NAME?</v>
      </c>
      <c r="J320" t="e">
        <f ca="1"/>
        <v>#NAME?</v>
      </c>
      <c r="K320" t="e">
        <f ca="1"/>
        <v>#NAME?</v>
      </c>
      <c r="L320" t="e">
        <f ca="1"/>
        <v>#NAME?</v>
      </c>
      <c r="M320" t="e">
        <f ca="1"/>
        <v>#NAME?</v>
      </c>
      <c r="N320" t="e">
        <f ca="1"/>
        <v>#NAME?</v>
      </c>
      <c r="O320" t="e">
        <f ca="1"/>
        <v>#NAME?</v>
      </c>
      <c r="P320" t="e">
        <f ca="1"/>
        <v>#NAME?</v>
      </c>
      <c r="Q320" t="e">
        <f ca="1"/>
        <v>#NAME?</v>
      </c>
      <c r="R320" t="e">
        <f ca="1"/>
        <v>#NAME?</v>
      </c>
      <c r="S320" t="e">
        <f ca="1"/>
        <v>#NAME?</v>
      </c>
      <c r="T320" t="e">
        <f ca="1"/>
        <v>#NAME?</v>
      </c>
      <c r="U320" t="e">
        <f ca="1"/>
        <v>#NAME?</v>
      </c>
      <c r="V320" s="5" t="e">
        <f ca="1"/>
        <v>#NAME?</v>
      </c>
      <c r="W320" t="e">
        <f ca="1"/>
        <v>#NAME?</v>
      </c>
      <c r="X320" t="e">
        <f ca="1"/>
        <v>#NAME?</v>
      </c>
      <c r="Y320" t="e">
        <f ca="1"/>
        <v>#NAME?</v>
      </c>
      <c r="Z320" t="e">
        <f ca="1"/>
        <v>#NAME?</v>
      </c>
      <c r="AA320" t="e">
        <f ca="1"/>
        <v>#NAME?</v>
      </c>
      <c r="AB320" t="e">
        <f ca="1"/>
        <v>#NAME?</v>
      </c>
    </row>
    <row r="321" spans="1:28" x14ac:dyDescent="0.2">
      <c r="A321" t="e">
        <f ca="1"/>
        <v>#NAME?</v>
      </c>
      <c r="B321" t="e">
        <f ca="1"/>
        <v>#NAME?</v>
      </c>
      <c r="C321" t="e">
        <f ca="1"/>
        <v>#NAME?</v>
      </c>
      <c r="D321" t="e">
        <f ca="1"/>
        <v>#NAME?</v>
      </c>
      <c r="E321" t="e">
        <f ca="1"/>
        <v>#NAME?</v>
      </c>
      <c r="F321" t="e">
        <f ca="1"/>
        <v>#NAME?</v>
      </c>
      <c r="G321" t="e">
        <f ca="1"/>
        <v>#NAME?</v>
      </c>
      <c r="H321" t="e">
        <f ca="1"/>
        <v>#NAME?</v>
      </c>
      <c r="I321" t="e">
        <f ca="1"/>
        <v>#NAME?</v>
      </c>
      <c r="J321" t="e">
        <f ca="1"/>
        <v>#NAME?</v>
      </c>
      <c r="K321" t="e">
        <f ca="1"/>
        <v>#NAME?</v>
      </c>
      <c r="L321" t="e">
        <f ca="1"/>
        <v>#NAME?</v>
      </c>
      <c r="M321" t="e">
        <f ca="1"/>
        <v>#NAME?</v>
      </c>
      <c r="N321" t="e">
        <f ca="1"/>
        <v>#NAME?</v>
      </c>
      <c r="O321" t="e">
        <f ca="1"/>
        <v>#NAME?</v>
      </c>
      <c r="P321" t="e">
        <f ca="1"/>
        <v>#NAME?</v>
      </c>
      <c r="Q321" t="e">
        <f ca="1"/>
        <v>#NAME?</v>
      </c>
      <c r="R321" t="e">
        <f ca="1"/>
        <v>#NAME?</v>
      </c>
      <c r="S321" t="e">
        <f ca="1"/>
        <v>#NAME?</v>
      </c>
      <c r="T321" t="e">
        <f ca="1"/>
        <v>#NAME?</v>
      </c>
      <c r="U321" t="e">
        <f ca="1"/>
        <v>#NAME?</v>
      </c>
      <c r="V321" s="5" t="e">
        <f ca="1"/>
        <v>#NAME?</v>
      </c>
      <c r="W321" t="e">
        <f ca="1"/>
        <v>#NAME?</v>
      </c>
      <c r="X321" t="e">
        <f ca="1"/>
        <v>#NAME?</v>
      </c>
      <c r="Y321" t="e">
        <f ca="1"/>
        <v>#NAME?</v>
      </c>
      <c r="Z321" t="e">
        <f ca="1"/>
        <v>#NAME?</v>
      </c>
      <c r="AA321" t="e">
        <f ca="1"/>
        <v>#NAME?</v>
      </c>
      <c r="AB321" t="e">
        <f ca="1"/>
        <v>#NAME?</v>
      </c>
    </row>
    <row r="322" spans="1:28" x14ac:dyDescent="0.2">
      <c r="A322" t="e">
        <f ca="1"/>
        <v>#NAME?</v>
      </c>
      <c r="B322" t="e">
        <f ca="1"/>
        <v>#NAME?</v>
      </c>
      <c r="C322" t="e">
        <f ca="1"/>
        <v>#NAME?</v>
      </c>
      <c r="D322" t="e">
        <f ca="1"/>
        <v>#NAME?</v>
      </c>
      <c r="E322" t="e">
        <f ca="1"/>
        <v>#NAME?</v>
      </c>
      <c r="F322" t="e">
        <f ca="1"/>
        <v>#NAME?</v>
      </c>
      <c r="G322" t="e">
        <f ca="1"/>
        <v>#NAME?</v>
      </c>
      <c r="H322" t="e">
        <f ca="1"/>
        <v>#NAME?</v>
      </c>
      <c r="I322" t="e">
        <f ca="1"/>
        <v>#NAME?</v>
      </c>
      <c r="J322" t="e">
        <f ca="1"/>
        <v>#NAME?</v>
      </c>
      <c r="K322" t="e">
        <f ca="1"/>
        <v>#NAME?</v>
      </c>
      <c r="L322" t="e">
        <f ca="1"/>
        <v>#NAME?</v>
      </c>
      <c r="M322" t="e">
        <f ca="1"/>
        <v>#NAME?</v>
      </c>
      <c r="N322" t="e">
        <f ca="1"/>
        <v>#NAME?</v>
      </c>
      <c r="O322" t="e">
        <f ca="1"/>
        <v>#NAME?</v>
      </c>
      <c r="P322" t="e">
        <f ca="1"/>
        <v>#NAME?</v>
      </c>
      <c r="Q322" t="e">
        <f ca="1"/>
        <v>#NAME?</v>
      </c>
      <c r="R322" t="e">
        <f ca="1"/>
        <v>#NAME?</v>
      </c>
      <c r="S322" t="e">
        <f ca="1"/>
        <v>#NAME?</v>
      </c>
      <c r="T322" t="e">
        <f ca="1"/>
        <v>#NAME?</v>
      </c>
      <c r="U322" t="e">
        <f ca="1"/>
        <v>#NAME?</v>
      </c>
      <c r="V322" s="5" t="e">
        <f ca="1"/>
        <v>#NAME?</v>
      </c>
      <c r="W322" t="e">
        <f ca="1"/>
        <v>#NAME?</v>
      </c>
      <c r="X322" t="e">
        <f ca="1"/>
        <v>#NAME?</v>
      </c>
      <c r="Y322" t="e">
        <f ca="1"/>
        <v>#NAME?</v>
      </c>
      <c r="Z322" t="e">
        <f ca="1"/>
        <v>#NAME?</v>
      </c>
      <c r="AA322" t="e">
        <f ca="1"/>
        <v>#NAME?</v>
      </c>
      <c r="AB322" t="e">
        <f ca="1"/>
        <v>#NAME?</v>
      </c>
    </row>
    <row r="323" spans="1:28" x14ac:dyDescent="0.2">
      <c r="A323" t="e">
        <f ca="1"/>
        <v>#NAME?</v>
      </c>
      <c r="B323" t="e">
        <f ca="1"/>
        <v>#NAME?</v>
      </c>
      <c r="C323" t="e">
        <f ca="1"/>
        <v>#NAME?</v>
      </c>
      <c r="D323" t="e">
        <f ca="1"/>
        <v>#NAME?</v>
      </c>
      <c r="E323" t="e">
        <f ca="1"/>
        <v>#NAME?</v>
      </c>
      <c r="F323" t="e">
        <f ca="1"/>
        <v>#NAME?</v>
      </c>
      <c r="G323" t="e">
        <f ca="1"/>
        <v>#NAME?</v>
      </c>
      <c r="H323" t="e">
        <f ca="1"/>
        <v>#NAME?</v>
      </c>
      <c r="I323" t="e">
        <f ca="1"/>
        <v>#NAME?</v>
      </c>
      <c r="J323" t="e">
        <f ca="1"/>
        <v>#NAME?</v>
      </c>
      <c r="K323" t="e">
        <f ca="1"/>
        <v>#NAME?</v>
      </c>
      <c r="L323" t="e">
        <f ca="1"/>
        <v>#NAME?</v>
      </c>
      <c r="M323" t="e">
        <f ca="1"/>
        <v>#NAME?</v>
      </c>
      <c r="N323" t="e">
        <f ca="1"/>
        <v>#NAME?</v>
      </c>
      <c r="O323" t="e">
        <f ca="1"/>
        <v>#NAME?</v>
      </c>
      <c r="P323" t="e">
        <f ca="1"/>
        <v>#NAME?</v>
      </c>
      <c r="Q323" t="e">
        <f ca="1"/>
        <v>#NAME?</v>
      </c>
      <c r="R323" t="e">
        <f ca="1"/>
        <v>#NAME?</v>
      </c>
      <c r="S323" t="e">
        <f ca="1"/>
        <v>#NAME?</v>
      </c>
      <c r="T323" t="e">
        <f ca="1"/>
        <v>#NAME?</v>
      </c>
      <c r="U323" t="e">
        <f ca="1"/>
        <v>#NAME?</v>
      </c>
      <c r="V323" s="5" t="e">
        <f ca="1"/>
        <v>#NAME?</v>
      </c>
      <c r="W323" t="e">
        <f ca="1"/>
        <v>#NAME?</v>
      </c>
      <c r="X323" t="e">
        <f ca="1"/>
        <v>#NAME?</v>
      </c>
      <c r="Y323" t="e">
        <f ca="1"/>
        <v>#NAME?</v>
      </c>
      <c r="Z323" t="e">
        <f ca="1"/>
        <v>#NAME?</v>
      </c>
      <c r="AA323" t="e">
        <f ca="1"/>
        <v>#NAME?</v>
      </c>
      <c r="AB323" t="e">
        <f ca="1"/>
        <v>#NAME?</v>
      </c>
    </row>
    <row r="324" spans="1:28" x14ac:dyDescent="0.2">
      <c r="A324" t="e">
        <f ca="1"/>
        <v>#NAME?</v>
      </c>
      <c r="B324" t="e">
        <f ca="1"/>
        <v>#NAME?</v>
      </c>
      <c r="C324" t="e">
        <f ca="1"/>
        <v>#NAME?</v>
      </c>
      <c r="D324" t="e">
        <f ca="1"/>
        <v>#NAME?</v>
      </c>
      <c r="E324" t="e">
        <f ca="1"/>
        <v>#NAME?</v>
      </c>
      <c r="F324" t="e">
        <f ca="1"/>
        <v>#NAME?</v>
      </c>
      <c r="G324" t="e">
        <f ca="1"/>
        <v>#NAME?</v>
      </c>
      <c r="H324" t="e">
        <f ca="1"/>
        <v>#NAME?</v>
      </c>
      <c r="I324" t="e">
        <f ca="1"/>
        <v>#NAME?</v>
      </c>
      <c r="J324" t="e">
        <f ca="1"/>
        <v>#NAME?</v>
      </c>
      <c r="K324" t="e">
        <f ca="1"/>
        <v>#NAME?</v>
      </c>
      <c r="L324" t="e">
        <f ca="1"/>
        <v>#NAME?</v>
      </c>
      <c r="M324" t="e">
        <f ca="1"/>
        <v>#NAME?</v>
      </c>
      <c r="N324" t="e">
        <f ca="1"/>
        <v>#NAME?</v>
      </c>
      <c r="O324" t="e">
        <f ca="1"/>
        <v>#NAME?</v>
      </c>
      <c r="P324" t="e">
        <f ca="1"/>
        <v>#NAME?</v>
      </c>
      <c r="Q324" t="e">
        <f ca="1"/>
        <v>#NAME?</v>
      </c>
      <c r="R324" t="e">
        <f ca="1"/>
        <v>#NAME?</v>
      </c>
      <c r="S324" t="e">
        <f ca="1"/>
        <v>#NAME?</v>
      </c>
      <c r="T324" t="e">
        <f ca="1"/>
        <v>#NAME?</v>
      </c>
      <c r="U324" t="e">
        <f ca="1"/>
        <v>#NAME?</v>
      </c>
      <c r="V324" s="5" t="e">
        <f ca="1"/>
        <v>#NAME?</v>
      </c>
      <c r="W324" t="e">
        <f ca="1"/>
        <v>#NAME?</v>
      </c>
      <c r="X324" t="e">
        <f ca="1"/>
        <v>#NAME?</v>
      </c>
      <c r="Y324" t="e">
        <f ca="1"/>
        <v>#NAME?</v>
      </c>
      <c r="Z324" t="e">
        <f ca="1"/>
        <v>#NAME?</v>
      </c>
      <c r="AA324" t="e">
        <f ca="1"/>
        <v>#NAME?</v>
      </c>
      <c r="AB324" t="e">
        <f ca="1"/>
        <v>#NAME?</v>
      </c>
    </row>
    <row r="325" spans="1:28" x14ac:dyDescent="0.2">
      <c r="A325" t="e">
        <f ca="1"/>
        <v>#NAME?</v>
      </c>
      <c r="B325" t="e">
        <f ca="1"/>
        <v>#NAME?</v>
      </c>
      <c r="C325" t="e">
        <f ca="1"/>
        <v>#NAME?</v>
      </c>
      <c r="D325" t="e">
        <f ca="1"/>
        <v>#NAME?</v>
      </c>
      <c r="E325" t="e">
        <f ca="1"/>
        <v>#NAME?</v>
      </c>
      <c r="F325" t="e">
        <f ca="1"/>
        <v>#NAME?</v>
      </c>
      <c r="G325" t="e">
        <f ca="1"/>
        <v>#NAME?</v>
      </c>
      <c r="H325" t="e">
        <f ca="1"/>
        <v>#NAME?</v>
      </c>
      <c r="I325" t="e">
        <f ca="1"/>
        <v>#NAME?</v>
      </c>
      <c r="J325" t="e">
        <f ca="1"/>
        <v>#NAME?</v>
      </c>
      <c r="K325" t="e">
        <f ca="1"/>
        <v>#NAME?</v>
      </c>
      <c r="L325" t="e">
        <f ca="1"/>
        <v>#NAME?</v>
      </c>
      <c r="M325" t="e">
        <f ca="1"/>
        <v>#NAME?</v>
      </c>
      <c r="N325" t="e">
        <f ca="1"/>
        <v>#NAME?</v>
      </c>
      <c r="O325" t="e">
        <f ca="1"/>
        <v>#NAME?</v>
      </c>
      <c r="P325" t="e">
        <f ca="1"/>
        <v>#NAME?</v>
      </c>
      <c r="Q325" t="e">
        <f ca="1"/>
        <v>#NAME?</v>
      </c>
      <c r="R325" t="e">
        <f ca="1"/>
        <v>#NAME?</v>
      </c>
      <c r="S325" t="e">
        <f ca="1"/>
        <v>#NAME?</v>
      </c>
      <c r="T325" t="e">
        <f ca="1"/>
        <v>#NAME?</v>
      </c>
      <c r="U325" t="e">
        <f ca="1"/>
        <v>#NAME?</v>
      </c>
      <c r="V325" s="5" t="e">
        <f ca="1"/>
        <v>#NAME?</v>
      </c>
      <c r="W325" t="e">
        <f ca="1"/>
        <v>#NAME?</v>
      </c>
      <c r="X325" t="e">
        <f ca="1"/>
        <v>#NAME?</v>
      </c>
      <c r="Y325" t="e">
        <f ca="1"/>
        <v>#NAME?</v>
      </c>
      <c r="Z325" t="e">
        <f ca="1"/>
        <v>#NAME?</v>
      </c>
      <c r="AA325" t="e">
        <f ca="1"/>
        <v>#NAME?</v>
      </c>
      <c r="AB325" t="e">
        <f ca="1"/>
        <v>#NAME?</v>
      </c>
    </row>
    <row r="326" spans="1:28" x14ac:dyDescent="0.2">
      <c r="A326" t="e">
        <f ca="1"/>
        <v>#NAME?</v>
      </c>
      <c r="B326" t="e">
        <f ca="1"/>
        <v>#NAME?</v>
      </c>
      <c r="C326" t="e">
        <f ca="1"/>
        <v>#NAME?</v>
      </c>
      <c r="D326" t="e">
        <f ca="1"/>
        <v>#NAME?</v>
      </c>
      <c r="E326" t="e">
        <f ca="1"/>
        <v>#NAME?</v>
      </c>
      <c r="F326" t="e">
        <f ca="1"/>
        <v>#NAME?</v>
      </c>
      <c r="G326" t="e">
        <f ca="1"/>
        <v>#NAME?</v>
      </c>
      <c r="H326" t="e">
        <f ca="1"/>
        <v>#NAME?</v>
      </c>
      <c r="I326" t="e">
        <f ca="1"/>
        <v>#NAME?</v>
      </c>
      <c r="J326" t="e">
        <f ca="1"/>
        <v>#NAME?</v>
      </c>
      <c r="K326" t="e">
        <f ca="1"/>
        <v>#NAME?</v>
      </c>
      <c r="L326" t="e">
        <f ca="1"/>
        <v>#NAME?</v>
      </c>
      <c r="M326" t="e">
        <f ca="1"/>
        <v>#NAME?</v>
      </c>
      <c r="N326" t="e">
        <f ca="1"/>
        <v>#NAME?</v>
      </c>
      <c r="O326" t="e">
        <f ca="1"/>
        <v>#NAME?</v>
      </c>
      <c r="P326" t="e">
        <f ca="1"/>
        <v>#NAME?</v>
      </c>
      <c r="Q326" t="e">
        <f ca="1"/>
        <v>#NAME?</v>
      </c>
      <c r="R326" t="e">
        <f ca="1"/>
        <v>#NAME?</v>
      </c>
      <c r="S326" t="e">
        <f ca="1"/>
        <v>#NAME?</v>
      </c>
      <c r="T326" t="e">
        <f ca="1"/>
        <v>#NAME?</v>
      </c>
      <c r="U326" t="e">
        <f ca="1"/>
        <v>#NAME?</v>
      </c>
      <c r="V326" s="5" t="e">
        <f ca="1"/>
        <v>#NAME?</v>
      </c>
      <c r="W326" t="e">
        <f ca="1"/>
        <v>#NAME?</v>
      </c>
      <c r="X326" t="e">
        <f ca="1"/>
        <v>#NAME?</v>
      </c>
      <c r="Y326" t="e">
        <f ca="1"/>
        <v>#NAME?</v>
      </c>
      <c r="Z326" t="e">
        <f ca="1"/>
        <v>#NAME?</v>
      </c>
      <c r="AA326" t="e">
        <f ca="1"/>
        <v>#NAME?</v>
      </c>
      <c r="AB326" t="e">
        <f ca="1"/>
        <v>#NAME?</v>
      </c>
    </row>
    <row r="327" spans="1:28" x14ac:dyDescent="0.2">
      <c r="A327" t="e">
        <f ca="1"/>
        <v>#NAME?</v>
      </c>
      <c r="B327" t="e">
        <f ca="1"/>
        <v>#NAME?</v>
      </c>
      <c r="C327" t="e">
        <f ca="1"/>
        <v>#NAME?</v>
      </c>
      <c r="D327" t="e">
        <f ca="1"/>
        <v>#NAME?</v>
      </c>
      <c r="E327" t="e">
        <f ca="1"/>
        <v>#NAME?</v>
      </c>
      <c r="F327" t="e">
        <f ca="1"/>
        <v>#NAME?</v>
      </c>
      <c r="G327" t="e">
        <f ca="1"/>
        <v>#NAME?</v>
      </c>
      <c r="H327" t="e">
        <f ca="1"/>
        <v>#NAME?</v>
      </c>
      <c r="I327" t="e">
        <f ca="1"/>
        <v>#NAME?</v>
      </c>
      <c r="J327" t="e">
        <f ca="1"/>
        <v>#NAME?</v>
      </c>
      <c r="K327" t="e">
        <f ca="1"/>
        <v>#NAME?</v>
      </c>
      <c r="L327" t="e">
        <f ca="1"/>
        <v>#NAME?</v>
      </c>
      <c r="M327" t="e">
        <f ca="1"/>
        <v>#NAME?</v>
      </c>
      <c r="N327" t="e">
        <f ca="1"/>
        <v>#NAME?</v>
      </c>
      <c r="O327" t="e">
        <f ca="1"/>
        <v>#NAME?</v>
      </c>
      <c r="P327" t="e">
        <f ca="1"/>
        <v>#NAME?</v>
      </c>
      <c r="Q327" t="e">
        <f ca="1"/>
        <v>#NAME?</v>
      </c>
      <c r="R327" t="e">
        <f ca="1"/>
        <v>#NAME?</v>
      </c>
      <c r="S327" t="e">
        <f ca="1"/>
        <v>#NAME?</v>
      </c>
      <c r="T327" t="e">
        <f ca="1"/>
        <v>#NAME?</v>
      </c>
      <c r="U327" t="e">
        <f ca="1"/>
        <v>#NAME?</v>
      </c>
      <c r="V327" s="5" t="e">
        <f ca="1"/>
        <v>#NAME?</v>
      </c>
      <c r="W327" t="e">
        <f ca="1"/>
        <v>#NAME?</v>
      </c>
      <c r="X327" t="e">
        <f ca="1"/>
        <v>#NAME?</v>
      </c>
      <c r="Y327" t="e">
        <f ca="1"/>
        <v>#NAME?</v>
      </c>
      <c r="Z327" t="e">
        <f ca="1"/>
        <v>#NAME?</v>
      </c>
      <c r="AA327" t="e">
        <f ca="1"/>
        <v>#NAME?</v>
      </c>
      <c r="AB327" t="e">
        <f ca="1"/>
        <v>#NAME?</v>
      </c>
    </row>
    <row r="328" spans="1:28" x14ac:dyDescent="0.2">
      <c r="A328" t="e">
        <f ca="1"/>
        <v>#NAME?</v>
      </c>
      <c r="B328" t="e">
        <f ca="1"/>
        <v>#NAME?</v>
      </c>
      <c r="C328" t="e">
        <f ca="1"/>
        <v>#NAME?</v>
      </c>
      <c r="D328" t="e">
        <f ca="1"/>
        <v>#NAME?</v>
      </c>
      <c r="E328" t="e">
        <f ca="1"/>
        <v>#NAME?</v>
      </c>
      <c r="F328" t="e">
        <f ca="1"/>
        <v>#NAME?</v>
      </c>
      <c r="G328" t="e">
        <f ca="1"/>
        <v>#NAME?</v>
      </c>
      <c r="H328" t="e">
        <f ca="1"/>
        <v>#NAME?</v>
      </c>
      <c r="I328" t="e">
        <f ca="1"/>
        <v>#NAME?</v>
      </c>
      <c r="J328" t="e">
        <f ca="1"/>
        <v>#NAME?</v>
      </c>
      <c r="K328" t="e">
        <f ca="1"/>
        <v>#NAME?</v>
      </c>
      <c r="L328" t="e">
        <f ca="1"/>
        <v>#NAME?</v>
      </c>
      <c r="M328" t="e">
        <f ca="1"/>
        <v>#NAME?</v>
      </c>
      <c r="N328" t="e">
        <f ca="1"/>
        <v>#NAME?</v>
      </c>
      <c r="O328" t="e">
        <f ca="1"/>
        <v>#NAME?</v>
      </c>
      <c r="P328" t="e">
        <f ca="1"/>
        <v>#NAME?</v>
      </c>
      <c r="Q328" t="e">
        <f ca="1"/>
        <v>#NAME?</v>
      </c>
      <c r="R328" t="e">
        <f ca="1"/>
        <v>#NAME?</v>
      </c>
      <c r="S328" t="e">
        <f ca="1"/>
        <v>#NAME?</v>
      </c>
      <c r="T328" t="e">
        <f ca="1"/>
        <v>#NAME?</v>
      </c>
      <c r="U328" t="e">
        <f ca="1"/>
        <v>#NAME?</v>
      </c>
      <c r="V328" s="5" t="e">
        <f ca="1"/>
        <v>#NAME?</v>
      </c>
      <c r="W328" t="e">
        <f ca="1"/>
        <v>#NAME?</v>
      </c>
      <c r="X328" t="e">
        <f ca="1"/>
        <v>#NAME?</v>
      </c>
      <c r="Y328" t="e">
        <f ca="1"/>
        <v>#NAME?</v>
      </c>
      <c r="Z328" t="e">
        <f ca="1"/>
        <v>#NAME?</v>
      </c>
      <c r="AA328" t="e">
        <f ca="1"/>
        <v>#NAME?</v>
      </c>
      <c r="AB328" t="e">
        <f ca="1"/>
        <v>#NAME?</v>
      </c>
    </row>
    <row r="329" spans="1:28" x14ac:dyDescent="0.2">
      <c r="A329" t="e">
        <f ca="1"/>
        <v>#NAME?</v>
      </c>
      <c r="B329" t="e">
        <f ca="1"/>
        <v>#NAME?</v>
      </c>
      <c r="C329" t="e">
        <f ca="1"/>
        <v>#NAME?</v>
      </c>
      <c r="D329" t="e">
        <f ca="1"/>
        <v>#NAME?</v>
      </c>
      <c r="E329" t="e">
        <f ca="1"/>
        <v>#NAME?</v>
      </c>
      <c r="F329" t="e">
        <f ca="1"/>
        <v>#NAME?</v>
      </c>
      <c r="G329" t="e">
        <f ca="1"/>
        <v>#NAME?</v>
      </c>
      <c r="H329" t="e">
        <f ca="1"/>
        <v>#NAME?</v>
      </c>
      <c r="I329" t="e">
        <f ca="1"/>
        <v>#NAME?</v>
      </c>
      <c r="J329" t="e">
        <f ca="1"/>
        <v>#NAME?</v>
      </c>
      <c r="K329" t="e">
        <f ca="1"/>
        <v>#NAME?</v>
      </c>
      <c r="L329" t="e">
        <f ca="1"/>
        <v>#NAME?</v>
      </c>
      <c r="M329" t="e">
        <f ca="1"/>
        <v>#NAME?</v>
      </c>
      <c r="N329" t="e">
        <f ca="1"/>
        <v>#NAME?</v>
      </c>
      <c r="O329" t="e">
        <f ca="1"/>
        <v>#NAME?</v>
      </c>
      <c r="P329" t="e">
        <f ca="1"/>
        <v>#NAME?</v>
      </c>
      <c r="Q329" t="e">
        <f ca="1"/>
        <v>#NAME?</v>
      </c>
      <c r="R329" t="e">
        <f ca="1"/>
        <v>#NAME?</v>
      </c>
      <c r="S329" t="e">
        <f ca="1"/>
        <v>#NAME?</v>
      </c>
      <c r="T329" t="e">
        <f ca="1"/>
        <v>#NAME?</v>
      </c>
      <c r="U329" t="e">
        <f ca="1"/>
        <v>#NAME?</v>
      </c>
      <c r="V329" s="5" t="e">
        <f ca="1"/>
        <v>#NAME?</v>
      </c>
      <c r="W329" t="e">
        <f ca="1"/>
        <v>#NAME?</v>
      </c>
      <c r="X329" t="e">
        <f ca="1"/>
        <v>#NAME?</v>
      </c>
      <c r="Y329" t="e">
        <f ca="1"/>
        <v>#NAME?</v>
      </c>
      <c r="Z329" t="e">
        <f ca="1"/>
        <v>#NAME?</v>
      </c>
      <c r="AA329" t="e">
        <f ca="1"/>
        <v>#NAME?</v>
      </c>
      <c r="AB329" t="e">
        <f ca="1"/>
        <v>#NAME?</v>
      </c>
    </row>
    <row r="330" spans="1:28" x14ac:dyDescent="0.2">
      <c r="A330" t="e">
        <f ca="1"/>
        <v>#NAME?</v>
      </c>
      <c r="B330" t="e">
        <f ca="1"/>
        <v>#NAME?</v>
      </c>
      <c r="C330" t="e">
        <f ca="1"/>
        <v>#NAME?</v>
      </c>
      <c r="D330" t="e">
        <f ca="1"/>
        <v>#NAME?</v>
      </c>
      <c r="E330" t="e">
        <f ca="1"/>
        <v>#NAME?</v>
      </c>
      <c r="F330" t="e">
        <f ca="1"/>
        <v>#NAME?</v>
      </c>
      <c r="G330" t="e">
        <f ca="1"/>
        <v>#NAME?</v>
      </c>
      <c r="H330" t="e">
        <f ca="1"/>
        <v>#NAME?</v>
      </c>
      <c r="I330" t="e">
        <f ca="1"/>
        <v>#NAME?</v>
      </c>
      <c r="J330" t="e">
        <f ca="1"/>
        <v>#NAME?</v>
      </c>
      <c r="K330" t="e">
        <f ca="1"/>
        <v>#NAME?</v>
      </c>
      <c r="L330" t="e">
        <f ca="1"/>
        <v>#NAME?</v>
      </c>
      <c r="M330" t="e">
        <f ca="1"/>
        <v>#NAME?</v>
      </c>
      <c r="N330" t="e">
        <f ca="1"/>
        <v>#NAME?</v>
      </c>
      <c r="O330" t="e">
        <f ca="1"/>
        <v>#NAME?</v>
      </c>
      <c r="P330" t="e">
        <f ca="1"/>
        <v>#NAME?</v>
      </c>
      <c r="Q330" t="e">
        <f ca="1"/>
        <v>#NAME?</v>
      </c>
      <c r="R330" t="e">
        <f ca="1"/>
        <v>#NAME?</v>
      </c>
      <c r="S330" t="e">
        <f ca="1"/>
        <v>#NAME?</v>
      </c>
      <c r="T330" t="e">
        <f ca="1"/>
        <v>#NAME?</v>
      </c>
      <c r="U330" t="e">
        <f ca="1"/>
        <v>#NAME?</v>
      </c>
      <c r="V330" s="5" t="e">
        <f ca="1"/>
        <v>#NAME?</v>
      </c>
      <c r="W330" t="e">
        <f ca="1"/>
        <v>#NAME?</v>
      </c>
      <c r="X330" t="e">
        <f ca="1"/>
        <v>#NAME?</v>
      </c>
      <c r="Y330" t="e">
        <f ca="1"/>
        <v>#NAME?</v>
      </c>
      <c r="Z330" t="e">
        <f ca="1"/>
        <v>#NAME?</v>
      </c>
      <c r="AA330" t="e">
        <f ca="1"/>
        <v>#NAME?</v>
      </c>
      <c r="AB330" t="e">
        <f ca="1"/>
        <v>#NAME?</v>
      </c>
    </row>
    <row r="331" spans="1:28" x14ac:dyDescent="0.2">
      <c r="A331" t="e">
        <f ca="1"/>
        <v>#NAME?</v>
      </c>
      <c r="B331" t="e">
        <f ca="1"/>
        <v>#NAME?</v>
      </c>
      <c r="C331" t="e">
        <f ca="1"/>
        <v>#NAME?</v>
      </c>
      <c r="D331" t="e">
        <f ca="1"/>
        <v>#NAME?</v>
      </c>
      <c r="E331" t="e">
        <f ca="1"/>
        <v>#NAME?</v>
      </c>
      <c r="F331" t="e">
        <f ca="1"/>
        <v>#NAME?</v>
      </c>
      <c r="G331" t="e">
        <f ca="1"/>
        <v>#NAME?</v>
      </c>
      <c r="H331" t="e">
        <f ca="1"/>
        <v>#NAME?</v>
      </c>
      <c r="I331" t="e">
        <f ca="1"/>
        <v>#NAME?</v>
      </c>
      <c r="J331" t="e">
        <f ca="1"/>
        <v>#NAME?</v>
      </c>
      <c r="K331" t="e">
        <f ca="1"/>
        <v>#NAME?</v>
      </c>
      <c r="L331" t="e">
        <f ca="1"/>
        <v>#NAME?</v>
      </c>
      <c r="M331" t="e">
        <f ca="1"/>
        <v>#NAME?</v>
      </c>
      <c r="N331" t="e">
        <f ca="1"/>
        <v>#NAME?</v>
      </c>
      <c r="O331" t="e">
        <f ca="1"/>
        <v>#NAME?</v>
      </c>
      <c r="P331" t="e">
        <f ca="1"/>
        <v>#NAME?</v>
      </c>
      <c r="Q331" t="e">
        <f ca="1"/>
        <v>#NAME?</v>
      </c>
      <c r="R331" t="e">
        <f ca="1"/>
        <v>#NAME?</v>
      </c>
      <c r="S331" t="e">
        <f ca="1"/>
        <v>#NAME?</v>
      </c>
      <c r="T331" t="e">
        <f ca="1"/>
        <v>#NAME?</v>
      </c>
      <c r="U331" t="e">
        <f ca="1"/>
        <v>#NAME?</v>
      </c>
      <c r="V331" s="5" t="e">
        <f ca="1"/>
        <v>#NAME?</v>
      </c>
      <c r="W331" t="e">
        <f ca="1"/>
        <v>#NAME?</v>
      </c>
      <c r="X331" t="e">
        <f ca="1"/>
        <v>#NAME?</v>
      </c>
      <c r="Y331" t="e">
        <f ca="1"/>
        <v>#NAME?</v>
      </c>
      <c r="Z331" t="e">
        <f ca="1"/>
        <v>#NAME?</v>
      </c>
      <c r="AA331" t="e">
        <f ca="1"/>
        <v>#NAME?</v>
      </c>
      <c r="AB331" t="e">
        <f ca="1"/>
        <v>#NAME?</v>
      </c>
    </row>
    <row r="332" spans="1:28" x14ac:dyDescent="0.2">
      <c r="A332" t="e">
        <f ca="1"/>
        <v>#NAME?</v>
      </c>
      <c r="B332" t="e">
        <f ca="1"/>
        <v>#NAME?</v>
      </c>
      <c r="C332" t="e">
        <f ca="1"/>
        <v>#NAME?</v>
      </c>
      <c r="D332" t="e">
        <f ca="1"/>
        <v>#NAME?</v>
      </c>
      <c r="E332" t="e">
        <f ca="1"/>
        <v>#NAME?</v>
      </c>
      <c r="F332" t="e">
        <f ca="1"/>
        <v>#NAME?</v>
      </c>
      <c r="G332" t="e">
        <f ca="1"/>
        <v>#NAME?</v>
      </c>
      <c r="H332" t="e">
        <f ca="1"/>
        <v>#NAME?</v>
      </c>
      <c r="I332" t="e">
        <f ca="1"/>
        <v>#NAME?</v>
      </c>
      <c r="J332" t="e">
        <f ca="1"/>
        <v>#NAME?</v>
      </c>
      <c r="K332" t="e">
        <f ca="1"/>
        <v>#NAME?</v>
      </c>
      <c r="L332" t="e">
        <f ca="1"/>
        <v>#NAME?</v>
      </c>
      <c r="M332" t="e">
        <f ca="1"/>
        <v>#NAME?</v>
      </c>
      <c r="N332" t="e">
        <f ca="1"/>
        <v>#NAME?</v>
      </c>
      <c r="O332" t="e">
        <f ca="1"/>
        <v>#NAME?</v>
      </c>
      <c r="P332" t="e">
        <f ca="1"/>
        <v>#NAME?</v>
      </c>
      <c r="Q332" t="e">
        <f ca="1"/>
        <v>#NAME?</v>
      </c>
      <c r="R332" t="e">
        <f ca="1"/>
        <v>#NAME?</v>
      </c>
      <c r="S332" t="e">
        <f ca="1"/>
        <v>#NAME?</v>
      </c>
      <c r="T332" t="e">
        <f ca="1"/>
        <v>#NAME?</v>
      </c>
      <c r="U332" t="e">
        <f ca="1"/>
        <v>#NAME?</v>
      </c>
      <c r="V332" s="5" t="e">
        <f ca="1"/>
        <v>#NAME?</v>
      </c>
      <c r="W332" t="e">
        <f ca="1"/>
        <v>#NAME?</v>
      </c>
      <c r="X332" t="e">
        <f ca="1"/>
        <v>#NAME?</v>
      </c>
      <c r="Y332" t="e">
        <f ca="1"/>
        <v>#NAME?</v>
      </c>
      <c r="Z332" t="e">
        <f ca="1"/>
        <v>#NAME?</v>
      </c>
      <c r="AA332" t="e">
        <f ca="1"/>
        <v>#NAME?</v>
      </c>
      <c r="AB332" t="e">
        <f ca="1"/>
        <v>#NAME?</v>
      </c>
    </row>
    <row r="333" spans="1:28" x14ac:dyDescent="0.2">
      <c r="A333" t="e">
        <f ca="1"/>
        <v>#NAME?</v>
      </c>
      <c r="B333" t="e">
        <f ca="1"/>
        <v>#NAME?</v>
      </c>
      <c r="C333" t="e">
        <f ca="1"/>
        <v>#NAME?</v>
      </c>
      <c r="D333" t="e">
        <f ca="1"/>
        <v>#NAME?</v>
      </c>
      <c r="E333" t="e">
        <f ca="1"/>
        <v>#NAME?</v>
      </c>
      <c r="F333" t="e">
        <f ca="1"/>
        <v>#NAME?</v>
      </c>
      <c r="G333" t="e">
        <f ca="1"/>
        <v>#NAME?</v>
      </c>
      <c r="H333" t="e">
        <f ca="1"/>
        <v>#NAME?</v>
      </c>
      <c r="I333" t="e">
        <f ca="1"/>
        <v>#NAME?</v>
      </c>
      <c r="J333" t="e">
        <f ca="1"/>
        <v>#NAME?</v>
      </c>
      <c r="K333" t="e">
        <f ca="1"/>
        <v>#NAME?</v>
      </c>
      <c r="L333" t="e">
        <f ca="1"/>
        <v>#NAME?</v>
      </c>
      <c r="M333" t="e">
        <f ca="1"/>
        <v>#NAME?</v>
      </c>
      <c r="N333" t="e">
        <f ca="1"/>
        <v>#NAME?</v>
      </c>
      <c r="O333" t="e">
        <f ca="1"/>
        <v>#NAME?</v>
      </c>
      <c r="P333" t="e">
        <f ca="1"/>
        <v>#NAME?</v>
      </c>
      <c r="Q333" t="e">
        <f ca="1"/>
        <v>#NAME?</v>
      </c>
      <c r="R333" t="e">
        <f ca="1"/>
        <v>#NAME?</v>
      </c>
      <c r="S333" t="e">
        <f ca="1"/>
        <v>#NAME?</v>
      </c>
      <c r="T333" t="e">
        <f ca="1"/>
        <v>#NAME?</v>
      </c>
      <c r="U333" t="e">
        <f ca="1"/>
        <v>#NAME?</v>
      </c>
      <c r="V333" s="5" t="e">
        <f ca="1"/>
        <v>#NAME?</v>
      </c>
      <c r="W333" t="e">
        <f ca="1"/>
        <v>#NAME?</v>
      </c>
      <c r="X333" t="e">
        <f ca="1"/>
        <v>#NAME?</v>
      </c>
      <c r="Y333" t="e">
        <f ca="1"/>
        <v>#NAME?</v>
      </c>
      <c r="Z333" t="e">
        <f ca="1"/>
        <v>#NAME?</v>
      </c>
      <c r="AA333" t="e">
        <f ca="1"/>
        <v>#NAME?</v>
      </c>
      <c r="AB333" t="e">
        <f ca="1"/>
        <v>#NAME?</v>
      </c>
    </row>
    <row r="334" spans="1:28" x14ac:dyDescent="0.2">
      <c r="A334" t="e">
        <f ca="1"/>
        <v>#NAME?</v>
      </c>
      <c r="B334" t="e">
        <f ca="1"/>
        <v>#NAME?</v>
      </c>
      <c r="C334" t="e">
        <f ca="1"/>
        <v>#NAME?</v>
      </c>
      <c r="D334" t="e">
        <f ca="1"/>
        <v>#NAME?</v>
      </c>
      <c r="E334" t="e">
        <f ca="1"/>
        <v>#NAME?</v>
      </c>
      <c r="F334" t="e">
        <f ca="1"/>
        <v>#NAME?</v>
      </c>
      <c r="G334" t="e">
        <f ca="1"/>
        <v>#NAME?</v>
      </c>
      <c r="H334" t="e">
        <f ca="1"/>
        <v>#NAME?</v>
      </c>
      <c r="I334" t="e">
        <f ca="1"/>
        <v>#NAME?</v>
      </c>
      <c r="J334" t="e">
        <f ca="1"/>
        <v>#NAME?</v>
      </c>
      <c r="K334" t="e">
        <f ca="1"/>
        <v>#NAME?</v>
      </c>
      <c r="L334" t="e">
        <f ca="1"/>
        <v>#NAME?</v>
      </c>
      <c r="M334" t="e">
        <f ca="1"/>
        <v>#NAME?</v>
      </c>
      <c r="N334" t="e">
        <f ca="1"/>
        <v>#NAME?</v>
      </c>
      <c r="O334" t="e">
        <f ca="1"/>
        <v>#NAME?</v>
      </c>
      <c r="P334" t="e">
        <f ca="1"/>
        <v>#NAME?</v>
      </c>
      <c r="Q334" t="e">
        <f ca="1"/>
        <v>#NAME?</v>
      </c>
      <c r="R334" t="e">
        <f ca="1"/>
        <v>#NAME?</v>
      </c>
      <c r="S334" t="e">
        <f ca="1"/>
        <v>#NAME?</v>
      </c>
      <c r="T334" t="e">
        <f ca="1"/>
        <v>#NAME?</v>
      </c>
      <c r="U334" t="e">
        <f ca="1"/>
        <v>#NAME?</v>
      </c>
      <c r="V334" s="5" t="e">
        <f ca="1"/>
        <v>#NAME?</v>
      </c>
      <c r="W334" t="e">
        <f ca="1"/>
        <v>#NAME?</v>
      </c>
      <c r="X334" t="e">
        <f ca="1"/>
        <v>#NAME?</v>
      </c>
      <c r="Y334" t="e">
        <f ca="1"/>
        <v>#NAME?</v>
      </c>
      <c r="Z334" t="e">
        <f ca="1"/>
        <v>#NAME?</v>
      </c>
      <c r="AA334" t="e">
        <f ca="1"/>
        <v>#NAME?</v>
      </c>
      <c r="AB334" t="e">
        <f ca="1"/>
        <v>#NAME?</v>
      </c>
    </row>
    <row r="335" spans="1:28" x14ac:dyDescent="0.2">
      <c r="A335" t="e">
        <f ca="1"/>
        <v>#NAME?</v>
      </c>
      <c r="B335" t="e">
        <f ca="1"/>
        <v>#NAME?</v>
      </c>
      <c r="C335" t="e">
        <f ca="1"/>
        <v>#NAME?</v>
      </c>
      <c r="D335" t="e">
        <f ca="1"/>
        <v>#NAME?</v>
      </c>
      <c r="E335" t="e">
        <f ca="1"/>
        <v>#NAME?</v>
      </c>
      <c r="F335" t="e">
        <f ca="1"/>
        <v>#NAME?</v>
      </c>
      <c r="G335" t="e">
        <f ca="1"/>
        <v>#NAME?</v>
      </c>
      <c r="H335" t="e">
        <f ca="1"/>
        <v>#NAME?</v>
      </c>
      <c r="I335" t="e">
        <f ca="1"/>
        <v>#NAME?</v>
      </c>
      <c r="J335" t="e">
        <f ca="1"/>
        <v>#NAME?</v>
      </c>
      <c r="K335" t="e">
        <f ca="1"/>
        <v>#NAME?</v>
      </c>
      <c r="L335" t="e">
        <f ca="1"/>
        <v>#NAME?</v>
      </c>
      <c r="M335" t="e">
        <f ca="1"/>
        <v>#NAME?</v>
      </c>
      <c r="N335" t="e">
        <f ca="1"/>
        <v>#NAME?</v>
      </c>
      <c r="O335" t="e">
        <f ca="1"/>
        <v>#NAME?</v>
      </c>
      <c r="P335" t="e">
        <f ca="1"/>
        <v>#NAME?</v>
      </c>
      <c r="Q335" t="e">
        <f ca="1"/>
        <v>#NAME?</v>
      </c>
      <c r="R335" t="e">
        <f ca="1"/>
        <v>#NAME?</v>
      </c>
      <c r="S335" t="e">
        <f ca="1"/>
        <v>#NAME?</v>
      </c>
      <c r="T335" t="e">
        <f ca="1"/>
        <v>#NAME?</v>
      </c>
      <c r="U335" t="e">
        <f ca="1"/>
        <v>#NAME?</v>
      </c>
      <c r="V335" s="5" t="e">
        <f ca="1"/>
        <v>#NAME?</v>
      </c>
      <c r="W335" t="e">
        <f ca="1"/>
        <v>#NAME?</v>
      </c>
      <c r="X335" t="e">
        <f ca="1"/>
        <v>#NAME?</v>
      </c>
      <c r="Y335" t="e">
        <f ca="1"/>
        <v>#NAME?</v>
      </c>
      <c r="Z335" t="e">
        <f ca="1"/>
        <v>#NAME?</v>
      </c>
      <c r="AA335" t="e">
        <f ca="1"/>
        <v>#NAME?</v>
      </c>
      <c r="AB335" t="e">
        <f ca="1"/>
        <v>#NAME?</v>
      </c>
    </row>
    <row r="336" spans="1:28" x14ac:dyDescent="0.2">
      <c r="A336" t="e">
        <f ca="1"/>
        <v>#NAME?</v>
      </c>
      <c r="B336" t="e">
        <f ca="1"/>
        <v>#NAME?</v>
      </c>
      <c r="C336" t="e">
        <f ca="1"/>
        <v>#NAME?</v>
      </c>
      <c r="D336" t="e">
        <f ca="1"/>
        <v>#NAME?</v>
      </c>
      <c r="E336" t="e">
        <f ca="1"/>
        <v>#NAME?</v>
      </c>
      <c r="F336" t="e">
        <f ca="1"/>
        <v>#NAME?</v>
      </c>
      <c r="G336" t="e">
        <f ca="1"/>
        <v>#NAME?</v>
      </c>
      <c r="H336" t="e">
        <f ca="1"/>
        <v>#NAME?</v>
      </c>
      <c r="I336" t="e">
        <f ca="1"/>
        <v>#NAME?</v>
      </c>
      <c r="J336" t="e">
        <f ca="1"/>
        <v>#NAME?</v>
      </c>
      <c r="K336" t="e">
        <f ca="1"/>
        <v>#NAME?</v>
      </c>
      <c r="L336" t="e">
        <f ca="1"/>
        <v>#NAME?</v>
      </c>
      <c r="M336" t="e">
        <f ca="1"/>
        <v>#NAME?</v>
      </c>
      <c r="N336" t="e">
        <f ca="1"/>
        <v>#NAME?</v>
      </c>
      <c r="O336" t="e">
        <f ca="1"/>
        <v>#NAME?</v>
      </c>
      <c r="P336" t="e">
        <f ca="1"/>
        <v>#NAME?</v>
      </c>
      <c r="Q336" t="e">
        <f ca="1"/>
        <v>#NAME?</v>
      </c>
      <c r="R336" t="e">
        <f ca="1"/>
        <v>#NAME?</v>
      </c>
      <c r="S336" t="e">
        <f ca="1"/>
        <v>#NAME?</v>
      </c>
      <c r="T336" t="e">
        <f ca="1"/>
        <v>#NAME?</v>
      </c>
      <c r="U336" t="e">
        <f ca="1"/>
        <v>#NAME?</v>
      </c>
      <c r="V336" s="5" t="e">
        <f ca="1"/>
        <v>#NAME?</v>
      </c>
      <c r="W336" t="e">
        <f ca="1"/>
        <v>#NAME?</v>
      </c>
      <c r="X336" t="e">
        <f ca="1"/>
        <v>#NAME?</v>
      </c>
      <c r="Y336" t="e">
        <f ca="1"/>
        <v>#NAME?</v>
      </c>
      <c r="Z336" t="e">
        <f ca="1"/>
        <v>#NAME?</v>
      </c>
      <c r="AA336" t="e">
        <f ca="1"/>
        <v>#NAME?</v>
      </c>
      <c r="AB336" t="e">
        <f ca="1"/>
        <v>#NAME?</v>
      </c>
    </row>
    <row r="337" spans="1:28" x14ac:dyDescent="0.2">
      <c r="A337" t="e">
        <f ca="1"/>
        <v>#NAME?</v>
      </c>
      <c r="B337" t="e">
        <f ca="1"/>
        <v>#NAME?</v>
      </c>
      <c r="C337" t="e">
        <f ca="1"/>
        <v>#NAME?</v>
      </c>
      <c r="D337" t="e">
        <f ca="1"/>
        <v>#NAME?</v>
      </c>
      <c r="E337" t="e">
        <f ca="1"/>
        <v>#NAME?</v>
      </c>
      <c r="F337" t="e">
        <f ca="1"/>
        <v>#NAME?</v>
      </c>
      <c r="G337" t="e">
        <f ca="1"/>
        <v>#NAME?</v>
      </c>
      <c r="H337" t="e">
        <f ca="1"/>
        <v>#NAME?</v>
      </c>
      <c r="I337" t="e">
        <f ca="1"/>
        <v>#NAME?</v>
      </c>
      <c r="J337" t="e">
        <f ca="1"/>
        <v>#NAME?</v>
      </c>
      <c r="K337" t="e">
        <f ca="1"/>
        <v>#NAME?</v>
      </c>
      <c r="L337" t="e">
        <f ca="1"/>
        <v>#NAME?</v>
      </c>
      <c r="M337" t="e">
        <f ca="1"/>
        <v>#NAME?</v>
      </c>
      <c r="N337" t="e">
        <f ca="1"/>
        <v>#NAME?</v>
      </c>
      <c r="O337" t="e">
        <f ca="1"/>
        <v>#NAME?</v>
      </c>
      <c r="P337" t="e">
        <f ca="1"/>
        <v>#NAME?</v>
      </c>
      <c r="Q337" t="e">
        <f ca="1"/>
        <v>#NAME?</v>
      </c>
      <c r="R337" t="e">
        <f ca="1"/>
        <v>#NAME?</v>
      </c>
      <c r="S337" t="e">
        <f ca="1"/>
        <v>#NAME?</v>
      </c>
      <c r="T337" t="e">
        <f ca="1"/>
        <v>#NAME?</v>
      </c>
      <c r="U337" t="e">
        <f ca="1"/>
        <v>#NAME?</v>
      </c>
      <c r="V337" s="5" t="e">
        <f ca="1"/>
        <v>#NAME?</v>
      </c>
      <c r="W337" t="e">
        <f ca="1"/>
        <v>#NAME?</v>
      </c>
      <c r="X337" t="e">
        <f ca="1"/>
        <v>#NAME?</v>
      </c>
      <c r="Y337" t="e">
        <f ca="1"/>
        <v>#NAME?</v>
      </c>
      <c r="Z337" t="e">
        <f ca="1"/>
        <v>#NAME?</v>
      </c>
      <c r="AA337" t="e">
        <f ca="1"/>
        <v>#NAME?</v>
      </c>
      <c r="AB337" t="e">
        <f ca="1"/>
        <v>#NAME?</v>
      </c>
    </row>
    <row r="338" spans="1:28" x14ac:dyDescent="0.2">
      <c r="A338" t="e">
        <f ca="1"/>
        <v>#NAME?</v>
      </c>
      <c r="B338" t="e">
        <f ca="1"/>
        <v>#NAME?</v>
      </c>
      <c r="C338" t="e">
        <f ca="1"/>
        <v>#NAME?</v>
      </c>
      <c r="D338" t="e">
        <f ca="1"/>
        <v>#NAME?</v>
      </c>
      <c r="E338" t="e">
        <f ca="1"/>
        <v>#NAME?</v>
      </c>
      <c r="F338" t="e">
        <f ca="1"/>
        <v>#NAME?</v>
      </c>
      <c r="G338" t="e">
        <f ca="1"/>
        <v>#NAME?</v>
      </c>
      <c r="H338" t="e">
        <f ca="1"/>
        <v>#NAME?</v>
      </c>
      <c r="I338" t="e">
        <f ca="1"/>
        <v>#NAME?</v>
      </c>
      <c r="J338" t="e">
        <f ca="1"/>
        <v>#NAME?</v>
      </c>
      <c r="K338" t="e">
        <f ca="1"/>
        <v>#NAME?</v>
      </c>
      <c r="L338" t="e">
        <f ca="1"/>
        <v>#NAME?</v>
      </c>
      <c r="M338" t="e">
        <f ca="1"/>
        <v>#NAME?</v>
      </c>
      <c r="N338" t="e">
        <f ca="1"/>
        <v>#NAME?</v>
      </c>
      <c r="O338" t="e">
        <f ca="1"/>
        <v>#NAME?</v>
      </c>
      <c r="P338" t="e">
        <f ca="1"/>
        <v>#NAME?</v>
      </c>
      <c r="Q338" t="e">
        <f ca="1"/>
        <v>#NAME?</v>
      </c>
      <c r="R338" t="e">
        <f ca="1"/>
        <v>#NAME?</v>
      </c>
      <c r="S338" t="e">
        <f ca="1"/>
        <v>#NAME?</v>
      </c>
      <c r="T338" t="e">
        <f ca="1"/>
        <v>#NAME?</v>
      </c>
      <c r="U338" t="e">
        <f ca="1"/>
        <v>#NAME?</v>
      </c>
      <c r="V338" s="5" t="e">
        <f ca="1"/>
        <v>#NAME?</v>
      </c>
      <c r="W338" t="e">
        <f ca="1"/>
        <v>#NAME?</v>
      </c>
      <c r="X338" t="e">
        <f ca="1"/>
        <v>#NAME?</v>
      </c>
      <c r="Y338" t="e">
        <f ca="1"/>
        <v>#NAME?</v>
      </c>
      <c r="Z338" t="e">
        <f ca="1"/>
        <v>#NAME?</v>
      </c>
      <c r="AA338" t="e">
        <f ca="1"/>
        <v>#NAME?</v>
      </c>
      <c r="AB338" t="e">
        <f ca="1"/>
        <v>#NAME?</v>
      </c>
    </row>
    <row r="339" spans="1:28" x14ac:dyDescent="0.2">
      <c r="A339" t="e">
        <f ca="1"/>
        <v>#NAME?</v>
      </c>
      <c r="B339" t="e">
        <f ca="1"/>
        <v>#NAME?</v>
      </c>
      <c r="C339" t="e">
        <f ca="1"/>
        <v>#NAME?</v>
      </c>
      <c r="D339" t="e">
        <f ca="1"/>
        <v>#NAME?</v>
      </c>
      <c r="E339" t="e">
        <f ca="1"/>
        <v>#NAME?</v>
      </c>
      <c r="F339" t="e">
        <f ca="1"/>
        <v>#NAME?</v>
      </c>
      <c r="G339" t="e">
        <f ca="1"/>
        <v>#NAME?</v>
      </c>
      <c r="H339" t="e">
        <f ca="1"/>
        <v>#NAME?</v>
      </c>
      <c r="I339" t="e">
        <f ca="1"/>
        <v>#NAME?</v>
      </c>
      <c r="J339" t="e">
        <f ca="1"/>
        <v>#NAME?</v>
      </c>
      <c r="K339" t="e">
        <f ca="1"/>
        <v>#NAME?</v>
      </c>
      <c r="L339" t="e">
        <f ca="1"/>
        <v>#NAME?</v>
      </c>
      <c r="M339" t="e">
        <f ca="1"/>
        <v>#NAME?</v>
      </c>
      <c r="N339" t="e">
        <f ca="1"/>
        <v>#NAME?</v>
      </c>
      <c r="O339" t="e">
        <f ca="1"/>
        <v>#NAME?</v>
      </c>
      <c r="P339" t="e">
        <f ca="1"/>
        <v>#NAME?</v>
      </c>
      <c r="Q339" t="e">
        <f ca="1"/>
        <v>#NAME?</v>
      </c>
      <c r="R339" t="e">
        <f ca="1"/>
        <v>#NAME?</v>
      </c>
      <c r="S339" t="e">
        <f ca="1"/>
        <v>#NAME?</v>
      </c>
      <c r="T339" t="e">
        <f ca="1"/>
        <v>#NAME?</v>
      </c>
      <c r="U339" t="e">
        <f ca="1"/>
        <v>#NAME?</v>
      </c>
      <c r="V339" s="5" t="e">
        <f ca="1"/>
        <v>#NAME?</v>
      </c>
      <c r="W339" t="e">
        <f ca="1"/>
        <v>#NAME?</v>
      </c>
      <c r="X339" t="e">
        <f ca="1"/>
        <v>#NAME?</v>
      </c>
      <c r="Y339" t="e">
        <f ca="1"/>
        <v>#NAME?</v>
      </c>
      <c r="Z339" t="e">
        <f ca="1"/>
        <v>#NAME?</v>
      </c>
      <c r="AA339" t="e">
        <f ca="1"/>
        <v>#NAME?</v>
      </c>
      <c r="AB339" t="e">
        <f ca="1"/>
        <v>#NAME?</v>
      </c>
    </row>
    <row r="340" spans="1:28" x14ac:dyDescent="0.2">
      <c r="A340" t="e">
        <f ca="1"/>
        <v>#NAME?</v>
      </c>
      <c r="B340" t="e">
        <f ca="1"/>
        <v>#NAME?</v>
      </c>
      <c r="C340" t="e">
        <f ca="1"/>
        <v>#NAME?</v>
      </c>
      <c r="D340" t="e">
        <f ca="1"/>
        <v>#NAME?</v>
      </c>
      <c r="E340" t="e">
        <f ca="1"/>
        <v>#NAME?</v>
      </c>
      <c r="F340" t="e">
        <f ca="1"/>
        <v>#NAME?</v>
      </c>
      <c r="G340" t="e">
        <f ca="1"/>
        <v>#NAME?</v>
      </c>
      <c r="H340" t="e">
        <f ca="1"/>
        <v>#NAME?</v>
      </c>
      <c r="I340" t="e">
        <f ca="1"/>
        <v>#NAME?</v>
      </c>
      <c r="J340" t="e">
        <f ca="1"/>
        <v>#NAME?</v>
      </c>
      <c r="K340" t="e">
        <f ca="1"/>
        <v>#NAME?</v>
      </c>
      <c r="L340" t="e">
        <f ca="1"/>
        <v>#NAME?</v>
      </c>
      <c r="M340" t="e">
        <f ca="1"/>
        <v>#NAME?</v>
      </c>
      <c r="N340" t="e">
        <f ca="1"/>
        <v>#NAME?</v>
      </c>
      <c r="O340" t="e">
        <f ca="1"/>
        <v>#NAME?</v>
      </c>
      <c r="P340" t="e">
        <f ca="1"/>
        <v>#NAME?</v>
      </c>
      <c r="Q340" t="e">
        <f ca="1"/>
        <v>#NAME?</v>
      </c>
      <c r="R340" t="e">
        <f ca="1"/>
        <v>#NAME?</v>
      </c>
      <c r="S340" t="e">
        <f ca="1"/>
        <v>#NAME?</v>
      </c>
      <c r="T340" t="e">
        <f ca="1"/>
        <v>#NAME?</v>
      </c>
      <c r="U340" t="e">
        <f ca="1"/>
        <v>#NAME?</v>
      </c>
      <c r="V340" s="5" t="e">
        <f ca="1"/>
        <v>#NAME?</v>
      </c>
      <c r="W340" t="e">
        <f ca="1"/>
        <v>#NAME?</v>
      </c>
      <c r="X340" t="e">
        <f ca="1"/>
        <v>#NAME?</v>
      </c>
      <c r="Y340" t="e">
        <f ca="1"/>
        <v>#NAME?</v>
      </c>
      <c r="Z340" t="e">
        <f ca="1"/>
        <v>#NAME?</v>
      </c>
      <c r="AA340" t="e">
        <f ca="1"/>
        <v>#NAME?</v>
      </c>
      <c r="AB340" t="e">
        <f ca="1"/>
        <v>#NAME?</v>
      </c>
    </row>
    <row r="341" spans="1:28" x14ac:dyDescent="0.2">
      <c r="A341" t="e">
        <f ca="1"/>
        <v>#NAME?</v>
      </c>
      <c r="B341" t="e">
        <f ca="1"/>
        <v>#NAME?</v>
      </c>
      <c r="C341" t="e">
        <f ca="1"/>
        <v>#NAME?</v>
      </c>
      <c r="D341" t="e">
        <f ca="1"/>
        <v>#NAME?</v>
      </c>
      <c r="E341" t="e">
        <f ca="1"/>
        <v>#NAME?</v>
      </c>
      <c r="F341" t="e">
        <f ca="1"/>
        <v>#NAME?</v>
      </c>
      <c r="G341" t="e">
        <f ca="1"/>
        <v>#NAME?</v>
      </c>
      <c r="H341" t="e">
        <f ca="1"/>
        <v>#NAME?</v>
      </c>
      <c r="I341" t="e">
        <f ca="1"/>
        <v>#NAME?</v>
      </c>
      <c r="J341" t="e">
        <f ca="1"/>
        <v>#NAME?</v>
      </c>
      <c r="K341" t="e">
        <f ca="1"/>
        <v>#NAME?</v>
      </c>
      <c r="L341" t="e">
        <f ca="1"/>
        <v>#NAME?</v>
      </c>
      <c r="M341" t="e">
        <f ca="1"/>
        <v>#NAME?</v>
      </c>
      <c r="N341" t="e">
        <f ca="1"/>
        <v>#NAME?</v>
      </c>
      <c r="O341" t="e">
        <f ca="1"/>
        <v>#NAME?</v>
      </c>
      <c r="P341" t="e">
        <f ca="1"/>
        <v>#NAME?</v>
      </c>
      <c r="Q341" t="e">
        <f ca="1"/>
        <v>#NAME?</v>
      </c>
      <c r="R341" t="e">
        <f ca="1"/>
        <v>#NAME?</v>
      </c>
      <c r="S341" t="e">
        <f ca="1"/>
        <v>#NAME?</v>
      </c>
      <c r="T341" t="e">
        <f ca="1"/>
        <v>#NAME?</v>
      </c>
      <c r="U341" t="e">
        <f ca="1"/>
        <v>#NAME?</v>
      </c>
      <c r="V341" s="5" t="e">
        <f ca="1"/>
        <v>#NAME?</v>
      </c>
      <c r="W341" t="e">
        <f ca="1"/>
        <v>#NAME?</v>
      </c>
      <c r="X341" t="e">
        <f ca="1"/>
        <v>#NAME?</v>
      </c>
      <c r="Y341" t="e">
        <f ca="1"/>
        <v>#NAME?</v>
      </c>
      <c r="Z341" t="e">
        <f ca="1"/>
        <v>#NAME?</v>
      </c>
      <c r="AA341" t="e">
        <f ca="1"/>
        <v>#NAME?</v>
      </c>
      <c r="AB341" t="e">
        <f ca="1"/>
        <v>#NAME?</v>
      </c>
    </row>
    <row r="342" spans="1:28" x14ac:dyDescent="0.2">
      <c r="A342" t="e">
        <f ca="1"/>
        <v>#NAME?</v>
      </c>
      <c r="B342" t="e">
        <f ca="1"/>
        <v>#NAME?</v>
      </c>
      <c r="C342" t="e">
        <f ca="1"/>
        <v>#NAME?</v>
      </c>
      <c r="D342" t="e">
        <f ca="1"/>
        <v>#NAME?</v>
      </c>
      <c r="E342" t="e">
        <f ca="1"/>
        <v>#NAME?</v>
      </c>
      <c r="F342" t="e">
        <f ca="1"/>
        <v>#NAME?</v>
      </c>
      <c r="G342" t="e">
        <f ca="1"/>
        <v>#NAME?</v>
      </c>
      <c r="H342" t="e">
        <f ca="1"/>
        <v>#NAME?</v>
      </c>
      <c r="I342" t="e">
        <f ca="1"/>
        <v>#NAME?</v>
      </c>
      <c r="J342" t="e">
        <f ca="1"/>
        <v>#NAME?</v>
      </c>
      <c r="K342" t="e">
        <f ca="1"/>
        <v>#NAME?</v>
      </c>
      <c r="L342" t="e">
        <f ca="1"/>
        <v>#NAME?</v>
      </c>
      <c r="M342" t="e">
        <f ca="1"/>
        <v>#NAME?</v>
      </c>
      <c r="N342" t="e">
        <f ca="1"/>
        <v>#NAME?</v>
      </c>
      <c r="O342" t="e">
        <f ca="1"/>
        <v>#NAME?</v>
      </c>
      <c r="P342" t="e">
        <f ca="1"/>
        <v>#NAME?</v>
      </c>
      <c r="Q342" t="e">
        <f ca="1"/>
        <v>#NAME?</v>
      </c>
      <c r="R342" t="e">
        <f ca="1"/>
        <v>#NAME?</v>
      </c>
      <c r="S342" t="e">
        <f ca="1"/>
        <v>#NAME?</v>
      </c>
      <c r="T342" t="e">
        <f ca="1"/>
        <v>#NAME?</v>
      </c>
      <c r="U342" t="e">
        <f ca="1"/>
        <v>#NAME?</v>
      </c>
      <c r="V342" s="5" t="e">
        <f ca="1"/>
        <v>#NAME?</v>
      </c>
      <c r="W342" t="e">
        <f ca="1"/>
        <v>#NAME?</v>
      </c>
      <c r="X342" t="e">
        <f ca="1"/>
        <v>#NAME?</v>
      </c>
      <c r="Y342" t="e">
        <f ca="1"/>
        <v>#NAME?</v>
      </c>
      <c r="Z342" t="e">
        <f ca="1"/>
        <v>#NAME?</v>
      </c>
      <c r="AA342" t="e">
        <f ca="1"/>
        <v>#NAME?</v>
      </c>
      <c r="AB342" t="e">
        <f ca="1"/>
        <v>#NAME?</v>
      </c>
    </row>
    <row r="343" spans="1:28" x14ac:dyDescent="0.2">
      <c r="A343" t="e">
        <f ca="1"/>
        <v>#NAME?</v>
      </c>
      <c r="B343" t="e">
        <f ca="1"/>
        <v>#NAME?</v>
      </c>
      <c r="C343" t="e">
        <f ca="1"/>
        <v>#NAME?</v>
      </c>
      <c r="D343" t="e">
        <f ca="1"/>
        <v>#NAME?</v>
      </c>
      <c r="E343" t="e">
        <f ca="1"/>
        <v>#NAME?</v>
      </c>
      <c r="F343" t="e">
        <f ca="1"/>
        <v>#NAME?</v>
      </c>
      <c r="G343" t="e">
        <f ca="1"/>
        <v>#NAME?</v>
      </c>
      <c r="H343" t="e">
        <f ca="1"/>
        <v>#NAME?</v>
      </c>
      <c r="I343" t="e">
        <f ca="1"/>
        <v>#NAME?</v>
      </c>
      <c r="J343" t="e">
        <f ca="1"/>
        <v>#NAME?</v>
      </c>
      <c r="K343" t="e">
        <f ca="1"/>
        <v>#NAME?</v>
      </c>
      <c r="L343" t="e">
        <f ca="1"/>
        <v>#NAME?</v>
      </c>
      <c r="M343" t="e">
        <f ca="1"/>
        <v>#NAME?</v>
      </c>
      <c r="N343" t="e">
        <f ca="1"/>
        <v>#NAME?</v>
      </c>
      <c r="O343" t="e">
        <f ca="1"/>
        <v>#NAME?</v>
      </c>
      <c r="P343" t="e">
        <f ca="1"/>
        <v>#NAME?</v>
      </c>
      <c r="Q343" t="e">
        <f ca="1"/>
        <v>#NAME?</v>
      </c>
      <c r="R343" t="e">
        <f ca="1"/>
        <v>#NAME?</v>
      </c>
      <c r="S343" t="e">
        <f ca="1"/>
        <v>#NAME?</v>
      </c>
      <c r="T343" t="e">
        <f ca="1"/>
        <v>#NAME?</v>
      </c>
      <c r="U343" t="e">
        <f ca="1"/>
        <v>#NAME?</v>
      </c>
      <c r="V343" s="5" t="e">
        <f ca="1"/>
        <v>#NAME?</v>
      </c>
      <c r="W343" t="e">
        <f ca="1"/>
        <v>#NAME?</v>
      </c>
      <c r="X343" t="e">
        <f ca="1"/>
        <v>#NAME?</v>
      </c>
      <c r="Y343" t="e">
        <f ca="1"/>
        <v>#NAME?</v>
      </c>
      <c r="Z343" t="e">
        <f ca="1"/>
        <v>#NAME?</v>
      </c>
      <c r="AA343" t="e">
        <f ca="1"/>
        <v>#NAME?</v>
      </c>
      <c r="AB343" t="e">
        <f ca="1"/>
        <v>#NAME?</v>
      </c>
    </row>
    <row r="344" spans="1:28" x14ac:dyDescent="0.2">
      <c r="A344" t="e">
        <f ca="1"/>
        <v>#NAME?</v>
      </c>
      <c r="B344" t="e">
        <f ca="1"/>
        <v>#NAME?</v>
      </c>
      <c r="C344" t="e">
        <f ca="1"/>
        <v>#NAME?</v>
      </c>
      <c r="D344" t="e">
        <f ca="1"/>
        <v>#NAME?</v>
      </c>
      <c r="E344" t="e">
        <f ca="1"/>
        <v>#NAME?</v>
      </c>
      <c r="F344" t="e">
        <f ca="1"/>
        <v>#NAME?</v>
      </c>
      <c r="G344" t="e">
        <f ca="1"/>
        <v>#NAME?</v>
      </c>
      <c r="H344" t="e">
        <f ca="1"/>
        <v>#NAME?</v>
      </c>
      <c r="I344" t="e">
        <f ca="1"/>
        <v>#NAME?</v>
      </c>
      <c r="J344" t="e">
        <f ca="1"/>
        <v>#NAME?</v>
      </c>
      <c r="K344" t="e">
        <f ca="1"/>
        <v>#NAME?</v>
      </c>
      <c r="L344" t="e">
        <f ca="1"/>
        <v>#NAME?</v>
      </c>
      <c r="M344" t="e">
        <f ca="1"/>
        <v>#NAME?</v>
      </c>
      <c r="N344" t="e">
        <f ca="1"/>
        <v>#NAME?</v>
      </c>
      <c r="O344" t="e">
        <f ca="1"/>
        <v>#NAME?</v>
      </c>
      <c r="P344" t="e">
        <f ca="1"/>
        <v>#NAME?</v>
      </c>
      <c r="Q344" t="e">
        <f ca="1"/>
        <v>#NAME?</v>
      </c>
      <c r="R344" t="e">
        <f ca="1"/>
        <v>#NAME?</v>
      </c>
      <c r="S344" t="e">
        <f ca="1"/>
        <v>#NAME?</v>
      </c>
      <c r="T344" t="e">
        <f ca="1"/>
        <v>#NAME?</v>
      </c>
      <c r="U344" t="e">
        <f ca="1"/>
        <v>#NAME?</v>
      </c>
      <c r="V344" s="5" t="e">
        <f ca="1"/>
        <v>#NAME?</v>
      </c>
      <c r="W344" t="e">
        <f ca="1"/>
        <v>#NAME?</v>
      </c>
      <c r="X344" t="e">
        <f ca="1"/>
        <v>#NAME?</v>
      </c>
      <c r="Y344" t="e">
        <f ca="1"/>
        <v>#NAME?</v>
      </c>
      <c r="Z344" t="e">
        <f ca="1"/>
        <v>#NAME?</v>
      </c>
      <c r="AA344" t="e">
        <f ca="1"/>
        <v>#NAME?</v>
      </c>
      <c r="AB344" t="e">
        <f ca="1"/>
        <v>#NAME?</v>
      </c>
    </row>
    <row r="345" spans="1:28" x14ac:dyDescent="0.2">
      <c r="A345" t="e">
        <f ca="1"/>
        <v>#NAME?</v>
      </c>
      <c r="B345" t="e">
        <f ca="1"/>
        <v>#NAME?</v>
      </c>
      <c r="C345" t="e">
        <f ca="1"/>
        <v>#NAME?</v>
      </c>
      <c r="D345" t="e">
        <f ca="1"/>
        <v>#NAME?</v>
      </c>
      <c r="E345" t="e">
        <f ca="1"/>
        <v>#NAME?</v>
      </c>
      <c r="F345" t="e">
        <f ca="1"/>
        <v>#NAME?</v>
      </c>
      <c r="G345" t="e">
        <f ca="1"/>
        <v>#NAME?</v>
      </c>
      <c r="H345" t="e">
        <f ca="1"/>
        <v>#NAME?</v>
      </c>
      <c r="I345" t="e">
        <f ca="1"/>
        <v>#NAME?</v>
      </c>
      <c r="J345" t="e">
        <f ca="1"/>
        <v>#NAME?</v>
      </c>
      <c r="K345" t="e">
        <f ca="1"/>
        <v>#NAME?</v>
      </c>
      <c r="L345" t="e">
        <f ca="1"/>
        <v>#NAME?</v>
      </c>
      <c r="M345" t="e">
        <f ca="1"/>
        <v>#NAME?</v>
      </c>
      <c r="N345" t="e">
        <f ca="1"/>
        <v>#NAME?</v>
      </c>
      <c r="O345" t="e">
        <f ca="1"/>
        <v>#NAME?</v>
      </c>
      <c r="P345" t="e">
        <f ca="1"/>
        <v>#NAME?</v>
      </c>
      <c r="Q345" t="e">
        <f ca="1"/>
        <v>#NAME?</v>
      </c>
      <c r="R345" t="e">
        <f ca="1"/>
        <v>#NAME?</v>
      </c>
      <c r="S345" t="e">
        <f ca="1"/>
        <v>#NAME?</v>
      </c>
      <c r="T345" t="e">
        <f ca="1"/>
        <v>#NAME?</v>
      </c>
      <c r="U345" t="e">
        <f ca="1"/>
        <v>#NAME?</v>
      </c>
      <c r="V345" s="5" t="e">
        <f ca="1"/>
        <v>#NAME?</v>
      </c>
      <c r="W345" t="e">
        <f ca="1"/>
        <v>#NAME?</v>
      </c>
      <c r="X345" t="e">
        <f ca="1"/>
        <v>#NAME?</v>
      </c>
      <c r="Y345" t="e">
        <f ca="1"/>
        <v>#NAME?</v>
      </c>
      <c r="Z345" t="e">
        <f ca="1"/>
        <v>#NAME?</v>
      </c>
      <c r="AA345" t="e">
        <f ca="1"/>
        <v>#NAME?</v>
      </c>
      <c r="AB345" t="e">
        <f ca="1"/>
        <v>#NAME?</v>
      </c>
    </row>
    <row r="346" spans="1:28" x14ac:dyDescent="0.2">
      <c r="A346" t="e">
        <f ca="1"/>
        <v>#NAME?</v>
      </c>
      <c r="B346" t="e">
        <f ca="1"/>
        <v>#NAME?</v>
      </c>
      <c r="C346" t="e">
        <f ca="1"/>
        <v>#NAME?</v>
      </c>
      <c r="D346" t="e">
        <f ca="1"/>
        <v>#NAME?</v>
      </c>
      <c r="E346" t="e">
        <f ca="1"/>
        <v>#NAME?</v>
      </c>
      <c r="F346" t="e">
        <f ca="1"/>
        <v>#NAME?</v>
      </c>
      <c r="G346" t="e">
        <f ca="1"/>
        <v>#NAME?</v>
      </c>
      <c r="H346" t="e">
        <f ca="1"/>
        <v>#NAME?</v>
      </c>
      <c r="I346" t="e">
        <f ca="1"/>
        <v>#NAME?</v>
      </c>
      <c r="J346" t="e">
        <f ca="1"/>
        <v>#NAME?</v>
      </c>
      <c r="K346" t="e">
        <f ca="1"/>
        <v>#NAME?</v>
      </c>
      <c r="L346" t="e">
        <f ca="1"/>
        <v>#NAME?</v>
      </c>
      <c r="M346" t="e">
        <f ca="1"/>
        <v>#NAME?</v>
      </c>
      <c r="N346" t="e">
        <f ca="1"/>
        <v>#NAME?</v>
      </c>
      <c r="O346" t="e">
        <f ca="1"/>
        <v>#NAME?</v>
      </c>
      <c r="P346" t="e">
        <f ca="1"/>
        <v>#NAME?</v>
      </c>
      <c r="Q346" t="e">
        <f ca="1"/>
        <v>#NAME?</v>
      </c>
      <c r="R346" t="e">
        <f ca="1"/>
        <v>#NAME?</v>
      </c>
      <c r="S346" t="e">
        <f ca="1"/>
        <v>#NAME?</v>
      </c>
      <c r="T346" t="e">
        <f ca="1"/>
        <v>#NAME?</v>
      </c>
      <c r="U346" t="e">
        <f ca="1"/>
        <v>#NAME?</v>
      </c>
      <c r="V346" s="5" t="e">
        <f ca="1"/>
        <v>#NAME?</v>
      </c>
      <c r="W346" t="e">
        <f ca="1"/>
        <v>#NAME?</v>
      </c>
      <c r="X346" t="e">
        <f ca="1"/>
        <v>#NAME?</v>
      </c>
      <c r="Y346" t="e">
        <f ca="1"/>
        <v>#NAME?</v>
      </c>
      <c r="Z346" t="e">
        <f ca="1"/>
        <v>#NAME?</v>
      </c>
      <c r="AA346" t="e">
        <f ca="1"/>
        <v>#NAME?</v>
      </c>
      <c r="AB346" t="e">
        <f ca="1"/>
        <v>#NAME?</v>
      </c>
    </row>
    <row r="347" spans="1:28" x14ac:dyDescent="0.2">
      <c r="A347" t="e">
        <f ca="1"/>
        <v>#NAME?</v>
      </c>
      <c r="B347" t="e">
        <f ca="1"/>
        <v>#NAME?</v>
      </c>
      <c r="C347" t="e">
        <f ca="1"/>
        <v>#NAME?</v>
      </c>
      <c r="D347" t="e">
        <f ca="1"/>
        <v>#NAME?</v>
      </c>
      <c r="E347" t="e">
        <f ca="1"/>
        <v>#NAME?</v>
      </c>
      <c r="F347" t="e">
        <f ca="1"/>
        <v>#NAME?</v>
      </c>
      <c r="G347" t="e">
        <f ca="1"/>
        <v>#NAME?</v>
      </c>
      <c r="H347" t="e">
        <f ca="1"/>
        <v>#NAME?</v>
      </c>
      <c r="I347" t="e">
        <f ca="1"/>
        <v>#NAME?</v>
      </c>
      <c r="J347" t="e">
        <f ca="1"/>
        <v>#NAME?</v>
      </c>
      <c r="K347" t="e">
        <f ca="1"/>
        <v>#NAME?</v>
      </c>
      <c r="L347" t="e">
        <f ca="1"/>
        <v>#NAME?</v>
      </c>
      <c r="M347" t="e">
        <f ca="1"/>
        <v>#NAME?</v>
      </c>
      <c r="N347" t="e">
        <f ca="1"/>
        <v>#NAME?</v>
      </c>
      <c r="O347" t="e">
        <f ca="1"/>
        <v>#NAME?</v>
      </c>
      <c r="P347" t="e">
        <f ca="1"/>
        <v>#NAME?</v>
      </c>
      <c r="Q347" t="e">
        <f ca="1"/>
        <v>#NAME?</v>
      </c>
      <c r="R347" t="e">
        <f ca="1"/>
        <v>#NAME?</v>
      </c>
      <c r="S347" t="e">
        <f ca="1"/>
        <v>#NAME?</v>
      </c>
      <c r="T347" t="e">
        <f ca="1"/>
        <v>#NAME?</v>
      </c>
      <c r="U347" t="e">
        <f ca="1"/>
        <v>#NAME?</v>
      </c>
      <c r="V347" s="5" t="e">
        <f ca="1"/>
        <v>#NAME?</v>
      </c>
      <c r="W347" t="e">
        <f ca="1"/>
        <v>#NAME?</v>
      </c>
      <c r="X347" t="e">
        <f ca="1"/>
        <v>#NAME?</v>
      </c>
      <c r="Y347" t="e">
        <f ca="1"/>
        <v>#NAME?</v>
      </c>
      <c r="Z347" t="e">
        <f ca="1"/>
        <v>#NAME?</v>
      </c>
      <c r="AA347" t="e">
        <f ca="1"/>
        <v>#NAME?</v>
      </c>
      <c r="AB347" t="e">
        <f ca="1"/>
        <v>#NAME?</v>
      </c>
    </row>
    <row r="348" spans="1:28" x14ac:dyDescent="0.2">
      <c r="A348" t="e">
        <f ca="1"/>
        <v>#NAME?</v>
      </c>
      <c r="B348" t="e">
        <f ca="1"/>
        <v>#NAME?</v>
      </c>
      <c r="C348" t="e">
        <f ca="1"/>
        <v>#NAME?</v>
      </c>
      <c r="D348" t="e">
        <f ca="1"/>
        <v>#NAME?</v>
      </c>
      <c r="E348" t="e">
        <f ca="1"/>
        <v>#NAME?</v>
      </c>
      <c r="F348" t="e">
        <f ca="1"/>
        <v>#NAME?</v>
      </c>
      <c r="G348" t="e">
        <f ca="1"/>
        <v>#NAME?</v>
      </c>
      <c r="H348" t="e">
        <f ca="1"/>
        <v>#NAME?</v>
      </c>
      <c r="I348" t="e">
        <f ca="1"/>
        <v>#NAME?</v>
      </c>
      <c r="J348" t="e">
        <f ca="1"/>
        <v>#NAME?</v>
      </c>
      <c r="K348" t="e">
        <f ca="1"/>
        <v>#NAME?</v>
      </c>
      <c r="L348" t="e">
        <f ca="1"/>
        <v>#NAME?</v>
      </c>
      <c r="M348" t="e">
        <f ca="1"/>
        <v>#NAME?</v>
      </c>
      <c r="N348" t="e">
        <f ca="1"/>
        <v>#NAME?</v>
      </c>
      <c r="O348" t="e">
        <f ca="1"/>
        <v>#NAME?</v>
      </c>
      <c r="P348" t="e">
        <f ca="1"/>
        <v>#NAME?</v>
      </c>
      <c r="Q348" t="e">
        <f ca="1"/>
        <v>#NAME?</v>
      </c>
      <c r="R348" t="e">
        <f ca="1"/>
        <v>#NAME?</v>
      </c>
      <c r="S348" t="e">
        <f ca="1"/>
        <v>#NAME?</v>
      </c>
      <c r="T348" t="e">
        <f ca="1"/>
        <v>#NAME?</v>
      </c>
      <c r="U348" t="e">
        <f ca="1"/>
        <v>#NAME?</v>
      </c>
      <c r="V348" s="5" t="e">
        <f ca="1"/>
        <v>#NAME?</v>
      </c>
      <c r="W348" t="e">
        <f ca="1"/>
        <v>#NAME?</v>
      </c>
      <c r="X348" t="e">
        <f ca="1"/>
        <v>#NAME?</v>
      </c>
      <c r="Y348" t="e">
        <f ca="1"/>
        <v>#NAME?</v>
      </c>
      <c r="Z348" t="e">
        <f ca="1"/>
        <v>#NAME?</v>
      </c>
      <c r="AA348" t="e">
        <f ca="1"/>
        <v>#NAME?</v>
      </c>
      <c r="AB348" t="e">
        <f ca="1"/>
        <v>#NAME?</v>
      </c>
    </row>
    <row r="349" spans="1:28" x14ac:dyDescent="0.2">
      <c r="A349" t="e">
        <f ca="1"/>
        <v>#NAME?</v>
      </c>
      <c r="B349" t="e">
        <f ca="1"/>
        <v>#NAME?</v>
      </c>
      <c r="C349" t="e">
        <f ca="1"/>
        <v>#NAME?</v>
      </c>
      <c r="D349" t="e">
        <f ca="1"/>
        <v>#NAME?</v>
      </c>
      <c r="E349" t="e">
        <f ca="1"/>
        <v>#NAME?</v>
      </c>
      <c r="F349" t="e">
        <f ca="1"/>
        <v>#NAME?</v>
      </c>
      <c r="G349" t="e">
        <f ca="1"/>
        <v>#NAME?</v>
      </c>
      <c r="H349" t="e">
        <f ca="1"/>
        <v>#NAME?</v>
      </c>
      <c r="I349" t="e">
        <f ca="1"/>
        <v>#NAME?</v>
      </c>
      <c r="J349" t="e">
        <f ca="1"/>
        <v>#NAME?</v>
      </c>
      <c r="K349" t="e">
        <f ca="1"/>
        <v>#NAME?</v>
      </c>
      <c r="L349" t="e">
        <f ca="1"/>
        <v>#NAME?</v>
      </c>
      <c r="M349" t="e">
        <f ca="1"/>
        <v>#NAME?</v>
      </c>
      <c r="N349" t="e">
        <f ca="1"/>
        <v>#NAME?</v>
      </c>
      <c r="O349" t="e">
        <f ca="1"/>
        <v>#NAME?</v>
      </c>
      <c r="P349" t="e">
        <f ca="1"/>
        <v>#NAME?</v>
      </c>
      <c r="Q349" t="e">
        <f ca="1"/>
        <v>#NAME?</v>
      </c>
      <c r="R349" t="e">
        <f ca="1"/>
        <v>#NAME?</v>
      </c>
      <c r="S349" t="e">
        <f ca="1"/>
        <v>#NAME?</v>
      </c>
      <c r="T349" t="e">
        <f ca="1"/>
        <v>#NAME?</v>
      </c>
      <c r="U349" t="e">
        <f ca="1"/>
        <v>#NAME?</v>
      </c>
      <c r="V349" s="5" t="e">
        <f ca="1"/>
        <v>#NAME?</v>
      </c>
      <c r="W349" t="e">
        <f ca="1"/>
        <v>#NAME?</v>
      </c>
      <c r="X349" t="e">
        <f ca="1"/>
        <v>#NAME?</v>
      </c>
      <c r="Y349" t="e">
        <f ca="1"/>
        <v>#NAME?</v>
      </c>
      <c r="Z349" t="e">
        <f ca="1"/>
        <v>#NAME?</v>
      </c>
      <c r="AA349" t="e">
        <f ca="1"/>
        <v>#NAME?</v>
      </c>
      <c r="AB349" t="e">
        <f ca="1"/>
        <v>#NAME?</v>
      </c>
    </row>
    <row r="350" spans="1:28" x14ac:dyDescent="0.2">
      <c r="A350" t="e">
        <f ca="1"/>
        <v>#NAME?</v>
      </c>
      <c r="B350" t="e">
        <f ca="1"/>
        <v>#NAME?</v>
      </c>
      <c r="C350" t="e">
        <f ca="1"/>
        <v>#NAME?</v>
      </c>
      <c r="D350" t="e">
        <f ca="1"/>
        <v>#NAME?</v>
      </c>
      <c r="E350" t="e">
        <f ca="1"/>
        <v>#NAME?</v>
      </c>
      <c r="F350" t="e">
        <f ca="1"/>
        <v>#NAME?</v>
      </c>
      <c r="G350" t="e">
        <f ca="1"/>
        <v>#NAME?</v>
      </c>
      <c r="H350" t="e">
        <f ca="1"/>
        <v>#NAME?</v>
      </c>
      <c r="I350" t="e">
        <f ca="1"/>
        <v>#NAME?</v>
      </c>
      <c r="J350" t="e">
        <f ca="1"/>
        <v>#NAME?</v>
      </c>
      <c r="K350" t="e">
        <f ca="1"/>
        <v>#NAME?</v>
      </c>
      <c r="L350" t="e">
        <f ca="1"/>
        <v>#NAME?</v>
      </c>
      <c r="M350" t="e">
        <f ca="1"/>
        <v>#NAME?</v>
      </c>
      <c r="N350" t="e">
        <f ca="1"/>
        <v>#NAME?</v>
      </c>
      <c r="O350" t="e">
        <f ca="1"/>
        <v>#NAME?</v>
      </c>
      <c r="P350" t="e">
        <f ca="1"/>
        <v>#NAME?</v>
      </c>
      <c r="Q350" t="e">
        <f ca="1"/>
        <v>#NAME?</v>
      </c>
      <c r="R350" t="e">
        <f ca="1"/>
        <v>#NAME?</v>
      </c>
      <c r="S350" t="e">
        <f ca="1"/>
        <v>#NAME?</v>
      </c>
      <c r="T350" t="e">
        <f ca="1"/>
        <v>#NAME?</v>
      </c>
      <c r="U350" t="e">
        <f ca="1"/>
        <v>#NAME?</v>
      </c>
      <c r="V350" s="5" t="e">
        <f ca="1"/>
        <v>#NAME?</v>
      </c>
      <c r="W350" t="e">
        <f ca="1"/>
        <v>#NAME?</v>
      </c>
      <c r="X350" t="e">
        <f ca="1"/>
        <v>#NAME?</v>
      </c>
      <c r="Y350" t="e">
        <f ca="1"/>
        <v>#NAME?</v>
      </c>
      <c r="Z350" t="e">
        <f ca="1"/>
        <v>#NAME?</v>
      </c>
      <c r="AA350" t="e">
        <f ca="1"/>
        <v>#NAME?</v>
      </c>
      <c r="AB350" t="e">
        <f ca="1"/>
        <v>#NAME?</v>
      </c>
    </row>
    <row r="351" spans="1:28" x14ac:dyDescent="0.2">
      <c r="A351" t="e">
        <f ca="1"/>
        <v>#NAME?</v>
      </c>
      <c r="B351" t="e">
        <f ca="1"/>
        <v>#NAME?</v>
      </c>
      <c r="C351" t="e">
        <f ca="1"/>
        <v>#NAME?</v>
      </c>
      <c r="D351" t="e">
        <f ca="1"/>
        <v>#NAME?</v>
      </c>
      <c r="E351" t="e">
        <f ca="1"/>
        <v>#NAME?</v>
      </c>
      <c r="F351" t="e">
        <f ca="1"/>
        <v>#NAME?</v>
      </c>
      <c r="G351" t="e">
        <f ca="1"/>
        <v>#NAME?</v>
      </c>
      <c r="H351" t="e">
        <f ca="1"/>
        <v>#NAME?</v>
      </c>
      <c r="I351" t="e">
        <f ca="1"/>
        <v>#NAME?</v>
      </c>
      <c r="J351" t="e">
        <f ca="1"/>
        <v>#NAME?</v>
      </c>
      <c r="K351" t="e">
        <f ca="1"/>
        <v>#NAME?</v>
      </c>
      <c r="L351" t="e">
        <f ca="1"/>
        <v>#NAME?</v>
      </c>
      <c r="M351" t="e">
        <f ca="1"/>
        <v>#NAME?</v>
      </c>
      <c r="N351" t="e">
        <f ca="1"/>
        <v>#NAME?</v>
      </c>
      <c r="O351" t="e">
        <f ca="1"/>
        <v>#NAME?</v>
      </c>
      <c r="P351" t="e">
        <f ca="1"/>
        <v>#NAME?</v>
      </c>
      <c r="Q351" t="e">
        <f ca="1"/>
        <v>#NAME?</v>
      </c>
      <c r="R351" t="e">
        <f ca="1"/>
        <v>#NAME?</v>
      </c>
      <c r="S351" t="e">
        <f ca="1"/>
        <v>#NAME?</v>
      </c>
      <c r="T351" t="e">
        <f ca="1"/>
        <v>#NAME?</v>
      </c>
      <c r="U351" t="e">
        <f ca="1"/>
        <v>#NAME?</v>
      </c>
      <c r="V351" s="5" t="e">
        <f ca="1"/>
        <v>#NAME?</v>
      </c>
      <c r="W351" t="e">
        <f ca="1"/>
        <v>#NAME?</v>
      </c>
      <c r="X351" t="e">
        <f ca="1"/>
        <v>#NAME?</v>
      </c>
      <c r="Y351" t="e">
        <f ca="1"/>
        <v>#NAME?</v>
      </c>
      <c r="Z351" t="e">
        <f ca="1"/>
        <v>#NAME?</v>
      </c>
      <c r="AA351" t="e">
        <f ca="1"/>
        <v>#NAME?</v>
      </c>
      <c r="AB351" t="e">
        <f ca="1"/>
        <v>#NAME?</v>
      </c>
    </row>
    <row r="352" spans="1:28" x14ac:dyDescent="0.2">
      <c r="A352" t="e">
        <f ca="1"/>
        <v>#NAME?</v>
      </c>
      <c r="B352" t="e">
        <f ca="1"/>
        <v>#NAME?</v>
      </c>
      <c r="C352" t="e">
        <f ca="1"/>
        <v>#NAME?</v>
      </c>
      <c r="D352" t="e">
        <f ca="1"/>
        <v>#NAME?</v>
      </c>
      <c r="E352" t="e">
        <f ca="1"/>
        <v>#NAME?</v>
      </c>
      <c r="F352" t="e">
        <f ca="1"/>
        <v>#NAME?</v>
      </c>
      <c r="G352" t="e">
        <f ca="1"/>
        <v>#NAME?</v>
      </c>
      <c r="H352" t="e">
        <f ca="1"/>
        <v>#NAME?</v>
      </c>
      <c r="I352" t="e">
        <f ca="1"/>
        <v>#NAME?</v>
      </c>
      <c r="J352" t="e">
        <f ca="1"/>
        <v>#NAME?</v>
      </c>
      <c r="K352" t="e">
        <f ca="1"/>
        <v>#NAME?</v>
      </c>
      <c r="L352" t="e">
        <f ca="1"/>
        <v>#NAME?</v>
      </c>
      <c r="M352" t="e">
        <f ca="1"/>
        <v>#NAME?</v>
      </c>
      <c r="N352" t="e">
        <f ca="1"/>
        <v>#NAME?</v>
      </c>
      <c r="O352" t="e">
        <f ca="1"/>
        <v>#NAME?</v>
      </c>
      <c r="P352" t="e">
        <f ca="1"/>
        <v>#NAME?</v>
      </c>
      <c r="Q352" t="e">
        <f ca="1"/>
        <v>#NAME?</v>
      </c>
      <c r="R352" t="e">
        <f ca="1"/>
        <v>#NAME?</v>
      </c>
      <c r="S352" t="e">
        <f ca="1"/>
        <v>#NAME?</v>
      </c>
      <c r="T352" t="e">
        <f ca="1"/>
        <v>#NAME?</v>
      </c>
      <c r="U352" t="e">
        <f ca="1"/>
        <v>#NAME?</v>
      </c>
      <c r="V352" s="5" t="e">
        <f ca="1"/>
        <v>#NAME?</v>
      </c>
      <c r="W352" t="e">
        <f ca="1"/>
        <v>#NAME?</v>
      </c>
      <c r="X352" t="e">
        <f ca="1"/>
        <v>#NAME?</v>
      </c>
      <c r="Y352" t="e">
        <f ca="1"/>
        <v>#NAME?</v>
      </c>
      <c r="Z352" t="e">
        <f ca="1"/>
        <v>#NAME?</v>
      </c>
      <c r="AA352" t="e">
        <f ca="1"/>
        <v>#NAME?</v>
      </c>
      <c r="AB352" t="e">
        <f ca="1"/>
        <v>#NAME?</v>
      </c>
    </row>
    <row r="353" spans="1:28" x14ac:dyDescent="0.2">
      <c r="A353" t="e">
        <f ca="1"/>
        <v>#NAME?</v>
      </c>
      <c r="B353" t="e">
        <f ca="1"/>
        <v>#NAME?</v>
      </c>
      <c r="C353" t="e">
        <f ca="1"/>
        <v>#NAME?</v>
      </c>
      <c r="D353" t="e">
        <f ca="1"/>
        <v>#NAME?</v>
      </c>
      <c r="E353" t="e">
        <f ca="1"/>
        <v>#NAME?</v>
      </c>
      <c r="F353" t="e">
        <f ca="1"/>
        <v>#NAME?</v>
      </c>
      <c r="G353" t="e">
        <f ca="1"/>
        <v>#NAME?</v>
      </c>
      <c r="H353" t="e">
        <f ca="1"/>
        <v>#NAME?</v>
      </c>
      <c r="I353" t="e">
        <f ca="1"/>
        <v>#NAME?</v>
      </c>
      <c r="J353" t="e">
        <f ca="1"/>
        <v>#NAME?</v>
      </c>
      <c r="K353" t="e">
        <f ca="1"/>
        <v>#NAME?</v>
      </c>
      <c r="L353" t="e">
        <f ca="1"/>
        <v>#NAME?</v>
      </c>
      <c r="M353" t="e">
        <f ca="1"/>
        <v>#NAME?</v>
      </c>
      <c r="N353" t="e">
        <f ca="1"/>
        <v>#NAME?</v>
      </c>
      <c r="O353" t="e">
        <f ca="1"/>
        <v>#NAME?</v>
      </c>
      <c r="P353" t="e">
        <f ca="1"/>
        <v>#NAME?</v>
      </c>
      <c r="Q353" t="e">
        <f ca="1"/>
        <v>#NAME?</v>
      </c>
      <c r="R353" t="e">
        <f ca="1"/>
        <v>#NAME?</v>
      </c>
      <c r="S353" t="e">
        <f ca="1"/>
        <v>#NAME?</v>
      </c>
      <c r="T353" t="e">
        <f ca="1"/>
        <v>#NAME?</v>
      </c>
      <c r="U353" t="e">
        <f ca="1"/>
        <v>#NAME?</v>
      </c>
      <c r="V353" s="5" t="e">
        <f ca="1"/>
        <v>#NAME?</v>
      </c>
      <c r="W353" t="e">
        <f ca="1"/>
        <v>#NAME?</v>
      </c>
      <c r="X353" t="e">
        <f ca="1"/>
        <v>#NAME?</v>
      </c>
      <c r="Y353" t="e">
        <f ca="1"/>
        <v>#NAME?</v>
      </c>
      <c r="Z353" t="e">
        <f ca="1"/>
        <v>#NAME?</v>
      </c>
      <c r="AA353" t="e">
        <f ca="1"/>
        <v>#NAME?</v>
      </c>
      <c r="AB353" t="e">
        <f ca="1"/>
        <v>#NAME?</v>
      </c>
    </row>
    <row r="354" spans="1:28" x14ac:dyDescent="0.2">
      <c r="A354" t="e">
        <f ca="1"/>
        <v>#NAME?</v>
      </c>
      <c r="B354" t="e">
        <f ca="1"/>
        <v>#NAME?</v>
      </c>
      <c r="C354" t="e">
        <f ca="1"/>
        <v>#NAME?</v>
      </c>
      <c r="D354" t="e">
        <f ca="1"/>
        <v>#NAME?</v>
      </c>
      <c r="E354" t="e">
        <f ca="1"/>
        <v>#NAME?</v>
      </c>
      <c r="F354" t="e">
        <f ca="1"/>
        <v>#NAME?</v>
      </c>
      <c r="G354" t="e">
        <f ca="1"/>
        <v>#NAME?</v>
      </c>
      <c r="H354" t="e">
        <f ca="1"/>
        <v>#NAME?</v>
      </c>
      <c r="I354" t="e">
        <f ca="1"/>
        <v>#NAME?</v>
      </c>
      <c r="J354" t="e">
        <f ca="1"/>
        <v>#NAME?</v>
      </c>
      <c r="K354" t="e">
        <f ca="1"/>
        <v>#NAME?</v>
      </c>
      <c r="L354" t="e">
        <f ca="1"/>
        <v>#NAME?</v>
      </c>
      <c r="M354" t="e">
        <f ca="1"/>
        <v>#NAME?</v>
      </c>
      <c r="N354" t="e">
        <f ca="1"/>
        <v>#NAME?</v>
      </c>
      <c r="O354" t="e">
        <f ca="1"/>
        <v>#NAME?</v>
      </c>
      <c r="P354" t="e">
        <f ca="1"/>
        <v>#NAME?</v>
      </c>
      <c r="Q354" t="e">
        <f ca="1"/>
        <v>#NAME?</v>
      </c>
      <c r="R354" t="e">
        <f ca="1"/>
        <v>#NAME?</v>
      </c>
      <c r="S354" t="e">
        <f ca="1"/>
        <v>#NAME?</v>
      </c>
      <c r="T354" t="e">
        <f ca="1"/>
        <v>#NAME?</v>
      </c>
      <c r="U354" t="e">
        <f ca="1"/>
        <v>#NAME?</v>
      </c>
      <c r="V354" s="5" t="e">
        <f ca="1"/>
        <v>#NAME?</v>
      </c>
      <c r="W354" t="e">
        <f ca="1"/>
        <v>#NAME?</v>
      </c>
      <c r="X354" t="e">
        <f ca="1"/>
        <v>#NAME?</v>
      </c>
      <c r="Y354" t="e">
        <f ca="1"/>
        <v>#NAME?</v>
      </c>
      <c r="Z354" t="e">
        <f ca="1"/>
        <v>#NAME?</v>
      </c>
      <c r="AA354" t="e">
        <f ca="1"/>
        <v>#NAME?</v>
      </c>
      <c r="AB354" t="e">
        <f ca="1"/>
        <v>#NAME?</v>
      </c>
    </row>
    <row r="355" spans="1:28" x14ac:dyDescent="0.2">
      <c r="A355" t="e">
        <f ca="1"/>
        <v>#NAME?</v>
      </c>
      <c r="B355" t="e">
        <f ca="1"/>
        <v>#NAME?</v>
      </c>
      <c r="C355" t="e">
        <f ca="1"/>
        <v>#NAME?</v>
      </c>
      <c r="D355" t="e">
        <f ca="1"/>
        <v>#NAME?</v>
      </c>
      <c r="E355" t="e">
        <f ca="1"/>
        <v>#NAME?</v>
      </c>
      <c r="F355" t="e">
        <f ca="1"/>
        <v>#NAME?</v>
      </c>
      <c r="G355" t="e">
        <f ca="1"/>
        <v>#NAME?</v>
      </c>
      <c r="H355" t="e">
        <f ca="1"/>
        <v>#NAME?</v>
      </c>
      <c r="I355" t="e">
        <f ca="1"/>
        <v>#NAME?</v>
      </c>
      <c r="J355" t="e">
        <f ca="1"/>
        <v>#NAME?</v>
      </c>
      <c r="K355" t="e">
        <f ca="1"/>
        <v>#NAME?</v>
      </c>
      <c r="L355" t="e">
        <f ca="1"/>
        <v>#NAME?</v>
      </c>
      <c r="M355" t="e">
        <f ca="1"/>
        <v>#NAME?</v>
      </c>
      <c r="N355" t="e">
        <f ca="1"/>
        <v>#NAME?</v>
      </c>
      <c r="O355" t="e">
        <f ca="1"/>
        <v>#NAME?</v>
      </c>
      <c r="P355" t="e">
        <f ca="1"/>
        <v>#NAME?</v>
      </c>
      <c r="Q355" t="e">
        <f ca="1"/>
        <v>#NAME?</v>
      </c>
      <c r="R355" t="e">
        <f ca="1"/>
        <v>#NAME?</v>
      </c>
      <c r="S355" t="e">
        <f ca="1"/>
        <v>#NAME?</v>
      </c>
      <c r="T355" t="e">
        <f ca="1"/>
        <v>#NAME?</v>
      </c>
      <c r="U355" t="e">
        <f ca="1"/>
        <v>#NAME?</v>
      </c>
      <c r="V355" s="5" t="e">
        <f ca="1"/>
        <v>#NAME?</v>
      </c>
      <c r="W355" t="e">
        <f ca="1"/>
        <v>#NAME?</v>
      </c>
      <c r="X355" t="e">
        <f ca="1"/>
        <v>#NAME?</v>
      </c>
      <c r="Y355" t="e">
        <f ca="1"/>
        <v>#NAME?</v>
      </c>
      <c r="Z355" t="e">
        <f ca="1"/>
        <v>#NAME?</v>
      </c>
      <c r="AA355" t="e">
        <f ca="1"/>
        <v>#NAME?</v>
      </c>
      <c r="AB355" t="e">
        <f ca="1"/>
        <v>#NAME?</v>
      </c>
    </row>
    <row r="356" spans="1:28" x14ac:dyDescent="0.2">
      <c r="A356" t="e">
        <f ca="1"/>
        <v>#NAME?</v>
      </c>
      <c r="B356" t="e">
        <f ca="1"/>
        <v>#NAME?</v>
      </c>
      <c r="C356" t="e">
        <f ca="1"/>
        <v>#NAME?</v>
      </c>
      <c r="D356" t="e">
        <f ca="1"/>
        <v>#NAME?</v>
      </c>
      <c r="E356" t="e">
        <f ca="1"/>
        <v>#NAME?</v>
      </c>
      <c r="F356" t="e">
        <f ca="1"/>
        <v>#NAME?</v>
      </c>
      <c r="G356" t="e">
        <f ca="1"/>
        <v>#NAME?</v>
      </c>
      <c r="H356" t="e">
        <f ca="1"/>
        <v>#NAME?</v>
      </c>
      <c r="I356" t="e">
        <f ca="1"/>
        <v>#NAME?</v>
      </c>
      <c r="J356" t="e">
        <f ca="1"/>
        <v>#NAME?</v>
      </c>
      <c r="K356" t="e">
        <f ca="1"/>
        <v>#NAME?</v>
      </c>
      <c r="L356" t="e">
        <f ca="1"/>
        <v>#NAME?</v>
      </c>
      <c r="M356" t="e">
        <f ca="1"/>
        <v>#NAME?</v>
      </c>
      <c r="N356" t="e">
        <f ca="1"/>
        <v>#NAME?</v>
      </c>
      <c r="O356" t="e">
        <f ca="1"/>
        <v>#NAME?</v>
      </c>
      <c r="P356" t="e">
        <f ca="1"/>
        <v>#NAME?</v>
      </c>
      <c r="Q356" t="e">
        <f ca="1"/>
        <v>#NAME?</v>
      </c>
      <c r="R356" t="e">
        <f ca="1"/>
        <v>#NAME?</v>
      </c>
      <c r="S356" t="e">
        <f ca="1"/>
        <v>#NAME?</v>
      </c>
      <c r="T356" t="e">
        <f ca="1"/>
        <v>#NAME?</v>
      </c>
      <c r="U356" t="e">
        <f ca="1"/>
        <v>#NAME?</v>
      </c>
      <c r="V356" s="5" t="e">
        <f ca="1"/>
        <v>#NAME?</v>
      </c>
      <c r="W356" t="e">
        <f ca="1"/>
        <v>#NAME?</v>
      </c>
      <c r="X356" t="e">
        <f ca="1"/>
        <v>#NAME?</v>
      </c>
      <c r="Y356" t="e">
        <f ca="1"/>
        <v>#NAME?</v>
      </c>
      <c r="Z356" t="e">
        <f ca="1"/>
        <v>#NAME?</v>
      </c>
      <c r="AA356" t="e">
        <f ca="1"/>
        <v>#NAME?</v>
      </c>
      <c r="AB356" t="e">
        <f ca="1"/>
        <v>#NAME?</v>
      </c>
    </row>
    <row r="357" spans="1:28" x14ac:dyDescent="0.2">
      <c r="A357" t="e">
        <f ca="1"/>
        <v>#NAME?</v>
      </c>
      <c r="B357" t="e">
        <f ca="1"/>
        <v>#NAME?</v>
      </c>
      <c r="C357" t="e">
        <f ca="1"/>
        <v>#NAME?</v>
      </c>
      <c r="D357" t="e">
        <f ca="1"/>
        <v>#NAME?</v>
      </c>
      <c r="E357" t="e">
        <f ca="1"/>
        <v>#NAME?</v>
      </c>
      <c r="F357" t="e">
        <f ca="1"/>
        <v>#NAME?</v>
      </c>
      <c r="G357" t="e">
        <f ca="1"/>
        <v>#NAME?</v>
      </c>
      <c r="H357" t="e">
        <f ca="1"/>
        <v>#NAME?</v>
      </c>
      <c r="I357" t="e">
        <f ca="1"/>
        <v>#NAME?</v>
      </c>
      <c r="J357" t="e">
        <f ca="1"/>
        <v>#NAME?</v>
      </c>
      <c r="K357" t="e">
        <f ca="1"/>
        <v>#NAME?</v>
      </c>
      <c r="L357" t="e">
        <f ca="1"/>
        <v>#NAME?</v>
      </c>
      <c r="M357" t="e">
        <f ca="1"/>
        <v>#NAME?</v>
      </c>
      <c r="N357" t="e">
        <f ca="1"/>
        <v>#NAME?</v>
      </c>
      <c r="O357" t="e">
        <f ca="1"/>
        <v>#NAME?</v>
      </c>
      <c r="P357" t="e">
        <f ca="1"/>
        <v>#NAME?</v>
      </c>
      <c r="Q357" t="e">
        <f ca="1"/>
        <v>#NAME?</v>
      </c>
      <c r="R357" t="e">
        <f ca="1"/>
        <v>#NAME?</v>
      </c>
      <c r="S357" t="e">
        <f ca="1"/>
        <v>#NAME?</v>
      </c>
      <c r="T357" t="e">
        <f ca="1"/>
        <v>#NAME?</v>
      </c>
      <c r="U357" t="e">
        <f ca="1"/>
        <v>#NAME?</v>
      </c>
      <c r="V357" s="5" t="e">
        <f ca="1"/>
        <v>#NAME?</v>
      </c>
      <c r="W357" t="e">
        <f ca="1"/>
        <v>#NAME?</v>
      </c>
      <c r="X357" t="e">
        <f ca="1"/>
        <v>#NAME?</v>
      </c>
      <c r="Y357" t="e">
        <f ca="1"/>
        <v>#NAME?</v>
      </c>
      <c r="Z357" t="e">
        <f ca="1"/>
        <v>#NAME?</v>
      </c>
      <c r="AA357" t="e">
        <f ca="1"/>
        <v>#NAME?</v>
      </c>
      <c r="AB357" t="e">
        <f ca="1"/>
        <v>#NAME?</v>
      </c>
    </row>
    <row r="358" spans="1:28" x14ac:dyDescent="0.2">
      <c r="A358" t="e">
        <f ca="1"/>
        <v>#NAME?</v>
      </c>
      <c r="B358" t="e">
        <f ca="1"/>
        <v>#NAME?</v>
      </c>
      <c r="C358" t="e">
        <f ca="1"/>
        <v>#NAME?</v>
      </c>
      <c r="D358" t="e">
        <f ca="1"/>
        <v>#NAME?</v>
      </c>
      <c r="E358" t="e">
        <f ca="1"/>
        <v>#NAME?</v>
      </c>
      <c r="F358" t="e">
        <f ca="1"/>
        <v>#NAME?</v>
      </c>
      <c r="G358" t="e">
        <f ca="1"/>
        <v>#NAME?</v>
      </c>
      <c r="H358" t="e">
        <f ca="1"/>
        <v>#NAME?</v>
      </c>
      <c r="I358" t="e">
        <f ca="1"/>
        <v>#NAME?</v>
      </c>
      <c r="J358" t="e">
        <f ca="1"/>
        <v>#NAME?</v>
      </c>
      <c r="K358" t="e">
        <f ca="1"/>
        <v>#NAME?</v>
      </c>
      <c r="L358" t="e">
        <f ca="1"/>
        <v>#NAME?</v>
      </c>
      <c r="M358" t="e">
        <f ca="1"/>
        <v>#NAME?</v>
      </c>
      <c r="N358" t="e">
        <f ca="1"/>
        <v>#NAME?</v>
      </c>
      <c r="O358" t="e">
        <f ca="1"/>
        <v>#NAME?</v>
      </c>
      <c r="P358" t="e">
        <f ca="1"/>
        <v>#NAME?</v>
      </c>
      <c r="Q358" t="e">
        <f ca="1"/>
        <v>#NAME?</v>
      </c>
      <c r="R358" t="e">
        <f ca="1"/>
        <v>#NAME?</v>
      </c>
      <c r="S358" t="e">
        <f ca="1"/>
        <v>#NAME?</v>
      </c>
      <c r="T358" t="e">
        <f ca="1"/>
        <v>#NAME?</v>
      </c>
      <c r="U358" t="e">
        <f ca="1"/>
        <v>#NAME?</v>
      </c>
      <c r="V358" s="5" t="e">
        <f ca="1"/>
        <v>#NAME?</v>
      </c>
      <c r="W358" t="e">
        <f ca="1"/>
        <v>#NAME?</v>
      </c>
      <c r="X358" t="e">
        <f ca="1"/>
        <v>#NAME?</v>
      </c>
      <c r="Y358" t="e">
        <f ca="1"/>
        <v>#NAME?</v>
      </c>
      <c r="Z358" t="e">
        <f ca="1"/>
        <v>#NAME?</v>
      </c>
      <c r="AA358" t="e">
        <f ca="1"/>
        <v>#NAME?</v>
      </c>
      <c r="AB358" t="e">
        <f ca="1"/>
        <v>#NAME?</v>
      </c>
    </row>
    <row r="359" spans="1:28" x14ac:dyDescent="0.2">
      <c r="A359" t="e">
        <f ca="1"/>
        <v>#NAME?</v>
      </c>
      <c r="B359" t="e">
        <f ca="1"/>
        <v>#NAME?</v>
      </c>
      <c r="C359" t="e">
        <f ca="1"/>
        <v>#NAME?</v>
      </c>
      <c r="D359" t="e">
        <f ca="1"/>
        <v>#NAME?</v>
      </c>
      <c r="E359" t="e">
        <f ca="1"/>
        <v>#NAME?</v>
      </c>
      <c r="F359" t="e">
        <f ca="1"/>
        <v>#NAME?</v>
      </c>
      <c r="G359" t="e">
        <f ca="1"/>
        <v>#NAME?</v>
      </c>
      <c r="H359" t="e">
        <f ca="1"/>
        <v>#NAME?</v>
      </c>
      <c r="I359" t="e">
        <f ca="1"/>
        <v>#NAME?</v>
      </c>
      <c r="J359" t="e">
        <f ca="1"/>
        <v>#NAME?</v>
      </c>
      <c r="K359" t="e">
        <f ca="1"/>
        <v>#NAME?</v>
      </c>
      <c r="L359" t="e">
        <f ca="1"/>
        <v>#NAME?</v>
      </c>
      <c r="M359" t="e">
        <f ca="1"/>
        <v>#NAME?</v>
      </c>
      <c r="N359" t="e">
        <f ca="1"/>
        <v>#NAME?</v>
      </c>
      <c r="O359" t="e">
        <f ca="1"/>
        <v>#NAME?</v>
      </c>
      <c r="P359" t="e">
        <f ca="1"/>
        <v>#NAME?</v>
      </c>
      <c r="Q359" t="e">
        <f ca="1"/>
        <v>#NAME?</v>
      </c>
      <c r="R359" t="e">
        <f ca="1"/>
        <v>#NAME?</v>
      </c>
      <c r="S359" t="e">
        <f ca="1"/>
        <v>#NAME?</v>
      </c>
      <c r="T359" t="e">
        <f ca="1"/>
        <v>#NAME?</v>
      </c>
      <c r="U359" t="e">
        <f ca="1"/>
        <v>#NAME?</v>
      </c>
      <c r="V359" s="5" t="e">
        <f ca="1"/>
        <v>#NAME?</v>
      </c>
      <c r="W359" t="e">
        <f ca="1"/>
        <v>#NAME?</v>
      </c>
      <c r="X359" t="e">
        <f ca="1"/>
        <v>#NAME?</v>
      </c>
      <c r="Y359" t="e">
        <f ca="1"/>
        <v>#NAME?</v>
      </c>
      <c r="Z359" t="e">
        <f ca="1"/>
        <v>#NAME?</v>
      </c>
      <c r="AA359" t="e">
        <f ca="1"/>
        <v>#NAME?</v>
      </c>
      <c r="AB359" t="e">
        <f ca="1"/>
        <v>#NAME?</v>
      </c>
    </row>
    <row r="360" spans="1:28" x14ac:dyDescent="0.2">
      <c r="A360" t="e">
        <f ca="1"/>
        <v>#NAME?</v>
      </c>
      <c r="B360" t="e">
        <f ca="1"/>
        <v>#NAME?</v>
      </c>
      <c r="C360" t="e">
        <f ca="1"/>
        <v>#NAME?</v>
      </c>
      <c r="D360" t="e">
        <f ca="1"/>
        <v>#NAME?</v>
      </c>
      <c r="E360" t="e">
        <f ca="1"/>
        <v>#NAME?</v>
      </c>
      <c r="F360" t="e">
        <f ca="1"/>
        <v>#NAME?</v>
      </c>
      <c r="G360" t="e">
        <f ca="1"/>
        <v>#NAME?</v>
      </c>
      <c r="H360" t="e">
        <f ca="1"/>
        <v>#NAME?</v>
      </c>
      <c r="I360" t="e">
        <f ca="1"/>
        <v>#NAME?</v>
      </c>
      <c r="J360" t="e">
        <f ca="1"/>
        <v>#NAME?</v>
      </c>
      <c r="K360" t="e">
        <f ca="1"/>
        <v>#NAME?</v>
      </c>
      <c r="L360" t="e">
        <f ca="1"/>
        <v>#NAME?</v>
      </c>
      <c r="M360" t="e">
        <f ca="1"/>
        <v>#NAME?</v>
      </c>
      <c r="N360" t="e">
        <f ca="1"/>
        <v>#NAME?</v>
      </c>
      <c r="O360" t="e">
        <f ca="1"/>
        <v>#NAME?</v>
      </c>
      <c r="P360" t="e">
        <f ca="1"/>
        <v>#NAME?</v>
      </c>
      <c r="Q360" t="e">
        <f ca="1"/>
        <v>#NAME?</v>
      </c>
      <c r="R360" t="e">
        <f ca="1"/>
        <v>#NAME?</v>
      </c>
      <c r="S360" t="e">
        <f ca="1"/>
        <v>#NAME?</v>
      </c>
      <c r="T360" t="e">
        <f ca="1"/>
        <v>#NAME?</v>
      </c>
      <c r="U360" t="e">
        <f ca="1"/>
        <v>#NAME?</v>
      </c>
      <c r="V360" s="5" t="e">
        <f ca="1"/>
        <v>#NAME?</v>
      </c>
      <c r="W360" t="e">
        <f ca="1"/>
        <v>#NAME?</v>
      </c>
      <c r="X360" t="e">
        <f ca="1"/>
        <v>#NAME?</v>
      </c>
      <c r="Y360" t="e">
        <f ca="1"/>
        <v>#NAME?</v>
      </c>
      <c r="Z360" t="e">
        <f ca="1"/>
        <v>#NAME?</v>
      </c>
      <c r="AA360" t="e">
        <f ca="1"/>
        <v>#NAME?</v>
      </c>
      <c r="AB360" t="e">
        <f ca="1"/>
        <v>#NAME?</v>
      </c>
    </row>
    <row r="361" spans="1:28" x14ac:dyDescent="0.2">
      <c r="A361" t="e">
        <f ca="1"/>
        <v>#NAME?</v>
      </c>
      <c r="B361" t="e">
        <f ca="1"/>
        <v>#NAME?</v>
      </c>
      <c r="C361" t="e">
        <f ca="1"/>
        <v>#NAME?</v>
      </c>
      <c r="D361" t="e">
        <f ca="1"/>
        <v>#NAME?</v>
      </c>
      <c r="E361" t="e">
        <f ca="1"/>
        <v>#NAME?</v>
      </c>
      <c r="F361" t="e">
        <f ca="1"/>
        <v>#NAME?</v>
      </c>
      <c r="G361" t="e">
        <f ca="1"/>
        <v>#NAME?</v>
      </c>
      <c r="H361" t="e">
        <f ca="1"/>
        <v>#NAME?</v>
      </c>
      <c r="I361" t="e">
        <f ca="1"/>
        <v>#NAME?</v>
      </c>
      <c r="J361" t="e">
        <f ca="1"/>
        <v>#NAME?</v>
      </c>
      <c r="K361" t="e">
        <f ca="1"/>
        <v>#NAME?</v>
      </c>
      <c r="L361" t="e">
        <f ca="1"/>
        <v>#NAME?</v>
      </c>
      <c r="M361" t="e">
        <f ca="1"/>
        <v>#NAME?</v>
      </c>
      <c r="N361" t="e">
        <f ca="1"/>
        <v>#NAME?</v>
      </c>
      <c r="O361" t="e">
        <f ca="1"/>
        <v>#NAME?</v>
      </c>
      <c r="P361" t="e">
        <f ca="1"/>
        <v>#NAME?</v>
      </c>
      <c r="Q361" t="e">
        <f ca="1"/>
        <v>#NAME?</v>
      </c>
      <c r="R361" t="e">
        <f ca="1"/>
        <v>#NAME?</v>
      </c>
      <c r="S361" t="e">
        <f ca="1"/>
        <v>#NAME?</v>
      </c>
      <c r="T361" t="e">
        <f ca="1"/>
        <v>#NAME?</v>
      </c>
      <c r="U361" t="e">
        <f ca="1"/>
        <v>#NAME?</v>
      </c>
      <c r="V361" s="5" t="e">
        <f ca="1"/>
        <v>#NAME?</v>
      </c>
      <c r="W361" t="e">
        <f ca="1"/>
        <v>#NAME?</v>
      </c>
      <c r="X361" t="e">
        <f ca="1"/>
        <v>#NAME?</v>
      </c>
      <c r="Y361" t="e">
        <f ca="1"/>
        <v>#NAME?</v>
      </c>
      <c r="Z361" t="e">
        <f ca="1"/>
        <v>#NAME?</v>
      </c>
      <c r="AA361" t="e">
        <f ca="1"/>
        <v>#NAME?</v>
      </c>
      <c r="AB361" t="e">
        <f ca="1"/>
        <v>#NAME?</v>
      </c>
    </row>
    <row r="362" spans="1:28" x14ac:dyDescent="0.2">
      <c r="A362" t="e">
        <f ca="1"/>
        <v>#NAME?</v>
      </c>
      <c r="B362" t="e">
        <f ca="1"/>
        <v>#NAME?</v>
      </c>
      <c r="C362" t="e">
        <f ca="1"/>
        <v>#NAME?</v>
      </c>
      <c r="D362" t="e">
        <f ca="1"/>
        <v>#NAME?</v>
      </c>
      <c r="E362" t="e">
        <f ca="1"/>
        <v>#NAME?</v>
      </c>
      <c r="F362" t="e">
        <f ca="1"/>
        <v>#NAME?</v>
      </c>
      <c r="G362" t="e">
        <f ca="1"/>
        <v>#NAME?</v>
      </c>
      <c r="H362" t="e">
        <f ca="1"/>
        <v>#NAME?</v>
      </c>
      <c r="I362" t="e">
        <f ca="1"/>
        <v>#NAME?</v>
      </c>
      <c r="J362" t="e">
        <f ca="1"/>
        <v>#NAME?</v>
      </c>
      <c r="K362" t="e">
        <f ca="1"/>
        <v>#NAME?</v>
      </c>
      <c r="L362" t="e">
        <f ca="1"/>
        <v>#NAME?</v>
      </c>
      <c r="M362" t="e">
        <f ca="1"/>
        <v>#NAME?</v>
      </c>
      <c r="N362" t="e">
        <f ca="1"/>
        <v>#NAME?</v>
      </c>
      <c r="O362" t="e">
        <f ca="1"/>
        <v>#NAME?</v>
      </c>
      <c r="P362" t="e">
        <f ca="1"/>
        <v>#NAME?</v>
      </c>
      <c r="Q362" t="e">
        <f ca="1"/>
        <v>#NAME?</v>
      </c>
      <c r="R362" t="e">
        <f ca="1"/>
        <v>#NAME?</v>
      </c>
      <c r="S362" t="e">
        <f ca="1"/>
        <v>#NAME?</v>
      </c>
      <c r="T362" t="e">
        <f ca="1"/>
        <v>#NAME?</v>
      </c>
      <c r="U362" t="e">
        <f ca="1"/>
        <v>#NAME?</v>
      </c>
      <c r="V362" s="5" t="e">
        <f ca="1"/>
        <v>#NAME?</v>
      </c>
      <c r="W362" t="e">
        <f ca="1"/>
        <v>#NAME?</v>
      </c>
      <c r="X362" t="e">
        <f ca="1"/>
        <v>#NAME?</v>
      </c>
      <c r="Y362" t="e">
        <f ca="1"/>
        <v>#NAME?</v>
      </c>
      <c r="Z362" t="e">
        <f ca="1"/>
        <v>#NAME?</v>
      </c>
      <c r="AA362" t="e">
        <f ca="1"/>
        <v>#NAME?</v>
      </c>
      <c r="AB362" t="e">
        <f ca="1"/>
        <v>#NAME?</v>
      </c>
    </row>
    <row r="363" spans="1:28" x14ac:dyDescent="0.2">
      <c r="A363" t="e">
        <f ca="1"/>
        <v>#NAME?</v>
      </c>
      <c r="B363" t="e">
        <f ca="1"/>
        <v>#NAME?</v>
      </c>
      <c r="C363" t="e">
        <f ca="1"/>
        <v>#NAME?</v>
      </c>
      <c r="D363" t="e">
        <f ca="1"/>
        <v>#NAME?</v>
      </c>
      <c r="E363" t="e">
        <f ca="1"/>
        <v>#NAME?</v>
      </c>
      <c r="F363" t="e">
        <f ca="1"/>
        <v>#NAME?</v>
      </c>
      <c r="G363" t="e">
        <f ca="1"/>
        <v>#NAME?</v>
      </c>
      <c r="H363" t="e">
        <f ca="1"/>
        <v>#NAME?</v>
      </c>
      <c r="I363" t="e">
        <f ca="1"/>
        <v>#NAME?</v>
      </c>
      <c r="J363" t="e">
        <f ca="1"/>
        <v>#NAME?</v>
      </c>
      <c r="K363" t="e">
        <f ca="1"/>
        <v>#NAME?</v>
      </c>
      <c r="L363" t="e">
        <f ca="1"/>
        <v>#NAME?</v>
      </c>
      <c r="M363" t="e">
        <f ca="1"/>
        <v>#NAME?</v>
      </c>
      <c r="N363" t="e">
        <f ca="1"/>
        <v>#NAME?</v>
      </c>
      <c r="O363" t="e">
        <f ca="1"/>
        <v>#NAME?</v>
      </c>
      <c r="P363" t="e">
        <f ca="1"/>
        <v>#NAME?</v>
      </c>
      <c r="Q363" t="e">
        <f ca="1"/>
        <v>#NAME?</v>
      </c>
      <c r="R363" t="e">
        <f ca="1"/>
        <v>#NAME?</v>
      </c>
      <c r="S363" t="e">
        <f ca="1"/>
        <v>#NAME?</v>
      </c>
      <c r="T363" t="e">
        <f ca="1"/>
        <v>#NAME?</v>
      </c>
      <c r="U363" t="e">
        <f ca="1"/>
        <v>#NAME?</v>
      </c>
      <c r="V363" s="5" t="e">
        <f ca="1"/>
        <v>#NAME?</v>
      </c>
      <c r="W363" t="e">
        <f ca="1"/>
        <v>#NAME?</v>
      </c>
      <c r="X363" t="e">
        <f ca="1"/>
        <v>#NAME?</v>
      </c>
      <c r="Y363" t="e">
        <f ca="1"/>
        <v>#NAME?</v>
      </c>
      <c r="Z363" t="e">
        <f ca="1"/>
        <v>#NAME?</v>
      </c>
      <c r="AA363" t="e">
        <f ca="1"/>
        <v>#NAME?</v>
      </c>
      <c r="AB363" t="e">
        <f ca="1"/>
        <v>#NAME?</v>
      </c>
    </row>
    <row r="364" spans="1:28" x14ac:dyDescent="0.2">
      <c r="A364" t="e">
        <f ca="1"/>
        <v>#NAME?</v>
      </c>
      <c r="B364" t="e">
        <f ca="1"/>
        <v>#NAME?</v>
      </c>
      <c r="C364" t="e">
        <f ca="1"/>
        <v>#NAME?</v>
      </c>
      <c r="D364" t="e">
        <f ca="1"/>
        <v>#NAME?</v>
      </c>
      <c r="E364" t="e">
        <f ca="1"/>
        <v>#NAME?</v>
      </c>
      <c r="F364" t="e">
        <f ca="1"/>
        <v>#NAME?</v>
      </c>
      <c r="G364" t="e">
        <f ca="1"/>
        <v>#NAME?</v>
      </c>
      <c r="H364" t="e">
        <f ca="1"/>
        <v>#NAME?</v>
      </c>
      <c r="I364" t="e">
        <f ca="1"/>
        <v>#NAME?</v>
      </c>
      <c r="J364" t="e">
        <f ca="1"/>
        <v>#NAME?</v>
      </c>
      <c r="K364" t="e">
        <f ca="1"/>
        <v>#NAME?</v>
      </c>
      <c r="L364" t="e">
        <f ca="1"/>
        <v>#NAME?</v>
      </c>
      <c r="M364" t="e">
        <f ca="1"/>
        <v>#NAME?</v>
      </c>
      <c r="N364" t="e">
        <f ca="1"/>
        <v>#NAME?</v>
      </c>
      <c r="O364" t="e">
        <f ca="1"/>
        <v>#NAME?</v>
      </c>
      <c r="P364" t="e">
        <f ca="1"/>
        <v>#NAME?</v>
      </c>
      <c r="Q364" t="e">
        <f ca="1"/>
        <v>#NAME?</v>
      </c>
      <c r="R364" t="e">
        <f ca="1"/>
        <v>#NAME?</v>
      </c>
      <c r="S364" t="e">
        <f ca="1"/>
        <v>#NAME?</v>
      </c>
      <c r="T364" t="e">
        <f ca="1"/>
        <v>#NAME?</v>
      </c>
      <c r="U364" t="e">
        <f ca="1"/>
        <v>#NAME?</v>
      </c>
      <c r="V364" s="5" t="e">
        <f ca="1"/>
        <v>#NAME?</v>
      </c>
      <c r="W364" t="e">
        <f ca="1"/>
        <v>#NAME?</v>
      </c>
      <c r="X364" t="e">
        <f ca="1"/>
        <v>#NAME?</v>
      </c>
      <c r="Y364" t="e">
        <f ca="1"/>
        <v>#NAME?</v>
      </c>
      <c r="Z364" t="e">
        <f ca="1"/>
        <v>#NAME?</v>
      </c>
      <c r="AA364" t="e">
        <f ca="1"/>
        <v>#NAME?</v>
      </c>
      <c r="AB364" t="e">
        <f ca="1"/>
        <v>#NAME?</v>
      </c>
    </row>
    <row r="365" spans="1:28" x14ac:dyDescent="0.2">
      <c r="A365" t="e">
        <f ca="1"/>
        <v>#NAME?</v>
      </c>
      <c r="B365" t="e">
        <f ca="1"/>
        <v>#NAME?</v>
      </c>
      <c r="C365" t="e">
        <f ca="1"/>
        <v>#NAME?</v>
      </c>
      <c r="D365" t="e">
        <f ca="1"/>
        <v>#NAME?</v>
      </c>
      <c r="E365" t="e">
        <f ca="1"/>
        <v>#NAME?</v>
      </c>
      <c r="F365" t="e">
        <f ca="1"/>
        <v>#NAME?</v>
      </c>
      <c r="G365" t="e">
        <f ca="1"/>
        <v>#NAME?</v>
      </c>
      <c r="H365" t="e">
        <f ca="1"/>
        <v>#NAME?</v>
      </c>
      <c r="I365" t="e">
        <f ca="1"/>
        <v>#NAME?</v>
      </c>
      <c r="J365" t="e">
        <f ca="1"/>
        <v>#NAME?</v>
      </c>
      <c r="K365" t="e">
        <f ca="1"/>
        <v>#NAME?</v>
      </c>
      <c r="L365" t="e">
        <f ca="1"/>
        <v>#NAME?</v>
      </c>
      <c r="M365" t="e">
        <f ca="1"/>
        <v>#NAME?</v>
      </c>
      <c r="N365" t="e">
        <f ca="1"/>
        <v>#NAME?</v>
      </c>
      <c r="O365" t="e">
        <f ca="1"/>
        <v>#NAME?</v>
      </c>
      <c r="P365" t="e">
        <f ca="1"/>
        <v>#NAME?</v>
      </c>
      <c r="Q365" t="e">
        <f ca="1"/>
        <v>#NAME?</v>
      </c>
      <c r="R365" t="e">
        <f ca="1"/>
        <v>#NAME?</v>
      </c>
      <c r="S365" t="e">
        <f ca="1"/>
        <v>#NAME?</v>
      </c>
      <c r="T365" t="e">
        <f ca="1"/>
        <v>#NAME?</v>
      </c>
      <c r="U365" t="e">
        <f ca="1"/>
        <v>#NAME?</v>
      </c>
      <c r="V365" s="5" t="e">
        <f ca="1"/>
        <v>#NAME?</v>
      </c>
      <c r="W365" t="e">
        <f ca="1"/>
        <v>#NAME?</v>
      </c>
      <c r="X365" t="e">
        <f ca="1"/>
        <v>#NAME?</v>
      </c>
      <c r="Y365" t="e">
        <f ca="1"/>
        <v>#NAME?</v>
      </c>
      <c r="Z365" t="e">
        <f ca="1"/>
        <v>#NAME?</v>
      </c>
      <c r="AA365" t="e">
        <f ca="1"/>
        <v>#NAME?</v>
      </c>
      <c r="AB365" t="e">
        <f ca="1"/>
        <v>#NAME?</v>
      </c>
    </row>
    <row r="366" spans="1:28" x14ac:dyDescent="0.2">
      <c r="A366" t="e">
        <f ca="1"/>
        <v>#NAME?</v>
      </c>
      <c r="B366" t="e">
        <f ca="1"/>
        <v>#NAME?</v>
      </c>
      <c r="C366" t="e">
        <f ca="1"/>
        <v>#NAME?</v>
      </c>
      <c r="D366" t="e">
        <f ca="1"/>
        <v>#NAME?</v>
      </c>
      <c r="E366" t="e">
        <f ca="1"/>
        <v>#NAME?</v>
      </c>
      <c r="F366" t="e">
        <f ca="1"/>
        <v>#NAME?</v>
      </c>
      <c r="G366" t="e">
        <f ca="1"/>
        <v>#NAME?</v>
      </c>
      <c r="H366" t="e">
        <f ca="1"/>
        <v>#NAME?</v>
      </c>
      <c r="I366" t="e">
        <f ca="1"/>
        <v>#NAME?</v>
      </c>
      <c r="J366" t="e">
        <f ca="1"/>
        <v>#NAME?</v>
      </c>
      <c r="K366" t="e">
        <f ca="1"/>
        <v>#NAME?</v>
      </c>
      <c r="L366" t="e">
        <f ca="1"/>
        <v>#NAME?</v>
      </c>
      <c r="M366" t="e">
        <f ca="1"/>
        <v>#NAME?</v>
      </c>
      <c r="N366" t="e">
        <f ca="1"/>
        <v>#NAME?</v>
      </c>
      <c r="O366" t="e">
        <f ca="1"/>
        <v>#NAME?</v>
      </c>
      <c r="P366" t="e">
        <f ca="1"/>
        <v>#NAME?</v>
      </c>
      <c r="Q366" t="e">
        <f ca="1"/>
        <v>#NAME?</v>
      </c>
      <c r="R366" t="e">
        <f ca="1"/>
        <v>#NAME?</v>
      </c>
      <c r="S366" t="e">
        <f ca="1"/>
        <v>#NAME?</v>
      </c>
      <c r="T366" t="e">
        <f ca="1"/>
        <v>#NAME?</v>
      </c>
      <c r="U366" t="e">
        <f ca="1"/>
        <v>#NAME?</v>
      </c>
      <c r="V366" s="5" t="e">
        <f ca="1"/>
        <v>#NAME?</v>
      </c>
      <c r="W366" t="e">
        <f ca="1"/>
        <v>#NAME?</v>
      </c>
      <c r="X366" t="e">
        <f ca="1"/>
        <v>#NAME?</v>
      </c>
      <c r="Y366" t="e">
        <f ca="1"/>
        <v>#NAME?</v>
      </c>
      <c r="Z366" t="e">
        <f ca="1"/>
        <v>#NAME?</v>
      </c>
      <c r="AA366" t="e">
        <f ca="1"/>
        <v>#NAME?</v>
      </c>
      <c r="AB366" t="e">
        <f ca="1"/>
        <v>#NAME?</v>
      </c>
    </row>
    <row r="367" spans="1:28" x14ac:dyDescent="0.2">
      <c r="A367" t="e">
        <f ca="1"/>
        <v>#NAME?</v>
      </c>
      <c r="B367" t="e">
        <f ca="1"/>
        <v>#NAME?</v>
      </c>
      <c r="C367" t="e">
        <f ca="1"/>
        <v>#NAME?</v>
      </c>
      <c r="D367" t="e">
        <f ca="1"/>
        <v>#NAME?</v>
      </c>
      <c r="E367" t="e">
        <f ca="1"/>
        <v>#NAME?</v>
      </c>
      <c r="F367" t="e">
        <f ca="1"/>
        <v>#NAME?</v>
      </c>
      <c r="G367" t="e">
        <f ca="1"/>
        <v>#NAME?</v>
      </c>
      <c r="H367" t="e">
        <f ca="1"/>
        <v>#NAME?</v>
      </c>
      <c r="I367" t="e">
        <f ca="1"/>
        <v>#NAME?</v>
      </c>
      <c r="J367" t="e">
        <f ca="1"/>
        <v>#NAME?</v>
      </c>
      <c r="K367" t="e">
        <f ca="1"/>
        <v>#NAME?</v>
      </c>
      <c r="L367" t="e">
        <f ca="1"/>
        <v>#NAME?</v>
      </c>
      <c r="M367" t="e">
        <f ca="1"/>
        <v>#NAME?</v>
      </c>
      <c r="N367" t="e">
        <f ca="1"/>
        <v>#NAME?</v>
      </c>
      <c r="O367" t="e">
        <f ca="1"/>
        <v>#NAME?</v>
      </c>
      <c r="P367" t="e">
        <f ca="1"/>
        <v>#NAME?</v>
      </c>
      <c r="Q367" t="e">
        <f ca="1"/>
        <v>#NAME?</v>
      </c>
      <c r="R367" t="e">
        <f ca="1"/>
        <v>#NAME?</v>
      </c>
      <c r="S367" t="e">
        <f ca="1"/>
        <v>#NAME?</v>
      </c>
      <c r="T367" t="e">
        <f ca="1"/>
        <v>#NAME?</v>
      </c>
      <c r="U367" t="e">
        <f ca="1"/>
        <v>#NAME?</v>
      </c>
      <c r="V367" s="5" t="e">
        <f ca="1"/>
        <v>#NAME?</v>
      </c>
      <c r="W367" t="e">
        <f ca="1"/>
        <v>#NAME?</v>
      </c>
      <c r="X367" t="e">
        <f ca="1"/>
        <v>#NAME?</v>
      </c>
      <c r="Y367" t="e">
        <f ca="1"/>
        <v>#NAME?</v>
      </c>
      <c r="Z367" t="e">
        <f ca="1"/>
        <v>#NAME?</v>
      </c>
      <c r="AA367" t="e">
        <f ca="1"/>
        <v>#NAME?</v>
      </c>
      <c r="AB367" t="e">
        <f ca="1"/>
        <v>#NAME?</v>
      </c>
    </row>
    <row r="368" spans="1:28" x14ac:dyDescent="0.2">
      <c r="A368" t="e">
        <f ca="1"/>
        <v>#NAME?</v>
      </c>
      <c r="B368" t="e">
        <f ca="1"/>
        <v>#NAME?</v>
      </c>
      <c r="C368" t="e">
        <f ca="1"/>
        <v>#NAME?</v>
      </c>
      <c r="D368" t="e">
        <f ca="1"/>
        <v>#NAME?</v>
      </c>
      <c r="E368" t="e">
        <f ca="1"/>
        <v>#NAME?</v>
      </c>
      <c r="F368" t="e">
        <f ca="1"/>
        <v>#NAME?</v>
      </c>
      <c r="G368" t="e">
        <f ca="1"/>
        <v>#NAME?</v>
      </c>
      <c r="H368" t="e">
        <f ca="1"/>
        <v>#NAME?</v>
      </c>
      <c r="I368" t="e">
        <f ca="1"/>
        <v>#NAME?</v>
      </c>
      <c r="J368" t="e">
        <f ca="1"/>
        <v>#NAME?</v>
      </c>
      <c r="K368" t="e">
        <f ca="1"/>
        <v>#NAME?</v>
      </c>
      <c r="L368" t="e">
        <f ca="1"/>
        <v>#NAME?</v>
      </c>
      <c r="M368" t="e">
        <f ca="1"/>
        <v>#NAME?</v>
      </c>
      <c r="N368" t="e">
        <f ca="1"/>
        <v>#NAME?</v>
      </c>
      <c r="O368" t="e">
        <f ca="1"/>
        <v>#NAME?</v>
      </c>
      <c r="P368" t="e">
        <f ca="1"/>
        <v>#NAME?</v>
      </c>
      <c r="Q368" t="e">
        <f ca="1"/>
        <v>#NAME?</v>
      </c>
      <c r="R368" t="e">
        <f ca="1"/>
        <v>#NAME?</v>
      </c>
      <c r="S368" t="e">
        <f ca="1"/>
        <v>#NAME?</v>
      </c>
      <c r="T368" t="e">
        <f ca="1"/>
        <v>#NAME?</v>
      </c>
      <c r="U368" t="e">
        <f ca="1"/>
        <v>#NAME?</v>
      </c>
      <c r="V368" s="5" t="e">
        <f ca="1"/>
        <v>#NAME?</v>
      </c>
      <c r="W368" t="e">
        <f ca="1"/>
        <v>#NAME?</v>
      </c>
      <c r="X368" t="e">
        <f ca="1"/>
        <v>#NAME?</v>
      </c>
      <c r="Y368" t="e">
        <f ca="1"/>
        <v>#NAME?</v>
      </c>
      <c r="Z368" t="e">
        <f ca="1"/>
        <v>#NAME?</v>
      </c>
      <c r="AA368" t="e">
        <f ca="1"/>
        <v>#NAME?</v>
      </c>
      <c r="AB368" t="e">
        <f ca="1"/>
        <v>#NAME?</v>
      </c>
    </row>
    <row r="369" spans="1:28" x14ac:dyDescent="0.3">
      <c r="A369" t="e">
        <f ca="1"/>
        <v>#NAME?</v>
      </c>
      <c r="B369" t="e">
        <f ca="1"/>
        <v>#NAME?</v>
      </c>
      <c r="C369" t="e">
        <f ca="1"/>
        <v>#NAME?</v>
      </c>
      <c r="D369" t="e">
        <f ca="1"/>
        <v>#NAME?</v>
      </c>
      <c r="E369" t="e">
        <f ca="1"/>
        <v>#NAME?</v>
      </c>
      <c r="I369" t="e">
        <f ca="1"/>
        <v>#NAME?</v>
      </c>
      <c r="J369" t="e">
        <f ca="1"/>
        <v>#NAME?</v>
      </c>
      <c r="K369" t="e">
        <f ca="1"/>
        <v>#NAME?</v>
      </c>
      <c r="L369" t="e">
        <f ca="1"/>
        <v>#NAME?</v>
      </c>
      <c r="M369" t="e">
        <f ca="1"/>
        <v>#NAME?</v>
      </c>
      <c r="N369" t="e">
        <f ca="1"/>
        <v>#NAME?</v>
      </c>
      <c r="O369" t="e">
        <f ca="1"/>
        <v>#NAME?</v>
      </c>
      <c r="P369" t="e">
        <f ca="1"/>
        <v>#NAME?</v>
      </c>
      <c r="Q369" t="e">
        <f ca="1"/>
        <v>#NAME?</v>
      </c>
      <c r="R369" t="e">
        <f ca="1"/>
        <v>#NAME?</v>
      </c>
      <c r="S369" t="e">
        <f ca="1"/>
        <v>#NAME?</v>
      </c>
      <c r="T369" t="e">
        <f ca="1"/>
        <v>#NAME?</v>
      </c>
      <c r="U369" t="e">
        <f ca="1"/>
        <v>#NAME?</v>
      </c>
      <c r="V369" s="5" t="e">
        <f ca="1"/>
        <v>#NAME?</v>
      </c>
      <c r="W369" t="e">
        <f ca="1"/>
        <v>#NAME?</v>
      </c>
      <c r="X369" t="e">
        <f ca="1"/>
        <v>#NAME?</v>
      </c>
      <c r="Y369" t="e">
        <f ca="1"/>
        <v>#NAME?</v>
      </c>
      <c r="Z369" t="e">
        <f ca="1"/>
        <v>#NAME?</v>
      </c>
      <c r="AA369" t="e">
        <f ca="1"/>
        <v>#NAME?</v>
      </c>
      <c r="AB369" t="e">
        <f ca="1"/>
        <v>#NAME?</v>
      </c>
    </row>
    <row r="370" spans="1:28" x14ac:dyDescent="0.3">
      <c r="A370" t="e">
        <f ca="1"/>
        <v>#NAME?</v>
      </c>
      <c r="B370" t="e">
        <f ca="1"/>
        <v>#NAME?</v>
      </c>
      <c r="C370" t="e">
        <f ca="1"/>
        <v>#NAME?</v>
      </c>
      <c r="D370" t="e">
        <f ca="1"/>
        <v>#NAME?</v>
      </c>
      <c r="E370" t="e">
        <f ca="1"/>
        <v>#NAME?</v>
      </c>
      <c r="I370" t="e">
        <f ca="1"/>
        <v>#NAME?</v>
      </c>
      <c r="J370" t="e">
        <f ca="1"/>
        <v>#NAME?</v>
      </c>
      <c r="K370" t="e">
        <f ca="1"/>
        <v>#NAME?</v>
      </c>
      <c r="L370" t="e">
        <f ca="1"/>
        <v>#NAME?</v>
      </c>
      <c r="M370" t="e">
        <f ca="1"/>
        <v>#NAME?</v>
      </c>
      <c r="N370" t="e">
        <f ca="1"/>
        <v>#NAME?</v>
      </c>
      <c r="O370" t="e">
        <f ca="1"/>
        <v>#NAME?</v>
      </c>
      <c r="P370" t="e">
        <f ca="1"/>
        <v>#NAME?</v>
      </c>
      <c r="Q370" t="e">
        <f ca="1"/>
        <v>#NAME?</v>
      </c>
      <c r="R370" t="e">
        <f ca="1"/>
        <v>#NAME?</v>
      </c>
      <c r="S370" t="e">
        <f ca="1"/>
        <v>#NAME?</v>
      </c>
      <c r="T370" t="e">
        <f ca="1"/>
        <v>#NAME?</v>
      </c>
      <c r="U370" t="e">
        <f ca="1"/>
        <v>#NAME?</v>
      </c>
      <c r="V370" s="5" t="e">
        <f ca="1"/>
        <v>#NAME?</v>
      </c>
      <c r="W370" t="e">
        <f ca="1"/>
        <v>#NAME?</v>
      </c>
      <c r="X370" t="e">
        <f ca="1"/>
        <v>#NAME?</v>
      </c>
      <c r="Y370" t="e">
        <f ca="1"/>
        <v>#NAME?</v>
      </c>
      <c r="Z370" t="e">
        <f ca="1"/>
        <v>#NAME?</v>
      </c>
      <c r="AA370" t="e">
        <f ca="1"/>
        <v>#NAME?</v>
      </c>
      <c r="AB370" t="e">
        <f ca="1"/>
        <v>#NAME?</v>
      </c>
    </row>
    <row r="371" spans="1:28" x14ac:dyDescent="0.3">
      <c r="A371" t="e">
        <f ca="1"/>
        <v>#NAME?</v>
      </c>
      <c r="B371" t="e">
        <f ca="1"/>
        <v>#NAME?</v>
      </c>
      <c r="C371" t="e">
        <f ca="1"/>
        <v>#NAME?</v>
      </c>
      <c r="D371" t="e">
        <f ca="1"/>
        <v>#NAME?</v>
      </c>
      <c r="E371" t="e">
        <f ca="1"/>
        <v>#NAME?</v>
      </c>
      <c r="I371" t="e">
        <f ca="1"/>
        <v>#NAME?</v>
      </c>
      <c r="J371" t="e">
        <f ca="1"/>
        <v>#NAME?</v>
      </c>
      <c r="K371" t="e">
        <f ca="1"/>
        <v>#NAME?</v>
      </c>
      <c r="L371" t="e">
        <f ca="1"/>
        <v>#NAME?</v>
      </c>
      <c r="M371" t="e">
        <f ca="1"/>
        <v>#NAME?</v>
      </c>
      <c r="N371" t="e">
        <f ca="1"/>
        <v>#NAME?</v>
      </c>
      <c r="O371" t="e">
        <f ca="1"/>
        <v>#NAME?</v>
      </c>
      <c r="P371" t="e">
        <f ca="1"/>
        <v>#NAME?</v>
      </c>
      <c r="Q371" t="e">
        <f ca="1"/>
        <v>#NAME?</v>
      </c>
      <c r="R371" t="e">
        <f ca="1"/>
        <v>#NAME?</v>
      </c>
      <c r="S371" t="e">
        <f ca="1"/>
        <v>#NAME?</v>
      </c>
      <c r="T371" t="e">
        <f ca="1"/>
        <v>#NAME?</v>
      </c>
      <c r="U371" t="e">
        <f ca="1"/>
        <v>#NAME?</v>
      </c>
      <c r="V371" s="5" t="e">
        <f ca="1"/>
        <v>#NAME?</v>
      </c>
      <c r="W371" t="e">
        <f ca="1"/>
        <v>#NAME?</v>
      </c>
      <c r="X371" t="e">
        <f ca="1"/>
        <v>#NAME?</v>
      </c>
      <c r="Y371" t="e">
        <f ca="1"/>
        <v>#NAME?</v>
      </c>
      <c r="Z371" t="e">
        <f ca="1"/>
        <v>#NAME?</v>
      </c>
      <c r="AA371" t="e">
        <f ca="1"/>
        <v>#NAME?</v>
      </c>
      <c r="AB371" t="e">
        <f ca="1"/>
        <v>#NAME?</v>
      </c>
    </row>
    <row r="372" spans="1:28" x14ac:dyDescent="0.3">
      <c r="A372" t="e">
        <f ca="1"/>
        <v>#NAME?</v>
      </c>
      <c r="B372" t="e">
        <f ca="1"/>
        <v>#NAME?</v>
      </c>
      <c r="C372" t="e">
        <f ca="1"/>
        <v>#NAME?</v>
      </c>
      <c r="D372" t="e">
        <f ca="1"/>
        <v>#NAME?</v>
      </c>
      <c r="E372" t="e">
        <f ca="1"/>
        <v>#NAME?</v>
      </c>
      <c r="I372" t="e">
        <f ca="1"/>
        <v>#NAME?</v>
      </c>
      <c r="J372" t="e">
        <f ca="1"/>
        <v>#NAME?</v>
      </c>
      <c r="K372" t="e">
        <f ca="1"/>
        <v>#NAME?</v>
      </c>
      <c r="L372" t="e">
        <f ca="1"/>
        <v>#NAME?</v>
      </c>
      <c r="M372" t="e">
        <f ca="1"/>
        <v>#NAME?</v>
      </c>
      <c r="N372" t="e">
        <f ca="1"/>
        <v>#NAME?</v>
      </c>
      <c r="O372" t="e">
        <f ca="1"/>
        <v>#NAME?</v>
      </c>
      <c r="P372" t="e">
        <f ca="1"/>
        <v>#NAME?</v>
      </c>
      <c r="Q372" t="e">
        <f ca="1"/>
        <v>#NAME?</v>
      </c>
      <c r="R372" t="e">
        <f ca="1"/>
        <v>#NAME?</v>
      </c>
      <c r="S372" t="e">
        <f ca="1"/>
        <v>#NAME?</v>
      </c>
      <c r="T372" t="e">
        <f ca="1"/>
        <v>#NAME?</v>
      </c>
      <c r="U372" t="e">
        <f ca="1"/>
        <v>#NAME?</v>
      </c>
      <c r="V372" s="5" t="e">
        <f ca="1"/>
        <v>#NAME?</v>
      </c>
      <c r="W372" t="e">
        <f ca="1"/>
        <v>#NAME?</v>
      </c>
      <c r="X372" t="e">
        <f ca="1"/>
        <v>#NAME?</v>
      </c>
      <c r="Y372" t="e">
        <f ca="1"/>
        <v>#NAME?</v>
      </c>
      <c r="Z372" t="e">
        <f ca="1"/>
        <v>#NAME?</v>
      </c>
      <c r="AA372" t="e">
        <f ca="1"/>
        <v>#NAME?</v>
      </c>
      <c r="AB372" t="e">
        <f ca="1"/>
        <v>#NAME?</v>
      </c>
    </row>
    <row r="373" spans="1:28" x14ac:dyDescent="0.3">
      <c r="A373" t="e">
        <f ca="1"/>
        <v>#NAME?</v>
      </c>
      <c r="B373" t="e">
        <f ca="1"/>
        <v>#NAME?</v>
      </c>
      <c r="C373" t="e">
        <f ca="1"/>
        <v>#NAME?</v>
      </c>
      <c r="D373" t="e">
        <f ca="1"/>
        <v>#NAME?</v>
      </c>
      <c r="E373" t="e">
        <f ca="1"/>
        <v>#NAME?</v>
      </c>
      <c r="I373" t="e">
        <f ca="1"/>
        <v>#NAME?</v>
      </c>
      <c r="J373" t="e">
        <f ca="1"/>
        <v>#NAME?</v>
      </c>
      <c r="K373" t="e">
        <f ca="1"/>
        <v>#NAME?</v>
      </c>
      <c r="L373" t="e">
        <f ca="1"/>
        <v>#NAME?</v>
      </c>
      <c r="M373" t="e">
        <f ca="1"/>
        <v>#NAME?</v>
      </c>
      <c r="N373" t="e">
        <f ca="1"/>
        <v>#NAME?</v>
      </c>
      <c r="O373" t="e">
        <f ca="1"/>
        <v>#NAME?</v>
      </c>
      <c r="P373" t="e">
        <f ca="1"/>
        <v>#NAME?</v>
      </c>
      <c r="Q373" t="e">
        <f ca="1"/>
        <v>#NAME?</v>
      </c>
      <c r="R373" t="e">
        <f ca="1"/>
        <v>#NAME?</v>
      </c>
      <c r="S373" t="e">
        <f ca="1"/>
        <v>#NAME?</v>
      </c>
      <c r="T373" t="e">
        <f ca="1"/>
        <v>#NAME?</v>
      </c>
      <c r="U373" t="e">
        <f ca="1"/>
        <v>#NAME?</v>
      </c>
      <c r="V373" s="5" t="e">
        <f ca="1"/>
        <v>#NAME?</v>
      </c>
      <c r="W373" t="e">
        <f ca="1"/>
        <v>#NAME?</v>
      </c>
      <c r="X373" t="e">
        <f ca="1"/>
        <v>#NAME?</v>
      </c>
      <c r="Y373" t="e">
        <f ca="1"/>
        <v>#NAME?</v>
      </c>
      <c r="Z373" t="e">
        <f ca="1"/>
        <v>#NAME?</v>
      </c>
      <c r="AA373" t="e">
        <f ca="1"/>
        <v>#NAME?</v>
      </c>
      <c r="AB373" t="e">
        <f ca="1"/>
        <v>#NAME?</v>
      </c>
    </row>
    <row r="374" spans="1:28" x14ac:dyDescent="0.3">
      <c r="A374" t="e">
        <f ca="1"/>
        <v>#NAME?</v>
      </c>
      <c r="B374" t="e">
        <f ca="1"/>
        <v>#NAME?</v>
      </c>
      <c r="C374" t="e">
        <f ca="1"/>
        <v>#NAME?</v>
      </c>
      <c r="D374" t="e">
        <f ca="1"/>
        <v>#NAME?</v>
      </c>
      <c r="E374" t="e">
        <f ca="1"/>
        <v>#NAME?</v>
      </c>
      <c r="I374" t="e">
        <f ca="1"/>
        <v>#NAME?</v>
      </c>
      <c r="J374" t="e">
        <f ca="1"/>
        <v>#NAME?</v>
      </c>
      <c r="K374" t="e">
        <f ca="1"/>
        <v>#NAME?</v>
      </c>
      <c r="L374" t="e">
        <f ca="1"/>
        <v>#NAME?</v>
      </c>
      <c r="M374" t="e">
        <f ca="1"/>
        <v>#NAME?</v>
      </c>
      <c r="N374" t="e">
        <f ca="1"/>
        <v>#NAME?</v>
      </c>
      <c r="O374" t="e">
        <f ca="1"/>
        <v>#NAME?</v>
      </c>
      <c r="P374" t="e">
        <f ca="1"/>
        <v>#NAME?</v>
      </c>
      <c r="Q374" t="e">
        <f ca="1"/>
        <v>#NAME?</v>
      </c>
      <c r="R374" t="e">
        <f ca="1"/>
        <v>#NAME?</v>
      </c>
      <c r="S374" t="e">
        <f ca="1"/>
        <v>#NAME?</v>
      </c>
      <c r="T374" t="e">
        <f ca="1"/>
        <v>#NAME?</v>
      </c>
      <c r="U374" t="e">
        <f ca="1"/>
        <v>#NAME?</v>
      </c>
      <c r="V374" s="5" t="e">
        <f ca="1"/>
        <v>#NAME?</v>
      </c>
      <c r="W374" t="e">
        <f ca="1"/>
        <v>#NAME?</v>
      </c>
      <c r="X374" t="e">
        <f ca="1"/>
        <v>#NAME?</v>
      </c>
      <c r="Y374" t="e">
        <f ca="1"/>
        <v>#NAME?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4"/>
  <sheetViews>
    <sheetView workbookViewId="0"/>
  </sheetViews>
  <sheetFormatPr defaultRowHeight="16.5" x14ac:dyDescent="0.3"/>
  <cols>
    <col min="1" max="1" width="11.125" bestFit="1" customWidth="1"/>
  </cols>
  <sheetData>
    <row r="1" spans="1:29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 x14ac:dyDescent="0.3">
      <c r="A2" s="9">
        <v>46073</v>
      </c>
      <c r="B2">
        <v>3635</v>
      </c>
      <c r="C2">
        <v>8590</v>
      </c>
      <c r="D2">
        <v>22.38</v>
      </c>
      <c r="E2">
        <v>2.2923086000000001</v>
      </c>
      <c r="F2" t="e">
        <v>#N/A</v>
      </c>
      <c r="G2">
        <v>28.794070999999999</v>
      </c>
      <c r="H2">
        <v>8.6</v>
      </c>
      <c r="I2">
        <v>12.37154</v>
      </c>
      <c r="J2">
        <v>4465</v>
      </c>
      <c r="K2">
        <v>2022.5522000000001</v>
      </c>
      <c r="L2">
        <v>10.14</v>
      </c>
      <c r="M2">
        <v>6.4772230000000004</v>
      </c>
      <c r="N2">
        <v>8.81</v>
      </c>
      <c r="O2">
        <v>3.4</v>
      </c>
      <c r="P2">
        <v>2.04</v>
      </c>
      <c r="Q2">
        <v>6230</v>
      </c>
      <c r="R2">
        <v>3.3</v>
      </c>
      <c r="S2">
        <v>6.07</v>
      </c>
      <c r="T2">
        <v>9.85</v>
      </c>
      <c r="U2">
        <v>5.95</v>
      </c>
      <c r="V2">
        <v>4.26</v>
      </c>
      <c r="W2">
        <v>8.4</v>
      </c>
      <c r="X2">
        <v>18.760000000000002</v>
      </c>
      <c r="Y2">
        <v>20</v>
      </c>
      <c r="Z2">
        <v>5.95</v>
      </c>
      <c r="AA2">
        <v>562.66610000000003</v>
      </c>
      <c r="AB2">
        <v>772.66583000000003</v>
      </c>
      <c r="AC2">
        <v>145.66637</v>
      </c>
    </row>
    <row r="3" spans="1:29" x14ac:dyDescent="0.3">
      <c r="A3" s="9">
        <v>46066</v>
      </c>
      <c r="B3">
        <v>3730</v>
      </c>
      <c r="C3">
        <v>8730</v>
      </c>
      <c r="D3">
        <v>23.92</v>
      </c>
      <c r="E3">
        <v>2.4692316000000001</v>
      </c>
      <c r="F3" t="e">
        <v>#N/A</v>
      </c>
      <c r="G3">
        <v>29.662856999999999</v>
      </c>
      <c r="H3">
        <v>8.8699999999999992</v>
      </c>
      <c r="I3">
        <v>12.490117</v>
      </c>
      <c r="J3">
        <v>4620</v>
      </c>
      <c r="K3">
        <v>2177.7714999999998</v>
      </c>
      <c r="L3">
        <v>9.91</v>
      </c>
      <c r="M3">
        <v>6.5870246999999997</v>
      </c>
      <c r="N3">
        <v>8.84</v>
      </c>
      <c r="O3">
        <v>3.38</v>
      </c>
      <c r="P3">
        <v>2.02</v>
      </c>
      <c r="Q3">
        <v>6380</v>
      </c>
      <c r="R3">
        <v>3.13</v>
      </c>
      <c r="S3">
        <v>6.34</v>
      </c>
      <c r="T3">
        <v>9.27</v>
      </c>
      <c r="U3">
        <v>5.61</v>
      </c>
      <c r="V3">
        <v>4.28</v>
      </c>
      <c r="W3">
        <v>8.32</v>
      </c>
      <c r="X3">
        <v>17.53</v>
      </c>
      <c r="Y3">
        <v>19.8</v>
      </c>
      <c r="Z3">
        <v>5.95</v>
      </c>
      <c r="AA3">
        <v>596.66600000000005</v>
      </c>
      <c r="AB3">
        <v>849.9991</v>
      </c>
      <c r="AC3">
        <v>159.44409999999999</v>
      </c>
    </row>
    <row r="4" spans="1:29" x14ac:dyDescent="0.3">
      <c r="A4" s="9">
        <v>46059</v>
      </c>
      <c r="B4">
        <v>3845</v>
      </c>
      <c r="C4">
        <v>8920</v>
      </c>
      <c r="D4">
        <v>23.7</v>
      </c>
      <c r="E4">
        <v>2.4384625</v>
      </c>
      <c r="F4" t="e">
        <v>#N/A</v>
      </c>
      <c r="G4">
        <v>29.911080999999999</v>
      </c>
      <c r="H4">
        <v>8.81</v>
      </c>
      <c r="I4">
        <v>12.37154</v>
      </c>
      <c r="J4">
        <v>4665</v>
      </c>
      <c r="K4">
        <v>2173.0679</v>
      </c>
      <c r="L4">
        <v>10.44</v>
      </c>
      <c r="M4">
        <v>6.696815</v>
      </c>
      <c r="N4">
        <v>8.9</v>
      </c>
      <c r="O4">
        <v>3.43</v>
      </c>
      <c r="P4">
        <v>1.99</v>
      </c>
      <c r="Q4">
        <v>6240</v>
      </c>
      <c r="R4">
        <v>3.25</v>
      </c>
      <c r="S4">
        <v>6.09</v>
      </c>
      <c r="T4">
        <v>9.27</v>
      </c>
      <c r="U4">
        <v>5.8</v>
      </c>
      <c r="V4">
        <v>4.37</v>
      </c>
      <c r="W4">
        <v>8.48</v>
      </c>
      <c r="X4">
        <v>18.47</v>
      </c>
      <c r="Y4">
        <v>21.05</v>
      </c>
      <c r="Z4">
        <v>5.78</v>
      </c>
      <c r="AA4">
        <v>602.99940000000004</v>
      </c>
      <c r="AB4">
        <v>861.66579999999999</v>
      </c>
      <c r="AC4">
        <v>163.55521999999999</v>
      </c>
    </row>
    <row r="5" spans="1:29" x14ac:dyDescent="0.3">
      <c r="A5" s="9">
        <v>46052</v>
      </c>
      <c r="B5">
        <v>3925</v>
      </c>
      <c r="C5">
        <v>8786</v>
      </c>
      <c r="D5">
        <v>24.04</v>
      </c>
      <c r="E5">
        <v>2.4615393000000001</v>
      </c>
      <c r="F5" t="e">
        <v>#N/A</v>
      </c>
      <c r="G5">
        <v>29.911080999999999</v>
      </c>
      <c r="H5">
        <v>8.9600000000000009</v>
      </c>
      <c r="I5">
        <v>12.529643</v>
      </c>
      <c r="J5">
        <v>4710</v>
      </c>
      <c r="K5">
        <v>2253.029</v>
      </c>
      <c r="L5">
        <v>8.77</v>
      </c>
      <c r="M5">
        <v>5.9481697000000002</v>
      </c>
      <c r="N5">
        <v>8.23</v>
      </c>
      <c r="O5">
        <v>3.22</v>
      </c>
      <c r="P5">
        <v>1.89</v>
      </c>
      <c r="Q5">
        <v>6620</v>
      </c>
      <c r="R5">
        <v>3.04</v>
      </c>
      <c r="S5">
        <v>5.8</v>
      </c>
      <c r="T5">
        <v>9.49</v>
      </c>
      <c r="U5">
        <v>5.46</v>
      </c>
      <c r="V5">
        <v>4.13</v>
      </c>
      <c r="W5">
        <v>8.48</v>
      </c>
      <c r="X5">
        <v>17.440000000000001</v>
      </c>
      <c r="Y5">
        <v>20.43</v>
      </c>
      <c r="Z5">
        <v>5.78</v>
      </c>
      <c r="AA5">
        <v>609.66600000000005</v>
      </c>
      <c r="AB5">
        <v>886.9991</v>
      </c>
      <c r="AC5">
        <v>165.11076</v>
      </c>
    </row>
    <row r="6" spans="1:29" x14ac:dyDescent="0.3">
      <c r="A6" s="9">
        <v>46045</v>
      </c>
      <c r="B6">
        <v>4235</v>
      </c>
      <c r="C6">
        <v>8720</v>
      </c>
      <c r="D6">
        <v>21.84</v>
      </c>
      <c r="E6">
        <v>2.4769239999999999</v>
      </c>
      <c r="F6" t="e">
        <v>#N/A</v>
      </c>
      <c r="G6">
        <v>29.662856999999999</v>
      </c>
      <c r="H6">
        <v>8.94</v>
      </c>
      <c r="I6">
        <v>12.450590999999999</v>
      </c>
      <c r="J6">
        <v>4480</v>
      </c>
      <c r="K6">
        <v>2248.3254000000002</v>
      </c>
      <c r="L6">
        <v>7.92</v>
      </c>
      <c r="M6">
        <v>5.2994595000000002</v>
      </c>
      <c r="N6">
        <v>7.55</v>
      </c>
      <c r="O6">
        <v>2.98</v>
      </c>
      <c r="P6">
        <v>1.62</v>
      </c>
      <c r="Q6">
        <v>6520</v>
      </c>
      <c r="R6">
        <v>3.06</v>
      </c>
      <c r="S6">
        <v>5.53</v>
      </c>
      <c r="T6">
        <v>10.01</v>
      </c>
      <c r="U6">
        <v>5.07</v>
      </c>
      <c r="V6">
        <v>3.99</v>
      </c>
      <c r="W6">
        <v>8.24</v>
      </c>
      <c r="X6">
        <v>18</v>
      </c>
      <c r="Y6">
        <v>18.48</v>
      </c>
      <c r="Z6">
        <v>5.85</v>
      </c>
      <c r="AA6">
        <v>592.99940000000004</v>
      </c>
      <c r="AB6">
        <v>876.66579999999999</v>
      </c>
      <c r="AC6">
        <v>153.44412</v>
      </c>
    </row>
    <row r="7" spans="1:29" x14ac:dyDescent="0.3">
      <c r="A7" s="9">
        <v>46038</v>
      </c>
      <c r="B7">
        <v>4415</v>
      </c>
      <c r="C7">
        <v>8412</v>
      </c>
      <c r="D7">
        <v>22.74</v>
      </c>
      <c r="E7">
        <v>2.4692316000000001</v>
      </c>
      <c r="F7" t="e">
        <v>#N/A</v>
      </c>
      <c r="G7">
        <v>29.414635000000001</v>
      </c>
      <c r="H7">
        <v>8.82</v>
      </c>
      <c r="I7">
        <v>12.727271</v>
      </c>
      <c r="J7">
        <v>4305</v>
      </c>
      <c r="K7">
        <v>2215.4004</v>
      </c>
      <c r="L7">
        <v>7.79</v>
      </c>
      <c r="M7">
        <v>5.1397769999999996</v>
      </c>
      <c r="N7">
        <v>7.35</v>
      </c>
      <c r="O7">
        <v>3.06</v>
      </c>
      <c r="P7">
        <v>1.55</v>
      </c>
      <c r="Q7">
        <v>6800</v>
      </c>
      <c r="R7">
        <v>3.415</v>
      </c>
      <c r="S7">
        <v>5.61</v>
      </c>
      <c r="T7">
        <v>10.01</v>
      </c>
      <c r="U7">
        <v>4.9000000000000004</v>
      </c>
      <c r="V7">
        <v>3.9</v>
      </c>
      <c r="W7">
        <v>7.4496000000000002</v>
      </c>
      <c r="X7">
        <v>16.43</v>
      </c>
      <c r="Y7">
        <v>15.59</v>
      </c>
      <c r="Z7">
        <v>6.2850000000000001</v>
      </c>
      <c r="AA7">
        <v>587.33270000000005</v>
      </c>
      <c r="AB7">
        <v>846.66579999999999</v>
      </c>
      <c r="AC7">
        <v>166.66632000000001</v>
      </c>
    </row>
    <row r="8" spans="1:29" x14ac:dyDescent="0.3">
      <c r="A8" s="9">
        <v>46031</v>
      </c>
      <c r="B8">
        <v>4330</v>
      </c>
      <c r="C8">
        <v>9044</v>
      </c>
      <c r="D8">
        <v>24.8</v>
      </c>
      <c r="E8">
        <v>2.4538470000000001</v>
      </c>
      <c r="F8" t="e">
        <v>#N/A</v>
      </c>
      <c r="G8">
        <v>30.159306000000001</v>
      </c>
      <c r="H8">
        <v>8.9499999999999993</v>
      </c>
      <c r="I8">
        <v>12.845848</v>
      </c>
      <c r="J8">
        <v>4280</v>
      </c>
      <c r="K8">
        <v>2173.0679</v>
      </c>
      <c r="L8">
        <v>8.1999999999999993</v>
      </c>
      <c r="M8">
        <v>5.3693759999999999</v>
      </c>
      <c r="N8">
        <v>8.2799999999999994</v>
      </c>
      <c r="O8">
        <v>3.02</v>
      </c>
      <c r="P8">
        <v>1.6</v>
      </c>
      <c r="Q8">
        <v>6770</v>
      </c>
      <c r="R8">
        <v>3.7749999999999999</v>
      </c>
      <c r="S8">
        <v>6.1</v>
      </c>
      <c r="T8">
        <v>10.83</v>
      </c>
      <c r="U8">
        <v>5.85</v>
      </c>
      <c r="V8">
        <v>4.24</v>
      </c>
      <c r="W8">
        <v>8.48</v>
      </c>
      <c r="X8">
        <v>17.71</v>
      </c>
      <c r="Y8">
        <v>19.77</v>
      </c>
      <c r="Z8">
        <v>5.99</v>
      </c>
      <c r="AA8">
        <v>587.99940000000004</v>
      </c>
      <c r="AB8">
        <v>863.33245999999997</v>
      </c>
      <c r="AC8">
        <v>174.7774</v>
      </c>
    </row>
    <row r="9" spans="1:29" x14ac:dyDescent="0.3">
      <c r="A9" s="9">
        <v>46024</v>
      </c>
      <c r="B9">
        <v>4370</v>
      </c>
      <c r="C9">
        <v>8836</v>
      </c>
      <c r="D9">
        <v>26.4</v>
      </c>
      <c r="E9">
        <v>2.5384623999999998</v>
      </c>
      <c r="F9" t="e">
        <v>#N/A</v>
      </c>
      <c r="G9">
        <v>30.903980000000001</v>
      </c>
      <c r="H9">
        <v>9.23</v>
      </c>
      <c r="I9">
        <v>12.608693000000001</v>
      </c>
      <c r="J9">
        <v>4335</v>
      </c>
      <c r="K9">
        <v>2281.2507000000001</v>
      </c>
      <c r="L9">
        <v>7.82</v>
      </c>
      <c r="M9">
        <v>5.2994595000000002</v>
      </c>
      <c r="N9">
        <v>8.41</v>
      </c>
      <c r="O9">
        <v>2.96</v>
      </c>
      <c r="P9">
        <v>1.42</v>
      </c>
      <c r="Q9">
        <v>6950</v>
      </c>
      <c r="R9">
        <v>3.7250000000000001</v>
      </c>
      <c r="S9">
        <v>6.13</v>
      </c>
      <c r="T9">
        <v>10.77</v>
      </c>
      <c r="U9">
        <v>6.06</v>
      </c>
      <c r="V9">
        <v>4.28</v>
      </c>
      <c r="W9">
        <v>8.7200000000000006</v>
      </c>
      <c r="X9">
        <v>18.11</v>
      </c>
      <c r="Y9">
        <v>19.43</v>
      </c>
      <c r="Z9">
        <v>5.99</v>
      </c>
      <c r="AA9">
        <v>600.66600000000005</v>
      </c>
      <c r="AB9">
        <v>880.66579999999999</v>
      </c>
      <c r="AC9">
        <v>175.55519000000001</v>
      </c>
    </row>
    <row r="10" spans="1:29" x14ac:dyDescent="0.3">
      <c r="A10" s="9">
        <v>46017</v>
      </c>
      <c r="B10">
        <v>4000</v>
      </c>
      <c r="C10">
        <v>8698</v>
      </c>
      <c r="D10">
        <v>25.64</v>
      </c>
      <c r="E10">
        <v>2.6230779000000002</v>
      </c>
      <c r="F10" t="e">
        <v>#N/A</v>
      </c>
      <c r="G10">
        <v>30.159306000000001</v>
      </c>
      <c r="H10">
        <v>8.9600000000000009</v>
      </c>
      <c r="I10">
        <v>12.806323000000001</v>
      </c>
      <c r="J10">
        <v>4325</v>
      </c>
      <c r="K10">
        <v>2158.9569999999999</v>
      </c>
      <c r="L10">
        <v>7.43</v>
      </c>
      <c r="M10">
        <v>4.8703136000000002</v>
      </c>
      <c r="N10">
        <v>8.2200000000000006</v>
      </c>
      <c r="O10">
        <v>2.61</v>
      </c>
      <c r="P10">
        <v>1.54</v>
      </c>
      <c r="Q10">
        <v>6820</v>
      </c>
      <c r="R10">
        <v>3.1749999999999998</v>
      </c>
      <c r="S10">
        <v>5.75</v>
      </c>
      <c r="T10">
        <v>10.86</v>
      </c>
      <c r="U10">
        <v>6.57</v>
      </c>
      <c r="V10">
        <v>4.42</v>
      </c>
      <c r="W10">
        <v>8.64</v>
      </c>
      <c r="X10">
        <v>16.66</v>
      </c>
      <c r="Y10">
        <v>18.43</v>
      </c>
      <c r="Z10">
        <v>6.23</v>
      </c>
      <c r="AA10">
        <v>577.99940000000004</v>
      </c>
      <c r="AB10">
        <v>850.66579999999999</v>
      </c>
      <c r="AC10">
        <v>169.66632000000001</v>
      </c>
    </row>
    <row r="11" spans="1:29" x14ac:dyDescent="0.3">
      <c r="A11" s="9">
        <v>46010</v>
      </c>
      <c r="B11">
        <v>3725</v>
      </c>
      <c r="C11">
        <v>8440</v>
      </c>
      <c r="D11">
        <v>24.44</v>
      </c>
      <c r="E11">
        <v>2.4000007999999999</v>
      </c>
      <c r="F11" t="e">
        <v>#N/A</v>
      </c>
      <c r="G11">
        <v>30.28342</v>
      </c>
      <c r="H11">
        <v>8.8000000000000007</v>
      </c>
      <c r="I11">
        <v>12.687745</v>
      </c>
      <c r="J11">
        <v>4155</v>
      </c>
      <c r="K11">
        <v>2055.4775</v>
      </c>
      <c r="L11">
        <v>6.51</v>
      </c>
      <c r="M11">
        <v>4.6707687</v>
      </c>
      <c r="N11">
        <v>7.85</v>
      </c>
      <c r="O11">
        <v>2.4500000000000002</v>
      </c>
      <c r="P11">
        <v>1.35</v>
      </c>
      <c r="Q11">
        <v>7100</v>
      </c>
      <c r="R11">
        <v>3.07</v>
      </c>
      <c r="S11">
        <v>5.29</v>
      </c>
      <c r="T11">
        <v>10.81</v>
      </c>
      <c r="U11">
        <v>6.33</v>
      </c>
      <c r="V11">
        <v>4.3600000000000003</v>
      </c>
      <c r="W11">
        <v>7.8175999999999997</v>
      </c>
      <c r="X11">
        <v>16.78</v>
      </c>
      <c r="Y11">
        <v>16.98</v>
      </c>
      <c r="Z11">
        <v>6.23</v>
      </c>
      <c r="AA11">
        <v>551.33276000000001</v>
      </c>
      <c r="AB11">
        <v>815.66583000000003</v>
      </c>
      <c r="AC11">
        <v>152.22191000000001</v>
      </c>
    </row>
    <row r="12" spans="1:29" x14ac:dyDescent="0.3">
      <c r="A12" s="9">
        <v>46003</v>
      </c>
      <c r="B12">
        <v>3735</v>
      </c>
      <c r="C12">
        <v>8690</v>
      </c>
      <c r="D12">
        <v>24.9</v>
      </c>
      <c r="E12">
        <v>2.3846161000000001</v>
      </c>
      <c r="F12" t="e">
        <v>#N/A</v>
      </c>
      <c r="G12">
        <v>30.407532</v>
      </c>
      <c r="H12">
        <v>8.84</v>
      </c>
      <c r="I12">
        <v>12.687745</v>
      </c>
      <c r="J12">
        <v>4245</v>
      </c>
      <c r="K12">
        <v>2102.5137</v>
      </c>
      <c r="L12">
        <v>7.13</v>
      </c>
      <c r="M12">
        <v>5.0500401999999998</v>
      </c>
      <c r="N12">
        <v>8.57</v>
      </c>
      <c r="O12">
        <v>2.65</v>
      </c>
      <c r="P12">
        <v>1.54</v>
      </c>
      <c r="Q12">
        <v>7250</v>
      </c>
      <c r="R12">
        <v>3.27</v>
      </c>
      <c r="S12">
        <v>5.77</v>
      </c>
      <c r="T12">
        <v>11.06</v>
      </c>
      <c r="U12">
        <v>6.5</v>
      </c>
      <c r="V12">
        <v>4.5599999999999996</v>
      </c>
      <c r="W12">
        <v>8</v>
      </c>
      <c r="X12">
        <v>18.59</v>
      </c>
      <c r="Y12">
        <v>18.59</v>
      </c>
      <c r="Z12">
        <v>6.6</v>
      </c>
      <c r="AA12">
        <v>547.99945000000002</v>
      </c>
      <c r="AB12">
        <v>806.33249999999998</v>
      </c>
      <c r="AC12">
        <v>140.22192000000001</v>
      </c>
    </row>
    <row r="13" spans="1:29" x14ac:dyDescent="0.3">
      <c r="A13" s="9">
        <v>45996</v>
      </c>
      <c r="B13">
        <v>3650</v>
      </c>
      <c r="C13">
        <v>8682</v>
      </c>
      <c r="D13">
        <v>25.28</v>
      </c>
      <c r="E13">
        <v>2.4384625</v>
      </c>
      <c r="F13" t="e">
        <v>#N/A</v>
      </c>
      <c r="G13">
        <v>29.662856999999999</v>
      </c>
      <c r="H13">
        <v>8.65</v>
      </c>
      <c r="I13">
        <v>12.687745</v>
      </c>
      <c r="J13">
        <v>4210</v>
      </c>
      <c r="K13">
        <v>2102.5137</v>
      </c>
      <c r="L13">
        <v>6.58</v>
      </c>
      <c r="M13">
        <v>5.1098375000000003</v>
      </c>
      <c r="N13">
        <v>7.77</v>
      </c>
      <c r="O13">
        <v>2.72</v>
      </c>
      <c r="P13">
        <v>1.4</v>
      </c>
      <c r="Q13">
        <v>7220</v>
      </c>
      <c r="R13">
        <v>3.4</v>
      </c>
      <c r="S13">
        <v>5.92</v>
      </c>
      <c r="T13">
        <v>11.02</v>
      </c>
      <c r="U13">
        <v>6.86</v>
      </c>
      <c r="V13">
        <v>4.53</v>
      </c>
      <c r="W13">
        <v>7.6951999999999998</v>
      </c>
      <c r="X13">
        <v>17.579999999999998</v>
      </c>
      <c r="Y13">
        <v>18.829999999999998</v>
      </c>
      <c r="Z13">
        <v>7</v>
      </c>
      <c r="AA13">
        <v>551.33276000000001</v>
      </c>
      <c r="AB13">
        <v>818.99914999999999</v>
      </c>
      <c r="AC13">
        <v>138.44415000000001</v>
      </c>
    </row>
    <row r="14" spans="1:29" x14ac:dyDescent="0.3">
      <c r="A14" s="9">
        <v>45989</v>
      </c>
      <c r="B14">
        <v>3640</v>
      </c>
      <c r="C14">
        <v>8442</v>
      </c>
      <c r="D14">
        <v>28.2</v>
      </c>
      <c r="E14">
        <v>2.5076930000000002</v>
      </c>
      <c r="F14" t="e">
        <v>#N/A</v>
      </c>
      <c r="G14">
        <v>29.78697</v>
      </c>
      <c r="H14">
        <v>8.64</v>
      </c>
      <c r="I14">
        <v>12.766795999999999</v>
      </c>
      <c r="J14">
        <v>4110</v>
      </c>
      <c r="K14">
        <v>1989.627</v>
      </c>
      <c r="L14">
        <v>6.58</v>
      </c>
      <c r="M14">
        <v>4.7605320000000004</v>
      </c>
      <c r="N14">
        <v>7.46</v>
      </c>
      <c r="O14">
        <v>2.82</v>
      </c>
      <c r="P14">
        <v>1.46</v>
      </c>
      <c r="Q14">
        <v>7160</v>
      </c>
      <c r="R14">
        <v>3.57</v>
      </c>
      <c r="S14">
        <v>6.42</v>
      </c>
      <c r="T14">
        <v>11</v>
      </c>
      <c r="U14">
        <v>6.46</v>
      </c>
      <c r="V14">
        <v>4.46</v>
      </c>
      <c r="W14">
        <v>7.7607999999999997</v>
      </c>
      <c r="X14">
        <v>17.14</v>
      </c>
      <c r="Y14">
        <v>19.84</v>
      </c>
      <c r="Z14">
        <v>7.27</v>
      </c>
      <c r="AA14">
        <v>540.66610000000003</v>
      </c>
      <c r="AB14">
        <v>793.66583000000003</v>
      </c>
      <c r="AC14">
        <v>132.22194999999999</v>
      </c>
    </row>
    <row r="15" spans="1:29" x14ac:dyDescent="0.3">
      <c r="A15" s="9">
        <v>45982</v>
      </c>
      <c r="B15">
        <v>3765</v>
      </c>
      <c r="C15">
        <v>8012</v>
      </c>
      <c r="D15">
        <v>28.6</v>
      </c>
      <c r="E15">
        <v>2.9769239999999999</v>
      </c>
      <c r="F15" t="e">
        <v>#N/A</v>
      </c>
      <c r="G15">
        <v>30.28342</v>
      </c>
      <c r="H15">
        <v>8.73</v>
      </c>
      <c r="I15">
        <v>12.766795999999999</v>
      </c>
      <c r="J15">
        <v>4295</v>
      </c>
      <c r="K15">
        <v>2088.4027999999998</v>
      </c>
      <c r="L15">
        <v>7.34</v>
      </c>
      <c r="M15">
        <v>5.129874</v>
      </c>
      <c r="N15">
        <v>8.2899999999999991</v>
      </c>
      <c r="O15">
        <v>3.02</v>
      </c>
      <c r="P15">
        <v>1.53</v>
      </c>
      <c r="Q15">
        <v>7150</v>
      </c>
      <c r="R15">
        <v>4.165</v>
      </c>
      <c r="S15">
        <v>7.69</v>
      </c>
      <c r="T15">
        <v>11.2</v>
      </c>
      <c r="U15">
        <v>6.87</v>
      </c>
      <c r="V15">
        <v>4.63</v>
      </c>
      <c r="W15">
        <v>7.8239999999999998</v>
      </c>
      <c r="X15">
        <v>17.21</v>
      </c>
      <c r="Y15">
        <v>19.5</v>
      </c>
      <c r="Z15">
        <v>7.32</v>
      </c>
      <c r="AA15">
        <v>579.66610000000003</v>
      </c>
      <c r="AB15">
        <v>889.33240000000001</v>
      </c>
      <c r="AC15">
        <v>152.88857999999999</v>
      </c>
    </row>
    <row r="16" spans="1:29" x14ac:dyDescent="0.3">
      <c r="A16" s="9">
        <v>45975</v>
      </c>
      <c r="B16">
        <v>3825</v>
      </c>
      <c r="C16">
        <v>8514</v>
      </c>
      <c r="D16">
        <v>28.3</v>
      </c>
      <c r="E16">
        <v>2.9000010000000001</v>
      </c>
      <c r="F16" t="e">
        <v>#N/A</v>
      </c>
      <c r="G16">
        <v>32.145102999999999</v>
      </c>
      <c r="H16">
        <v>8.89</v>
      </c>
      <c r="I16">
        <v>12.727271</v>
      </c>
      <c r="J16">
        <v>4435</v>
      </c>
      <c r="K16">
        <v>2097.81</v>
      </c>
      <c r="L16">
        <v>7.82</v>
      </c>
      <c r="M16">
        <v>5.4591417</v>
      </c>
      <c r="N16">
        <v>8.51</v>
      </c>
      <c r="O16">
        <v>3.04</v>
      </c>
      <c r="P16">
        <v>1.54</v>
      </c>
      <c r="Q16">
        <v>7100</v>
      </c>
      <c r="R16">
        <v>4.6050000000000004</v>
      </c>
      <c r="S16">
        <v>7.88</v>
      </c>
      <c r="T16">
        <v>11.12</v>
      </c>
      <c r="U16">
        <v>7.91</v>
      </c>
      <c r="V16">
        <v>5.0599999999999996</v>
      </c>
      <c r="W16">
        <v>8.48</v>
      </c>
      <c r="X16">
        <v>19.89</v>
      </c>
      <c r="Y16">
        <v>24.07</v>
      </c>
      <c r="Z16">
        <v>8.5</v>
      </c>
      <c r="AA16">
        <v>582.99940000000004</v>
      </c>
      <c r="AB16">
        <v>883.66579999999999</v>
      </c>
      <c r="AC16">
        <v>153.22191000000001</v>
      </c>
    </row>
    <row r="17" spans="1:29" x14ac:dyDescent="0.3">
      <c r="A17" s="9">
        <v>45968</v>
      </c>
      <c r="B17">
        <v>3730</v>
      </c>
      <c r="C17">
        <v>8994</v>
      </c>
      <c r="D17">
        <v>27.8</v>
      </c>
      <c r="E17">
        <v>2.9076930999999999</v>
      </c>
      <c r="F17" t="e">
        <v>#N/A</v>
      </c>
      <c r="G17">
        <v>33.013893000000003</v>
      </c>
      <c r="H17">
        <v>8.7899999999999991</v>
      </c>
      <c r="I17">
        <v>12.885373</v>
      </c>
      <c r="J17">
        <v>4685</v>
      </c>
      <c r="K17">
        <v>2253.029</v>
      </c>
      <c r="L17">
        <v>7.95</v>
      </c>
      <c r="M17">
        <v>5.6189475</v>
      </c>
      <c r="N17">
        <v>8.67</v>
      </c>
      <c r="O17">
        <v>3.14</v>
      </c>
      <c r="P17">
        <v>1.62</v>
      </c>
      <c r="Q17">
        <v>7200</v>
      </c>
      <c r="R17">
        <v>4.62</v>
      </c>
      <c r="S17">
        <v>7.95</v>
      </c>
      <c r="T17">
        <v>10.95</v>
      </c>
      <c r="U17">
        <v>7.76</v>
      </c>
      <c r="V17">
        <v>4.91</v>
      </c>
      <c r="W17">
        <v>8.32</v>
      </c>
      <c r="X17">
        <v>19.25</v>
      </c>
      <c r="Y17">
        <v>23.88</v>
      </c>
      <c r="Z17">
        <v>7.8449999999999998</v>
      </c>
      <c r="AA17">
        <v>605.99940000000004</v>
      </c>
      <c r="AB17">
        <v>921.99900000000002</v>
      </c>
      <c r="AC17">
        <v>169.55520000000001</v>
      </c>
    </row>
    <row r="18" spans="1:29" x14ac:dyDescent="0.3">
      <c r="A18" s="9">
        <v>45961</v>
      </c>
      <c r="B18">
        <v>3910</v>
      </c>
      <c r="C18">
        <v>8898</v>
      </c>
      <c r="D18">
        <v>26</v>
      </c>
      <c r="E18">
        <v>2.7769241</v>
      </c>
      <c r="F18" t="e">
        <v>#N/A</v>
      </c>
      <c r="G18">
        <v>34.006790000000002</v>
      </c>
      <c r="H18">
        <v>8.9</v>
      </c>
      <c r="I18">
        <v>13.083000999999999</v>
      </c>
      <c r="J18">
        <v>4695</v>
      </c>
      <c r="K18">
        <v>2234.2148000000002</v>
      </c>
      <c r="L18">
        <v>8.1999999999999993</v>
      </c>
      <c r="M18">
        <v>5.5789109999999997</v>
      </c>
      <c r="N18">
        <v>8.8699999999999992</v>
      </c>
      <c r="O18">
        <v>3.16</v>
      </c>
      <c r="P18">
        <v>1.65</v>
      </c>
      <c r="Q18">
        <v>7160</v>
      </c>
      <c r="R18">
        <v>4.6399999999999997</v>
      </c>
      <c r="S18">
        <v>8.1300000000000008</v>
      </c>
      <c r="T18">
        <v>11.32</v>
      </c>
      <c r="U18">
        <v>8.0399999999999991</v>
      </c>
      <c r="V18">
        <v>5.2</v>
      </c>
      <c r="W18">
        <v>8.56</v>
      </c>
      <c r="X18">
        <v>18.12</v>
      </c>
      <c r="Y18">
        <v>25.58</v>
      </c>
      <c r="Z18">
        <v>7.65</v>
      </c>
      <c r="AA18">
        <v>631.99929999999995</v>
      </c>
      <c r="AB18">
        <v>939.99900000000002</v>
      </c>
      <c r="AC18">
        <v>178.88849999999999</v>
      </c>
    </row>
    <row r="19" spans="1:29" x14ac:dyDescent="0.3">
      <c r="A19" s="9">
        <v>45954</v>
      </c>
      <c r="B19">
        <v>3935</v>
      </c>
      <c r="C19">
        <v>8696</v>
      </c>
      <c r="D19">
        <v>28.5</v>
      </c>
      <c r="E19">
        <v>2.8153855999999999</v>
      </c>
      <c r="F19" t="e">
        <v>#N/A</v>
      </c>
      <c r="G19">
        <v>31.028095</v>
      </c>
      <c r="H19">
        <v>8.48</v>
      </c>
      <c r="I19">
        <v>12.924899</v>
      </c>
      <c r="J19">
        <v>4820</v>
      </c>
      <c r="K19">
        <v>2267.14</v>
      </c>
      <c r="L19">
        <v>9.02</v>
      </c>
      <c r="M19">
        <v>5.8084474000000004</v>
      </c>
      <c r="N19">
        <v>10.14</v>
      </c>
      <c r="O19">
        <v>3.25</v>
      </c>
      <c r="P19">
        <v>1.81</v>
      </c>
      <c r="Q19">
        <v>7200</v>
      </c>
      <c r="R19">
        <v>4.4249999999999998</v>
      </c>
      <c r="S19">
        <v>8</v>
      </c>
      <c r="T19">
        <v>11.26</v>
      </c>
      <c r="U19">
        <v>8.24</v>
      </c>
      <c r="V19">
        <v>5.7</v>
      </c>
      <c r="W19">
        <v>9.76</v>
      </c>
      <c r="X19">
        <v>18.39</v>
      </c>
      <c r="Y19">
        <v>27.73</v>
      </c>
      <c r="Z19">
        <v>8.34</v>
      </c>
      <c r="AA19">
        <v>584.33270000000005</v>
      </c>
      <c r="AB19">
        <v>859.33245999999997</v>
      </c>
      <c r="AC19">
        <v>162.22190000000001</v>
      </c>
    </row>
    <row r="20" spans="1:29" x14ac:dyDescent="0.3">
      <c r="A20" s="9">
        <v>45947</v>
      </c>
      <c r="B20">
        <v>3675</v>
      </c>
      <c r="C20">
        <v>8132</v>
      </c>
      <c r="D20">
        <v>27</v>
      </c>
      <c r="E20">
        <v>2.4923085999999999</v>
      </c>
      <c r="F20" t="e">
        <v>#N/A</v>
      </c>
      <c r="G20">
        <v>29.911080999999999</v>
      </c>
      <c r="H20">
        <v>7.96</v>
      </c>
      <c r="I20">
        <v>13.399208</v>
      </c>
      <c r="J20">
        <v>4450</v>
      </c>
      <c r="K20">
        <v>2177.7714999999998</v>
      </c>
      <c r="L20">
        <v>8.19</v>
      </c>
      <c r="M20">
        <v>5.4591417</v>
      </c>
      <c r="N20">
        <v>9.07</v>
      </c>
      <c r="O20">
        <v>3.17</v>
      </c>
      <c r="P20">
        <v>1.6</v>
      </c>
      <c r="Q20">
        <v>6990</v>
      </c>
      <c r="R20">
        <v>4.33</v>
      </c>
      <c r="S20">
        <v>7.71</v>
      </c>
      <c r="T20">
        <v>11.08</v>
      </c>
      <c r="U20">
        <v>7.9</v>
      </c>
      <c r="V20">
        <v>5.8</v>
      </c>
      <c r="W20">
        <v>10</v>
      </c>
      <c r="X20">
        <v>20.04</v>
      </c>
      <c r="Y20">
        <v>27.57</v>
      </c>
      <c r="Z20">
        <v>7.81</v>
      </c>
      <c r="AA20">
        <v>570.99940000000004</v>
      </c>
      <c r="AB20">
        <v>854.9991</v>
      </c>
      <c r="AC20">
        <v>154.99968000000001</v>
      </c>
    </row>
    <row r="21" spans="1:29" x14ac:dyDescent="0.3">
      <c r="A21" s="9">
        <v>45940</v>
      </c>
      <c r="B21">
        <v>3585</v>
      </c>
      <c r="C21">
        <v>7982</v>
      </c>
      <c r="D21">
        <v>24.85</v>
      </c>
      <c r="E21">
        <v>2.307693</v>
      </c>
      <c r="F21" t="e">
        <v>#N/A</v>
      </c>
      <c r="G21">
        <v>30.035194000000001</v>
      </c>
      <c r="H21">
        <v>8.0399999999999991</v>
      </c>
      <c r="I21">
        <v>14.150195</v>
      </c>
      <c r="J21">
        <v>4410</v>
      </c>
      <c r="K21">
        <v>2234.2148000000002</v>
      </c>
      <c r="L21">
        <v>8.0500000000000007</v>
      </c>
      <c r="M21">
        <v>5.1896779999999998</v>
      </c>
      <c r="N21">
        <v>8.1300000000000008</v>
      </c>
      <c r="O21">
        <v>3.3</v>
      </c>
      <c r="P21">
        <v>1.57</v>
      </c>
      <c r="Q21">
        <v>6960</v>
      </c>
      <c r="R21">
        <v>4.2949999999999999</v>
      </c>
      <c r="S21">
        <v>7.71</v>
      </c>
      <c r="T21">
        <v>10.01</v>
      </c>
      <c r="U21">
        <v>9.01</v>
      </c>
      <c r="V21">
        <v>6.03</v>
      </c>
      <c r="W21">
        <v>10.88</v>
      </c>
      <c r="X21">
        <v>19.43</v>
      </c>
      <c r="Y21">
        <v>26.45</v>
      </c>
      <c r="Z21">
        <v>8.6</v>
      </c>
      <c r="AA21">
        <v>553.66610000000003</v>
      </c>
      <c r="AB21">
        <v>793.33249999999998</v>
      </c>
      <c r="AC21">
        <v>141.33304000000001</v>
      </c>
    </row>
    <row r="22" spans="1:29" x14ac:dyDescent="0.3">
      <c r="A22" s="9">
        <v>45933</v>
      </c>
      <c r="B22">
        <v>3395</v>
      </c>
      <c r="C22">
        <v>7200</v>
      </c>
      <c r="D22">
        <v>24.55</v>
      </c>
      <c r="E22">
        <v>2.1923083999999999</v>
      </c>
      <c r="F22" t="e">
        <v>#N/A</v>
      </c>
      <c r="G22">
        <v>30.035194000000001</v>
      </c>
      <c r="H22">
        <v>8.1300000000000008</v>
      </c>
      <c r="I22">
        <v>14.901184000000001</v>
      </c>
      <c r="J22">
        <v>4275</v>
      </c>
      <c r="K22">
        <v>2121.3281000000002</v>
      </c>
      <c r="L22">
        <v>7.42</v>
      </c>
      <c r="M22">
        <v>5.0599360000000004</v>
      </c>
      <c r="N22">
        <v>7.43</v>
      </c>
      <c r="O22">
        <v>3.22</v>
      </c>
      <c r="P22">
        <v>1.61</v>
      </c>
      <c r="Q22">
        <v>6690</v>
      </c>
      <c r="R22">
        <v>4.1150000000000002</v>
      </c>
      <c r="S22">
        <v>7.41</v>
      </c>
      <c r="T22">
        <v>9.99</v>
      </c>
      <c r="U22">
        <v>8.5500000000000007</v>
      </c>
      <c r="V22">
        <v>5.71</v>
      </c>
      <c r="W22">
        <v>10.08</v>
      </c>
      <c r="X22">
        <v>18.59</v>
      </c>
      <c r="Y22">
        <v>26.39</v>
      </c>
      <c r="Z22">
        <v>9</v>
      </c>
      <c r="AA22">
        <v>547.66610000000003</v>
      </c>
      <c r="AB22">
        <v>771.99919999999997</v>
      </c>
      <c r="AC22">
        <v>136.33304999999999</v>
      </c>
    </row>
    <row r="23" spans="1:29" x14ac:dyDescent="0.3">
      <c r="A23" s="9">
        <v>45926</v>
      </c>
      <c r="B23">
        <v>3260</v>
      </c>
      <c r="C23">
        <v>7180</v>
      </c>
      <c r="D23">
        <v>28.7</v>
      </c>
      <c r="E23">
        <v>2.2230775</v>
      </c>
      <c r="F23" t="e">
        <v>#N/A</v>
      </c>
      <c r="G23">
        <v>29.662856999999999</v>
      </c>
      <c r="H23">
        <v>7.9700002999999997</v>
      </c>
      <c r="I23">
        <v>14.189722</v>
      </c>
      <c r="J23">
        <v>4335</v>
      </c>
      <c r="K23">
        <v>2262.4362999999998</v>
      </c>
      <c r="L23">
        <v>7.65</v>
      </c>
      <c r="M23">
        <v>4.5509485999999999</v>
      </c>
      <c r="N23">
        <v>7.23</v>
      </c>
      <c r="O23">
        <v>2.99</v>
      </c>
      <c r="P23">
        <v>1.41</v>
      </c>
      <c r="Q23">
        <v>6580</v>
      </c>
      <c r="R23">
        <v>4.2350000000000003</v>
      </c>
      <c r="S23">
        <v>7.06</v>
      </c>
      <c r="T23">
        <v>9.9700000000000006</v>
      </c>
      <c r="U23">
        <v>7.84</v>
      </c>
      <c r="V23">
        <v>5.56</v>
      </c>
      <c r="W23">
        <v>8.9600000000000009</v>
      </c>
      <c r="X23">
        <v>17.8</v>
      </c>
      <c r="Y23">
        <v>26.03</v>
      </c>
      <c r="Z23">
        <v>8.9882000000000009</v>
      </c>
      <c r="AA23">
        <v>542.33276000000001</v>
      </c>
      <c r="AB23">
        <v>789.99914999999999</v>
      </c>
      <c r="AC23">
        <v>134.55528000000001</v>
      </c>
    </row>
    <row r="24" spans="1:29" x14ac:dyDescent="0.3">
      <c r="A24" s="9">
        <v>45919</v>
      </c>
      <c r="B24">
        <v>3365</v>
      </c>
      <c r="C24">
        <v>7292</v>
      </c>
      <c r="D24">
        <v>32.299999999999997</v>
      </c>
      <c r="E24">
        <v>2.1846160000000001</v>
      </c>
      <c r="F24" t="e">
        <v>#N/A</v>
      </c>
      <c r="G24">
        <v>29.911080999999999</v>
      </c>
      <c r="H24">
        <v>8.09</v>
      </c>
      <c r="I24">
        <v>14.545451999999999</v>
      </c>
      <c r="J24">
        <v>4320</v>
      </c>
      <c r="K24">
        <v>2257.7327</v>
      </c>
      <c r="L24">
        <v>7.97</v>
      </c>
      <c r="M24">
        <v>4.7705115999999999</v>
      </c>
      <c r="N24">
        <v>7.75</v>
      </c>
      <c r="O24">
        <v>3.01</v>
      </c>
      <c r="P24">
        <v>1.49</v>
      </c>
      <c r="Q24">
        <v>6960</v>
      </c>
      <c r="R24">
        <v>4.55</v>
      </c>
      <c r="S24">
        <v>7.87</v>
      </c>
      <c r="T24">
        <v>9.81</v>
      </c>
      <c r="U24">
        <v>7.81</v>
      </c>
      <c r="V24">
        <v>5.73</v>
      </c>
      <c r="W24">
        <v>8.7200000000000006</v>
      </c>
      <c r="X24">
        <v>18.309999999999999</v>
      </c>
      <c r="Y24">
        <v>26.63</v>
      </c>
      <c r="Z24">
        <v>11.52</v>
      </c>
      <c r="AA24">
        <v>529.33276000000001</v>
      </c>
      <c r="AB24">
        <v>786.66583000000003</v>
      </c>
      <c r="AC24">
        <v>127.221954</v>
      </c>
    </row>
    <row r="25" spans="1:29" x14ac:dyDescent="0.3">
      <c r="A25" s="9">
        <v>45912</v>
      </c>
      <c r="B25">
        <v>3545</v>
      </c>
      <c r="C25">
        <v>7258</v>
      </c>
      <c r="D25">
        <v>34.9</v>
      </c>
      <c r="E25">
        <v>2.2153854000000002</v>
      </c>
      <c r="F25" t="e">
        <v>#N/A</v>
      </c>
      <c r="G25">
        <v>30.903980000000001</v>
      </c>
      <c r="H25">
        <v>8.15</v>
      </c>
      <c r="I25">
        <v>14.229247000000001</v>
      </c>
      <c r="J25">
        <v>4425</v>
      </c>
      <c r="K25">
        <v>2380.0266000000001</v>
      </c>
      <c r="L25">
        <v>7.81</v>
      </c>
      <c r="M25">
        <v>4.6408009999999997</v>
      </c>
      <c r="N25">
        <v>7.18</v>
      </c>
      <c r="O25">
        <v>3.17</v>
      </c>
      <c r="P25">
        <v>1.4</v>
      </c>
      <c r="Q25">
        <v>7200</v>
      </c>
      <c r="R25">
        <v>4.9349999999999996</v>
      </c>
      <c r="S25">
        <v>8.3000000000000007</v>
      </c>
      <c r="T25">
        <v>9.32</v>
      </c>
      <c r="U25">
        <v>7.6</v>
      </c>
      <c r="V25">
        <v>5.44</v>
      </c>
      <c r="W25">
        <v>8.7200000000000006</v>
      </c>
      <c r="X25">
        <v>17.28</v>
      </c>
      <c r="Y25">
        <v>25.4</v>
      </c>
      <c r="Z25">
        <v>9</v>
      </c>
      <c r="AA25">
        <v>550.33276000000001</v>
      </c>
      <c r="AB25">
        <v>824.66583000000003</v>
      </c>
      <c r="AC25">
        <v>139.22192000000001</v>
      </c>
    </row>
    <row r="26" spans="1:29" x14ac:dyDescent="0.3">
      <c r="A26" s="9">
        <v>45905</v>
      </c>
      <c r="B26">
        <v>3760</v>
      </c>
      <c r="C26">
        <v>8016</v>
      </c>
      <c r="D26">
        <v>37.549999999999997</v>
      </c>
      <c r="E26">
        <v>2.4153855000000002</v>
      </c>
      <c r="F26" t="e">
        <v>#N/A</v>
      </c>
      <c r="G26">
        <v>30.903980000000001</v>
      </c>
      <c r="H26">
        <v>8.16</v>
      </c>
      <c r="I26">
        <v>14.308299</v>
      </c>
      <c r="J26">
        <v>4335</v>
      </c>
      <c r="K26">
        <v>2384.7302</v>
      </c>
      <c r="L26">
        <v>8.4</v>
      </c>
      <c r="M26">
        <v>5.3993440000000001</v>
      </c>
      <c r="N26">
        <v>7.86</v>
      </c>
      <c r="O26">
        <v>3.23</v>
      </c>
      <c r="P26">
        <v>1.43</v>
      </c>
      <c r="Q26">
        <v>7230</v>
      </c>
      <c r="R26">
        <v>5.1849999999999996</v>
      </c>
      <c r="S26">
        <v>8.85</v>
      </c>
      <c r="T26">
        <v>9.5500000000000007</v>
      </c>
      <c r="U26">
        <v>8.35</v>
      </c>
      <c r="V26">
        <v>5.54</v>
      </c>
      <c r="W26">
        <v>9.2799999999999994</v>
      </c>
      <c r="X26">
        <v>18.12</v>
      </c>
      <c r="Y26">
        <v>26.07</v>
      </c>
      <c r="Z26">
        <v>9</v>
      </c>
      <c r="AA26">
        <v>576.33270000000005</v>
      </c>
      <c r="AB26">
        <v>859.66579999999999</v>
      </c>
      <c r="AC26">
        <v>146.11080999999999</v>
      </c>
    </row>
    <row r="27" spans="1:29" x14ac:dyDescent="0.3">
      <c r="A27" s="9">
        <v>45898</v>
      </c>
      <c r="B27">
        <v>3705</v>
      </c>
      <c r="C27">
        <v>8142</v>
      </c>
      <c r="D27">
        <v>38.5</v>
      </c>
      <c r="E27">
        <v>2.3461547</v>
      </c>
      <c r="F27" t="e">
        <v>#N/A</v>
      </c>
      <c r="G27">
        <v>33.634456999999998</v>
      </c>
      <c r="H27">
        <v>8.51</v>
      </c>
      <c r="I27">
        <v>15.217389000000001</v>
      </c>
      <c r="J27">
        <v>4640</v>
      </c>
      <c r="K27">
        <v>2535.2458000000001</v>
      </c>
      <c r="L27">
        <v>9.65</v>
      </c>
      <c r="M27">
        <v>5.7985139999999999</v>
      </c>
      <c r="N27">
        <v>8.44</v>
      </c>
      <c r="O27">
        <v>3.31</v>
      </c>
      <c r="P27">
        <v>1.56</v>
      </c>
      <c r="Q27">
        <v>7190</v>
      </c>
      <c r="R27">
        <v>4.9550000000000001</v>
      </c>
      <c r="S27">
        <v>9.02</v>
      </c>
      <c r="T27">
        <v>9.36</v>
      </c>
      <c r="U27">
        <v>8</v>
      </c>
      <c r="V27">
        <v>5.91</v>
      </c>
      <c r="W27">
        <v>10.24</v>
      </c>
      <c r="X27">
        <v>19</v>
      </c>
      <c r="Y27">
        <v>29.52</v>
      </c>
      <c r="Z27">
        <v>9.06</v>
      </c>
      <c r="AA27">
        <v>622.33270000000005</v>
      </c>
      <c r="AB27">
        <v>929.33234000000004</v>
      </c>
      <c r="AC27">
        <v>166.333</v>
      </c>
    </row>
    <row r="28" spans="1:29" x14ac:dyDescent="0.3">
      <c r="A28" s="9">
        <v>45891</v>
      </c>
      <c r="B28">
        <v>3820</v>
      </c>
      <c r="C28">
        <v>7958</v>
      </c>
      <c r="D28">
        <v>41.55</v>
      </c>
      <c r="E28">
        <v>2.4076930999999999</v>
      </c>
      <c r="F28" t="e">
        <v>#N/A</v>
      </c>
      <c r="G28">
        <v>32.889780000000002</v>
      </c>
      <c r="H28">
        <v>8.6999999999999993</v>
      </c>
      <c r="I28">
        <v>15.01976</v>
      </c>
      <c r="J28">
        <v>4930</v>
      </c>
      <c r="K28">
        <v>2676.3539999999998</v>
      </c>
      <c r="L28">
        <v>10.56</v>
      </c>
      <c r="M28">
        <v>6.3573550000000001</v>
      </c>
      <c r="N28">
        <v>9.8699999999999992</v>
      </c>
      <c r="O28">
        <v>3.64</v>
      </c>
      <c r="P28">
        <v>1.9</v>
      </c>
      <c r="Q28">
        <v>7200</v>
      </c>
      <c r="R28">
        <v>4.9050000000000002</v>
      </c>
      <c r="S28">
        <v>9.1</v>
      </c>
      <c r="T28">
        <v>9.85</v>
      </c>
      <c r="U28">
        <v>8.0299999999999994</v>
      </c>
      <c r="V28">
        <v>6.04</v>
      </c>
      <c r="W28">
        <v>10.24</v>
      </c>
      <c r="X28">
        <v>19.04</v>
      </c>
      <c r="Y28">
        <v>30.38</v>
      </c>
      <c r="Z28">
        <v>8.9297000000000004</v>
      </c>
      <c r="AA28">
        <v>603.66600000000005</v>
      </c>
      <c r="AB28">
        <v>882.66579999999999</v>
      </c>
      <c r="AC28">
        <v>157.22190000000001</v>
      </c>
    </row>
    <row r="29" spans="1:29" x14ac:dyDescent="0.3">
      <c r="A29" s="9">
        <v>45884</v>
      </c>
      <c r="B29">
        <v>3630</v>
      </c>
      <c r="C29">
        <v>7700</v>
      </c>
      <c r="D29">
        <v>38</v>
      </c>
      <c r="E29">
        <v>2.307693</v>
      </c>
      <c r="F29" t="e">
        <v>#N/A</v>
      </c>
      <c r="G29">
        <v>33.882680000000001</v>
      </c>
      <c r="H29">
        <v>9.09</v>
      </c>
      <c r="I29">
        <v>15.01976</v>
      </c>
      <c r="J29">
        <v>4810</v>
      </c>
      <c r="K29">
        <v>2605.7997999999998</v>
      </c>
      <c r="L29">
        <v>10.65</v>
      </c>
      <c r="M29">
        <v>6.4870973000000003</v>
      </c>
      <c r="N29">
        <v>10.91</v>
      </c>
      <c r="O29">
        <v>3.68</v>
      </c>
      <c r="P29">
        <v>2.0299999999999998</v>
      </c>
      <c r="Q29">
        <v>7050</v>
      </c>
      <c r="R29">
        <v>5.07</v>
      </c>
      <c r="S29">
        <v>9.6</v>
      </c>
      <c r="T29">
        <v>10.32</v>
      </c>
      <c r="U29">
        <v>8.0399999999999991</v>
      </c>
      <c r="V29">
        <v>5.98</v>
      </c>
      <c r="W29">
        <v>11.04</v>
      </c>
      <c r="X29">
        <v>19.46</v>
      </c>
      <c r="Y29">
        <v>29.51</v>
      </c>
      <c r="Z29">
        <v>9.0500000000000007</v>
      </c>
      <c r="AA29">
        <v>597.99940000000004</v>
      </c>
      <c r="AB29">
        <v>865.66579999999999</v>
      </c>
      <c r="AC29">
        <v>149.44412</v>
      </c>
    </row>
    <row r="30" spans="1:29" x14ac:dyDescent="0.3">
      <c r="A30" s="9">
        <v>45877</v>
      </c>
      <c r="B30">
        <v>3540</v>
      </c>
      <c r="C30">
        <v>7596</v>
      </c>
      <c r="D30">
        <v>35.9</v>
      </c>
      <c r="E30">
        <v>2.4153855000000002</v>
      </c>
      <c r="F30" t="e">
        <v>#N/A</v>
      </c>
      <c r="G30">
        <v>34.751465000000003</v>
      </c>
      <c r="H30">
        <v>8.94</v>
      </c>
      <c r="I30">
        <v>17.312249999999999</v>
      </c>
      <c r="J30">
        <v>5010</v>
      </c>
      <c r="K30">
        <v>2568.1711</v>
      </c>
      <c r="L30">
        <v>10.65</v>
      </c>
      <c r="M30">
        <v>6.6767200000000004</v>
      </c>
      <c r="N30">
        <v>10.41</v>
      </c>
      <c r="O30">
        <v>3.72</v>
      </c>
      <c r="P30">
        <v>2.2599999999999998</v>
      </c>
      <c r="Q30">
        <v>6870</v>
      </c>
      <c r="R30">
        <v>4.78</v>
      </c>
      <c r="S30">
        <v>9.3800000000000008</v>
      </c>
      <c r="T30">
        <v>10.26</v>
      </c>
      <c r="U30">
        <v>7.78</v>
      </c>
      <c r="V30">
        <v>5.84</v>
      </c>
      <c r="W30">
        <v>10.08</v>
      </c>
      <c r="X30">
        <v>17.579999999999998</v>
      </c>
      <c r="Y30">
        <v>27.84</v>
      </c>
      <c r="Z30">
        <v>8.6</v>
      </c>
      <c r="AA30">
        <v>619.66600000000005</v>
      </c>
      <c r="AB30">
        <v>906.33240000000001</v>
      </c>
      <c r="AC30">
        <v>155.66633999999999</v>
      </c>
    </row>
    <row r="31" spans="1:29" x14ac:dyDescent="0.3">
      <c r="A31" s="9">
        <v>45870</v>
      </c>
      <c r="B31">
        <v>3440</v>
      </c>
      <c r="C31">
        <v>7790</v>
      </c>
      <c r="D31">
        <v>38.1</v>
      </c>
      <c r="E31">
        <v>2.2923086000000001</v>
      </c>
      <c r="F31" t="e">
        <v>#N/A</v>
      </c>
      <c r="G31">
        <v>33.262115000000001</v>
      </c>
      <c r="H31">
        <v>8.48</v>
      </c>
      <c r="I31">
        <v>17.2332</v>
      </c>
      <c r="J31">
        <v>4725</v>
      </c>
      <c r="K31">
        <v>2431.7664</v>
      </c>
      <c r="L31">
        <v>10.4</v>
      </c>
      <c r="M31">
        <v>6.4571569999999996</v>
      </c>
      <c r="N31">
        <v>9.98</v>
      </c>
      <c r="O31">
        <v>3.66</v>
      </c>
      <c r="P31">
        <v>2.1800000000000002</v>
      </c>
      <c r="Q31">
        <v>6790</v>
      </c>
      <c r="R31">
        <v>4.835</v>
      </c>
      <c r="S31">
        <v>9.75</v>
      </c>
      <c r="T31">
        <v>10.6</v>
      </c>
      <c r="U31">
        <v>8.0500000000000007</v>
      </c>
      <c r="V31">
        <v>5.91</v>
      </c>
      <c r="W31">
        <v>10</v>
      </c>
      <c r="X31">
        <v>17.399999999999999</v>
      </c>
      <c r="Y31">
        <v>28.31</v>
      </c>
      <c r="Z31">
        <v>8.8249999999999993</v>
      </c>
      <c r="AA31">
        <v>568.66610000000003</v>
      </c>
      <c r="AB31">
        <v>853.33245999999997</v>
      </c>
      <c r="AC31">
        <v>142.66637</v>
      </c>
    </row>
    <row r="32" spans="1:29" x14ac:dyDescent="0.3">
      <c r="A32" s="9">
        <v>45863</v>
      </c>
      <c r="B32">
        <v>3110</v>
      </c>
      <c r="C32">
        <v>7332</v>
      </c>
      <c r="D32">
        <v>38.049999999999997</v>
      </c>
      <c r="E32">
        <v>2.1153852999999998</v>
      </c>
      <c r="F32" t="e">
        <v>#N/A</v>
      </c>
      <c r="G32">
        <v>33.138004000000002</v>
      </c>
      <c r="H32">
        <v>8.4499999999999993</v>
      </c>
      <c r="I32">
        <v>16.916993999999999</v>
      </c>
      <c r="J32">
        <v>4650</v>
      </c>
      <c r="K32">
        <v>2304.7687999999998</v>
      </c>
      <c r="L32">
        <v>9.01</v>
      </c>
      <c r="M32">
        <v>5.71868</v>
      </c>
      <c r="N32">
        <v>9.11</v>
      </c>
      <c r="O32">
        <v>3.26</v>
      </c>
      <c r="P32">
        <v>1.78</v>
      </c>
      <c r="Q32">
        <v>6960</v>
      </c>
      <c r="R32">
        <v>4.375</v>
      </c>
      <c r="S32">
        <v>8.75</v>
      </c>
      <c r="T32">
        <v>10.119999999999999</v>
      </c>
      <c r="U32">
        <v>7.27</v>
      </c>
      <c r="V32">
        <v>5.51</v>
      </c>
      <c r="W32">
        <v>8.8800000000000008</v>
      </c>
      <c r="X32">
        <v>15.99</v>
      </c>
      <c r="Y32">
        <v>25.31</v>
      </c>
      <c r="Z32">
        <v>8.4499999999999993</v>
      </c>
      <c r="AA32">
        <v>541.33276000000001</v>
      </c>
      <c r="AB32">
        <v>808.99914999999999</v>
      </c>
      <c r="AC32">
        <v>126.44418</v>
      </c>
    </row>
    <row r="33" spans="1:29" x14ac:dyDescent="0.3">
      <c r="A33" s="9">
        <v>45856</v>
      </c>
      <c r="B33">
        <v>3150</v>
      </c>
      <c r="C33">
        <v>7012</v>
      </c>
      <c r="D33">
        <v>49.2</v>
      </c>
      <c r="E33">
        <v>2.1076929999999998</v>
      </c>
      <c r="F33" t="e">
        <v>#N/A</v>
      </c>
      <c r="G33">
        <v>31.40043</v>
      </c>
      <c r="H33">
        <v>8.1</v>
      </c>
      <c r="I33">
        <v>15.454542</v>
      </c>
      <c r="J33">
        <v>4220</v>
      </c>
      <c r="K33">
        <v>2168.3643000000002</v>
      </c>
      <c r="L33">
        <v>9.2899999999999991</v>
      </c>
      <c r="M33">
        <v>5.4192429999999998</v>
      </c>
      <c r="N33">
        <v>8.1300000000000008</v>
      </c>
      <c r="O33">
        <v>3.06</v>
      </c>
      <c r="P33">
        <v>1.76</v>
      </c>
      <c r="Q33">
        <v>6970</v>
      </c>
      <c r="R33">
        <v>4.2649999999999997</v>
      </c>
      <c r="S33">
        <v>8.82</v>
      </c>
      <c r="T33">
        <v>9.48</v>
      </c>
      <c r="U33">
        <v>7.17</v>
      </c>
      <c r="V33">
        <v>5.28</v>
      </c>
      <c r="W33">
        <v>8.16</v>
      </c>
      <c r="X33">
        <v>15.88</v>
      </c>
      <c r="Y33">
        <v>23.5</v>
      </c>
      <c r="Z33">
        <v>7.7</v>
      </c>
      <c r="AA33">
        <v>522.99945000000002</v>
      </c>
      <c r="AB33">
        <v>804.33249999999998</v>
      </c>
      <c r="AC33">
        <v>118.555305</v>
      </c>
    </row>
    <row r="34" spans="1:29" x14ac:dyDescent="0.3">
      <c r="A34" s="9">
        <v>45849</v>
      </c>
      <c r="B34">
        <v>3235</v>
      </c>
      <c r="C34">
        <v>7308</v>
      </c>
      <c r="D34">
        <v>51.6</v>
      </c>
      <c r="E34">
        <v>2.0692314999999999</v>
      </c>
      <c r="F34" t="e">
        <v>#N/A</v>
      </c>
      <c r="G34">
        <v>32.020992</v>
      </c>
      <c r="H34">
        <v>7.98</v>
      </c>
      <c r="I34">
        <v>14.703555</v>
      </c>
      <c r="J34">
        <v>4455</v>
      </c>
      <c r="K34">
        <v>2102.5137</v>
      </c>
      <c r="L34">
        <v>9.8699999999999992</v>
      </c>
      <c r="M34">
        <v>5.5091457000000004</v>
      </c>
      <c r="N34">
        <v>8.06</v>
      </c>
      <c r="O34">
        <v>3.17</v>
      </c>
      <c r="P34">
        <v>1.83</v>
      </c>
      <c r="Q34">
        <v>6830</v>
      </c>
      <c r="R34">
        <v>4.29</v>
      </c>
      <c r="S34">
        <v>9.3699999999999992</v>
      </c>
      <c r="T34">
        <v>9.24</v>
      </c>
      <c r="U34">
        <v>7.01</v>
      </c>
      <c r="V34">
        <v>5.32</v>
      </c>
      <c r="W34">
        <v>8.32</v>
      </c>
      <c r="X34">
        <v>16.03</v>
      </c>
      <c r="Y34">
        <v>23.87</v>
      </c>
      <c r="Z34">
        <v>7.1</v>
      </c>
      <c r="AA34">
        <v>535.99945000000002</v>
      </c>
      <c r="AB34">
        <v>836.66579999999999</v>
      </c>
      <c r="AC34">
        <v>121.333084</v>
      </c>
    </row>
    <row r="35" spans="1:29" x14ac:dyDescent="0.3">
      <c r="A35" s="9">
        <v>45842</v>
      </c>
      <c r="B35">
        <v>3315</v>
      </c>
      <c r="C35">
        <v>7298</v>
      </c>
      <c r="D35">
        <v>55.6</v>
      </c>
      <c r="E35">
        <v>2.1615389999999999</v>
      </c>
      <c r="F35" t="e">
        <v>#N/A</v>
      </c>
      <c r="G35">
        <v>31.896881</v>
      </c>
      <c r="H35">
        <v>7.96</v>
      </c>
      <c r="I35">
        <v>15.01976</v>
      </c>
      <c r="J35">
        <v>4500</v>
      </c>
      <c r="K35">
        <v>2078.9956000000002</v>
      </c>
      <c r="L35">
        <v>9.67</v>
      </c>
      <c r="M35">
        <v>5.6487645999999998</v>
      </c>
      <c r="N35">
        <v>8.5500000000000007</v>
      </c>
      <c r="O35">
        <v>3.28</v>
      </c>
      <c r="P35">
        <v>1.76</v>
      </c>
      <c r="Q35">
        <v>6750</v>
      </c>
      <c r="R35">
        <v>4.9400000000000004</v>
      </c>
      <c r="S35">
        <v>9.66</v>
      </c>
      <c r="T35">
        <v>9.4</v>
      </c>
      <c r="U35">
        <v>7.92</v>
      </c>
      <c r="V35">
        <v>5.49</v>
      </c>
      <c r="W35">
        <v>8.56</v>
      </c>
      <c r="X35">
        <v>16.62</v>
      </c>
      <c r="Y35">
        <v>24.6</v>
      </c>
      <c r="Z35">
        <v>8.6199999999999992</v>
      </c>
      <c r="AA35">
        <v>528.66614000000004</v>
      </c>
      <c r="AB35">
        <v>833.99914999999999</v>
      </c>
      <c r="AC35">
        <v>118.77753</v>
      </c>
    </row>
    <row r="36" spans="1:29" x14ac:dyDescent="0.3">
      <c r="A36" s="9">
        <v>45835</v>
      </c>
      <c r="B36">
        <v>3395</v>
      </c>
      <c r="C36">
        <v>7218</v>
      </c>
      <c r="D36">
        <v>63.4</v>
      </c>
      <c r="E36">
        <v>2.1538466999999999</v>
      </c>
      <c r="F36" t="e">
        <v>#N/A</v>
      </c>
      <c r="G36">
        <v>32.641556000000001</v>
      </c>
      <c r="H36">
        <v>8.0299999999999994</v>
      </c>
      <c r="I36">
        <v>15.612647000000001</v>
      </c>
      <c r="J36">
        <v>4860</v>
      </c>
      <c r="K36">
        <v>2187.1786999999999</v>
      </c>
      <c r="L36">
        <v>10.47</v>
      </c>
      <c r="M36">
        <v>6.1876930000000003</v>
      </c>
      <c r="N36">
        <v>9.56</v>
      </c>
      <c r="O36">
        <v>3.37</v>
      </c>
      <c r="P36">
        <v>2.06</v>
      </c>
      <c r="Q36">
        <v>6950</v>
      </c>
      <c r="R36">
        <v>5.0199999999999996</v>
      </c>
      <c r="S36">
        <v>10.39</v>
      </c>
      <c r="T36">
        <v>9.39</v>
      </c>
      <c r="U36">
        <v>8.51</v>
      </c>
      <c r="V36">
        <v>5.62</v>
      </c>
      <c r="W36">
        <v>8.8800000000000008</v>
      </c>
      <c r="X36">
        <v>17.22</v>
      </c>
      <c r="Y36">
        <v>26.29</v>
      </c>
      <c r="Z36">
        <v>7.79</v>
      </c>
      <c r="AA36">
        <v>566.99940000000004</v>
      </c>
      <c r="AB36">
        <v>902.66570000000002</v>
      </c>
      <c r="AC36">
        <v>136.33304999999999</v>
      </c>
    </row>
    <row r="37" spans="1:29" x14ac:dyDescent="0.3">
      <c r="A37" s="9">
        <v>45828</v>
      </c>
      <c r="B37">
        <v>3550</v>
      </c>
      <c r="C37">
        <v>7610</v>
      </c>
      <c r="D37">
        <v>70</v>
      </c>
      <c r="E37">
        <v>2.2461544999999998</v>
      </c>
      <c r="F37" t="e">
        <v>#N/A</v>
      </c>
      <c r="G37">
        <v>33.013893000000003</v>
      </c>
      <c r="H37">
        <v>8.02</v>
      </c>
      <c r="I37">
        <v>15.138337</v>
      </c>
      <c r="J37">
        <v>4840</v>
      </c>
      <c r="K37">
        <v>2276.547</v>
      </c>
      <c r="L37">
        <v>10.69</v>
      </c>
      <c r="M37">
        <v>6.3773160000000004</v>
      </c>
      <c r="N37">
        <v>10.01</v>
      </c>
      <c r="O37">
        <v>3.42</v>
      </c>
      <c r="P37">
        <v>2.0499999999999998</v>
      </c>
      <c r="Q37">
        <v>6900</v>
      </c>
      <c r="R37">
        <v>5.6550000000000002</v>
      </c>
      <c r="S37">
        <v>10.65</v>
      </c>
      <c r="T37">
        <v>9.5299999999999994</v>
      </c>
      <c r="U37">
        <v>8.5</v>
      </c>
      <c r="V37">
        <v>5.73</v>
      </c>
      <c r="W37">
        <v>8.9600000000000009</v>
      </c>
      <c r="X37">
        <v>17.95</v>
      </c>
      <c r="Y37">
        <v>29.51</v>
      </c>
      <c r="Z37">
        <v>8.08</v>
      </c>
      <c r="AA37">
        <v>615.33270000000005</v>
      </c>
      <c r="AB37">
        <v>979.66565000000003</v>
      </c>
      <c r="AC37">
        <v>148.44414</v>
      </c>
    </row>
    <row r="38" spans="1:29" x14ac:dyDescent="0.3">
      <c r="A38" s="9">
        <v>45821</v>
      </c>
      <c r="B38">
        <v>3690</v>
      </c>
      <c r="C38">
        <v>8300</v>
      </c>
      <c r="D38">
        <v>64.7</v>
      </c>
      <c r="E38">
        <v>2.3846161000000001</v>
      </c>
      <c r="F38" t="e">
        <v>#N/A</v>
      </c>
      <c r="G38">
        <v>32.517440000000001</v>
      </c>
      <c r="H38">
        <v>7.9</v>
      </c>
      <c r="I38">
        <v>14.901184000000001</v>
      </c>
      <c r="J38">
        <v>4850</v>
      </c>
      <c r="K38">
        <v>2253.029</v>
      </c>
      <c r="L38">
        <v>11.27</v>
      </c>
      <c r="M38">
        <v>6.5469879999999998</v>
      </c>
      <c r="N38">
        <v>10.97</v>
      </c>
      <c r="O38">
        <v>3.46</v>
      </c>
      <c r="P38">
        <v>2.1800000000000002</v>
      </c>
      <c r="Q38">
        <v>7170</v>
      </c>
      <c r="R38">
        <v>5.68</v>
      </c>
      <c r="S38">
        <v>10.59</v>
      </c>
      <c r="T38">
        <v>9.81</v>
      </c>
      <c r="U38">
        <v>9.19</v>
      </c>
      <c r="V38">
        <v>6.07</v>
      </c>
      <c r="W38">
        <v>9.92</v>
      </c>
      <c r="X38">
        <v>19.010000000000002</v>
      </c>
      <c r="Y38">
        <v>31.93</v>
      </c>
      <c r="Z38">
        <v>8.6999999999999993</v>
      </c>
      <c r="AA38">
        <v>618.99929999999995</v>
      </c>
      <c r="AB38">
        <v>953.66565000000003</v>
      </c>
      <c r="AC38">
        <v>147.66637</v>
      </c>
    </row>
    <row r="39" spans="1:29" x14ac:dyDescent="0.3">
      <c r="A39" s="9">
        <v>45814</v>
      </c>
      <c r="B39">
        <v>3835</v>
      </c>
      <c r="C39">
        <v>7832</v>
      </c>
      <c r="D39">
        <v>65.900000000000006</v>
      </c>
      <c r="E39">
        <v>2.2538469999999999</v>
      </c>
      <c r="F39" t="e">
        <v>#N/A</v>
      </c>
      <c r="G39">
        <v>32.269219999999997</v>
      </c>
      <c r="H39">
        <v>7.8</v>
      </c>
      <c r="I39">
        <v>14.426875000000001</v>
      </c>
      <c r="J39">
        <v>4660</v>
      </c>
      <c r="K39">
        <v>2182.4749999999999</v>
      </c>
      <c r="L39">
        <v>10.210000000000001</v>
      </c>
      <c r="M39">
        <v>5.9083157000000002</v>
      </c>
      <c r="N39">
        <v>9.56</v>
      </c>
      <c r="O39">
        <v>3.31</v>
      </c>
      <c r="P39">
        <v>1.96</v>
      </c>
      <c r="Q39">
        <v>7120</v>
      </c>
      <c r="R39">
        <v>5.61</v>
      </c>
      <c r="S39">
        <v>10.88</v>
      </c>
      <c r="T39">
        <v>11.06</v>
      </c>
      <c r="U39">
        <v>9.01</v>
      </c>
      <c r="V39">
        <v>6.01</v>
      </c>
      <c r="W39">
        <v>10.16</v>
      </c>
      <c r="X39">
        <v>18.27</v>
      </c>
      <c r="Y39">
        <v>28.21</v>
      </c>
      <c r="Z39">
        <v>8.6750000000000007</v>
      </c>
      <c r="AA39">
        <v>613.99940000000004</v>
      </c>
      <c r="AB39">
        <v>923.33240000000001</v>
      </c>
      <c r="AC39">
        <v>139.33304000000001</v>
      </c>
    </row>
    <row r="40" spans="1:29" x14ac:dyDescent="0.3">
      <c r="A40" s="9">
        <v>45807</v>
      </c>
      <c r="B40">
        <v>3670</v>
      </c>
      <c r="C40">
        <v>7760</v>
      </c>
      <c r="D40">
        <v>63.6</v>
      </c>
      <c r="E40">
        <v>2.1615389999999999</v>
      </c>
      <c r="F40" t="e">
        <v>#N/A</v>
      </c>
      <c r="G40">
        <v>31.648655000000002</v>
      </c>
      <c r="H40">
        <v>7.68</v>
      </c>
      <c r="I40">
        <v>13.992094</v>
      </c>
      <c r="J40">
        <v>4540</v>
      </c>
      <c r="K40">
        <v>2064.8847999999998</v>
      </c>
      <c r="L40">
        <v>10.039999999999999</v>
      </c>
      <c r="M40">
        <v>5.7786154999999999</v>
      </c>
      <c r="N40">
        <v>9.36</v>
      </c>
      <c r="O40">
        <v>3.37</v>
      </c>
      <c r="P40">
        <v>1.78</v>
      </c>
      <c r="Q40">
        <v>7030</v>
      </c>
      <c r="R40">
        <v>5.9749999999999996</v>
      </c>
      <c r="S40">
        <v>10.7</v>
      </c>
      <c r="T40">
        <v>10.7</v>
      </c>
      <c r="U40">
        <v>9.1199999999999992</v>
      </c>
      <c r="V40">
        <v>6.03</v>
      </c>
      <c r="W40">
        <v>10.32</v>
      </c>
      <c r="X40">
        <v>19.14</v>
      </c>
      <c r="Y40">
        <v>29.5</v>
      </c>
      <c r="Z40">
        <v>8.375</v>
      </c>
      <c r="AA40">
        <v>607.66600000000005</v>
      </c>
      <c r="AB40">
        <v>913.33240000000001</v>
      </c>
      <c r="AC40">
        <v>142.8886</v>
      </c>
    </row>
    <row r="41" spans="1:29" x14ac:dyDescent="0.3">
      <c r="A41" s="9">
        <v>45800</v>
      </c>
      <c r="B41">
        <v>3565</v>
      </c>
      <c r="C41">
        <v>7388</v>
      </c>
      <c r="D41">
        <v>60.6</v>
      </c>
      <c r="E41">
        <v>2.1153852999999998</v>
      </c>
      <c r="F41" t="e">
        <v>#N/A</v>
      </c>
      <c r="G41">
        <v>31.524543999999999</v>
      </c>
      <c r="H41">
        <v>7.48</v>
      </c>
      <c r="I41">
        <v>14.071144</v>
      </c>
      <c r="J41">
        <v>4385</v>
      </c>
      <c r="K41">
        <v>2036.6631</v>
      </c>
      <c r="L41">
        <v>10.47</v>
      </c>
      <c r="M41">
        <v>5.5789109999999997</v>
      </c>
      <c r="N41">
        <v>9.42</v>
      </c>
      <c r="O41">
        <v>3.44</v>
      </c>
      <c r="P41">
        <v>1.79</v>
      </c>
      <c r="Q41">
        <v>6970</v>
      </c>
      <c r="R41">
        <v>6.1849999999999996</v>
      </c>
      <c r="S41">
        <v>10.94</v>
      </c>
      <c r="T41">
        <v>10.48</v>
      </c>
      <c r="U41">
        <v>10.28</v>
      </c>
      <c r="V41">
        <v>6.88</v>
      </c>
      <c r="W41">
        <v>12.08</v>
      </c>
      <c r="X41">
        <v>20.75</v>
      </c>
      <c r="Y41">
        <v>33.65</v>
      </c>
      <c r="Z41">
        <v>8.6999999999999993</v>
      </c>
      <c r="AA41">
        <v>621.66600000000005</v>
      </c>
      <c r="AB41">
        <v>963.33234000000004</v>
      </c>
      <c r="AC41">
        <v>159.77744000000001</v>
      </c>
    </row>
    <row r="42" spans="1:29" x14ac:dyDescent="0.3">
      <c r="A42" s="9">
        <v>45793</v>
      </c>
      <c r="B42">
        <v>3425</v>
      </c>
      <c r="C42">
        <v>7916</v>
      </c>
      <c r="D42">
        <v>60.1</v>
      </c>
      <c r="E42">
        <v>2.2615392000000001</v>
      </c>
      <c r="F42" t="e">
        <v>#N/A</v>
      </c>
      <c r="G42">
        <v>32.641556000000001</v>
      </c>
      <c r="H42">
        <v>7.64</v>
      </c>
      <c r="I42">
        <v>14.150195</v>
      </c>
      <c r="J42">
        <v>4400</v>
      </c>
      <c r="K42">
        <v>2064.8847999999998</v>
      </c>
      <c r="L42">
        <v>11.09</v>
      </c>
      <c r="M42">
        <v>6.147818</v>
      </c>
      <c r="N42">
        <v>10.37</v>
      </c>
      <c r="O42">
        <v>3.44</v>
      </c>
      <c r="P42">
        <v>1.92</v>
      </c>
      <c r="Q42">
        <v>7090</v>
      </c>
      <c r="R42">
        <v>6.72</v>
      </c>
      <c r="S42">
        <v>11.49</v>
      </c>
      <c r="T42">
        <v>11.41</v>
      </c>
      <c r="U42">
        <v>11.43</v>
      </c>
      <c r="V42">
        <v>7.47</v>
      </c>
      <c r="W42">
        <v>15.76</v>
      </c>
      <c r="X42">
        <v>25.46</v>
      </c>
      <c r="Y42">
        <v>34.74</v>
      </c>
      <c r="Z42">
        <v>9.9143000000000008</v>
      </c>
      <c r="AA42">
        <v>642.99929999999995</v>
      </c>
      <c r="AB42">
        <v>1003.3323</v>
      </c>
      <c r="AC42">
        <v>167.99965</v>
      </c>
    </row>
    <row r="43" spans="1:29" x14ac:dyDescent="0.3">
      <c r="A43" s="9">
        <v>45786</v>
      </c>
      <c r="B43">
        <v>3475</v>
      </c>
      <c r="C43">
        <v>7972</v>
      </c>
      <c r="D43">
        <v>60</v>
      </c>
      <c r="E43">
        <v>2.2384624</v>
      </c>
      <c r="F43" t="e">
        <v>#N/A</v>
      </c>
      <c r="G43">
        <v>32.765667000000001</v>
      </c>
      <c r="H43">
        <v>7.69</v>
      </c>
      <c r="I43">
        <v>14.703555</v>
      </c>
      <c r="J43">
        <v>4605</v>
      </c>
      <c r="K43">
        <v>2130.7354</v>
      </c>
      <c r="L43">
        <v>11</v>
      </c>
      <c r="M43">
        <v>5.9881495999999999</v>
      </c>
      <c r="N43">
        <v>10.039999999999999</v>
      </c>
      <c r="O43">
        <v>3.61</v>
      </c>
      <c r="P43">
        <v>1.83</v>
      </c>
      <c r="Q43">
        <v>7450</v>
      </c>
      <c r="R43">
        <v>6.8949999999999996</v>
      </c>
      <c r="S43">
        <v>12.09</v>
      </c>
      <c r="T43">
        <v>11.37</v>
      </c>
      <c r="U43">
        <v>10.68</v>
      </c>
      <c r="V43">
        <v>7.19</v>
      </c>
      <c r="W43">
        <v>16.96</v>
      </c>
      <c r="X43">
        <v>25.36</v>
      </c>
      <c r="Y43">
        <v>34.869999999999997</v>
      </c>
      <c r="Z43">
        <v>9.7636000000000003</v>
      </c>
      <c r="AA43">
        <v>660.99929999999995</v>
      </c>
      <c r="AB43">
        <v>1021.6656</v>
      </c>
      <c r="AC43">
        <v>179.44406000000001</v>
      </c>
    </row>
    <row r="44" spans="1:29" x14ac:dyDescent="0.3">
      <c r="A44" s="9">
        <v>45779</v>
      </c>
      <c r="B44">
        <v>3385</v>
      </c>
      <c r="C44">
        <v>8552</v>
      </c>
      <c r="D44">
        <v>66</v>
      </c>
      <c r="E44">
        <v>2.2692315999999999</v>
      </c>
      <c r="F44" t="e">
        <v>#N/A</v>
      </c>
      <c r="G44">
        <v>31.028095</v>
      </c>
      <c r="H44">
        <v>7.59</v>
      </c>
      <c r="I44">
        <v>14.426875000000001</v>
      </c>
      <c r="J44">
        <v>4555</v>
      </c>
      <c r="K44">
        <v>2116.6244999999999</v>
      </c>
      <c r="L44">
        <v>11.15</v>
      </c>
      <c r="M44">
        <v>6.1078520000000003</v>
      </c>
      <c r="N44">
        <v>10.51</v>
      </c>
      <c r="O44">
        <v>3.83</v>
      </c>
      <c r="P44">
        <v>1.79</v>
      </c>
      <c r="Q44">
        <v>7250</v>
      </c>
      <c r="R44">
        <v>6.66</v>
      </c>
      <c r="S44">
        <v>12.41</v>
      </c>
      <c r="T44">
        <v>11.59</v>
      </c>
      <c r="U44">
        <v>10.31</v>
      </c>
      <c r="V44">
        <v>7.76</v>
      </c>
      <c r="W44">
        <v>17.52</v>
      </c>
      <c r="X44">
        <v>26.34</v>
      </c>
      <c r="Y44">
        <v>33.369999999999997</v>
      </c>
      <c r="Z44">
        <v>9.5688999999999993</v>
      </c>
      <c r="AA44">
        <v>661.99929999999995</v>
      </c>
      <c r="AB44">
        <v>977.33234000000004</v>
      </c>
      <c r="AC44">
        <v>181.88849999999999</v>
      </c>
    </row>
    <row r="45" spans="1:29" x14ac:dyDescent="0.3">
      <c r="A45" s="9">
        <v>45772</v>
      </c>
      <c r="B45">
        <v>3270</v>
      </c>
      <c r="C45">
        <v>8776</v>
      </c>
      <c r="D45">
        <v>66.599999999999994</v>
      </c>
      <c r="E45">
        <v>2.2923086000000001</v>
      </c>
      <c r="F45" t="e">
        <v>#N/A</v>
      </c>
      <c r="G45">
        <v>31.875</v>
      </c>
      <c r="H45">
        <v>7.54</v>
      </c>
      <c r="I45">
        <v>14.545451999999999</v>
      </c>
      <c r="J45">
        <v>4415</v>
      </c>
      <c r="K45">
        <v>2050.7739999999999</v>
      </c>
      <c r="L45">
        <v>11.05</v>
      </c>
      <c r="M45">
        <v>5.9581822999999998</v>
      </c>
      <c r="N45">
        <v>10.220000000000001</v>
      </c>
      <c r="O45">
        <v>3.82</v>
      </c>
      <c r="P45">
        <v>1.74</v>
      </c>
      <c r="Q45">
        <v>7200</v>
      </c>
      <c r="R45">
        <v>6.9850000000000003</v>
      </c>
      <c r="S45">
        <v>12.87</v>
      </c>
      <c r="T45">
        <v>11.07</v>
      </c>
      <c r="U45">
        <v>10.55</v>
      </c>
      <c r="V45">
        <v>7.79</v>
      </c>
      <c r="W45">
        <v>17.12</v>
      </c>
      <c r="X45">
        <v>25.29</v>
      </c>
      <c r="Y45">
        <v>33.64</v>
      </c>
      <c r="Z45">
        <v>9.48</v>
      </c>
      <c r="AA45">
        <v>673.99927000000002</v>
      </c>
      <c r="AB45">
        <v>1011.6656</v>
      </c>
      <c r="AC45">
        <v>198.88846000000001</v>
      </c>
    </row>
    <row r="46" spans="1:29" x14ac:dyDescent="0.3">
      <c r="A46" s="9">
        <v>45765</v>
      </c>
      <c r="B46">
        <v>3415</v>
      </c>
      <c r="C46">
        <v>9102</v>
      </c>
      <c r="D46">
        <v>67.599999999999994</v>
      </c>
      <c r="E46">
        <v>2.4307702</v>
      </c>
      <c r="F46" t="e">
        <v>#N/A</v>
      </c>
      <c r="G46">
        <v>31.125</v>
      </c>
      <c r="H46">
        <v>7.22</v>
      </c>
      <c r="I46">
        <v>14.229247000000001</v>
      </c>
      <c r="J46">
        <v>4595</v>
      </c>
      <c r="K46">
        <v>2097.81</v>
      </c>
      <c r="L46">
        <v>10.02</v>
      </c>
      <c r="M46">
        <v>5.4990769999999998</v>
      </c>
      <c r="N46">
        <v>11.43</v>
      </c>
      <c r="O46">
        <v>3.67</v>
      </c>
      <c r="P46">
        <v>1.71</v>
      </c>
      <c r="Q46">
        <v>7410</v>
      </c>
      <c r="R46">
        <v>6.4050000000000002</v>
      </c>
      <c r="S46">
        <v>12.43</v>
      </c>
      <c r="T46">
        <v>11.06</v>
      </c>
      <c r="U46">
        <v>9.66</v>
      </c>
      <c r="V46">
        <v>7.21</v>
      </c>
      <c r="W46">
        <v>15.12</v>
      </c>
      <c r="X46">
        <v>24.35</v>
      </c>
      <c r="Y46">
        <v>30.49</v>
      </c>
      <c r="Z46">
        <v>9.32</v>
      </c>
      <c r="AA46">
        <v>664.66594999999995</v>
      </c>
      <c r="AB46">
        <v>1008.3323</v>
      </c>
      <c r="AC46">
        <v>205.77735999999999</v>
      </c>
    </row>
    <row r="47" spans="1:29" x14ac:dyDescent="0.3">
      <c r="A47" s="9">
        <v>45758</v>
      </c>
      <c r="B47">
        <v>3410</v>
      </c>
      <c r="C47">
        <v>9570</v>
      </c>
      <c r="D47">
        <v>77.8</v>
      </c>
      <c r="E47">
        <v>2.2307700000000001</v>
      </c>
      <c r="F47" t="e">
        <v>#N/A</v>
      </c>
      <c r="G47">
        <v>31</v>
      </c>
      <c r="H47">
        <v>7.05</v>
      </c>
      <c r="I47">
        <v>14.387349</v>
      </c>
      <c r="J47">
        <v>4440</v>
      </c>
      <c r="K47">
        <v>2163.6606000000002</v>
      </c>
      <c r="L47">
        <v>10</v>
      </c>
      <c r="M47">
        <v>5.4192429999999998</v>
      </c>
      <c r="N47">
        <v>10.89</v>
      </c>
      <c r="O47">
        <v>3.58</v>
      </c>
      <c r="P47">
        <v>1.64</v>
      </c>
      <c r="Q47">
        <v>7330</v>
      </c>
      <c r="R47">
        <v>7.44</v>
      </c>
      <c r="S47">
        <v>12.92</v>
      </c>
      <c r="T47">
        <v>12.75</v>
      </c>
      <c r="U47">
        <v>10.55</v>
      </c>
      <c r="V47">
        <v>7.72</v>
      </c>
      <c r="W47">
        <v>19.12</v>
      </c>
      <c r="X47">
        <v>26.13</v>
      </c>
      <c r="Y47">
        <v>32.07</v>
      </c>
      <c r="Z47">
        <v>8.6882999999999999</v>
      </c>
      <c r="AA47">
        <v>621.99929999999995</v>
      </c>
      <c r="AB47">
        <v>951.99900000000002</v>
      </c>
      <c r="AC47">
        <v>194.77735999999999</v>
      </c>
    </row>
    <row r="48" spans="1:29" x14ac:dyDescent="0.3">
      <c r="A48" s="9">
        <v>45751</v>
      </c>
      <c r="B48">
        <v>3570</v>
      </c>
      <c r="C48">
        <v>9464</v>
      </c>
      <c r="D48">
        <v>74.3</v>
      </c>
      <c r="E48">
        <v>2.2000008000000002</v>
      </c>
      <c r="F48" t="e">
        <v>#N/A</v>
      </c>
      <c r="G48">
        <v>31</v>
      </c>
      <c r="H48">
        <v>7.29</v>
      </c>
      <c r="I48">
        <v>14.347823999999999</v>
      </c>
      <c r="J48">
        <v>4260</v>
      </c>
      <c r="K48">
        <v>2060.1812</v>
      </c>
      <c r="L48">
        <v>10.63</v>
      </c>
      <c r="M48">
        <v>5.6887125999999997</v>
      </c>
      <c r="N48">
        <v>10.33</v>
      </c>
      <c r="O48">
        <v>3.39</v>
      </c>
      <c r="P48">
        <v>1.67</v>
      </c>
      <c r="Q48">
        <v>7640</v>
      </c>
      <c r="R48">
        <v>9.0399999999999991</v>
      </c>
      <c r="S48">
        <v>14.28</v>
      </c>
      <c r="T48">
        <v>12.26</v>
      </c>
      <c r="U48">
        <v>11.08</v>
      </c>
      <c r="V48">
        <v>7.44</v>
      </c>
      <c r="W48">
        <v>19.920000000000002</v>
      </c>
      <c r="X48">
        <v>26.98</v>
      </c>
      <c r="Y48">
        <v>34</v>
      </c>
      <c r="Z48">
        <v>8.9450000000000003</v>
      </c>
      <c r="AA48">
        <v>626.33270000000005</v>
      </c>
      <c r="AB48">
        <v>956.66565000000003</v>
      </c>
      <c r="AC48">
        <v>201.88846000000001</v>
      </c>
    </row>
    <row r="49" spans="1:29" x14ac:dyDescent="0.3">
      <c r="A49" s="9">
        <v>45744</v>
      </c>
      <c r="B49">
        <v>3610</v>
      </c>
      <c r="C49">
        <v>9478</v>
      </c>
      <c r="D49">
        <v>73.2</v>
      </c>
      <c r="E49">
        <v>2.2230775</v>
      </c>
      <c r="F49" t="e">
        <v>#N/A</v>
      </c>
      <c r="G49">
        <v>30.625</v>
      </c>
      <c r="H49">
        <v>7.29</v>
      </c>
      <c r="I49">
        <v>14.545451999999999</v>
      </c>
      <c r="J49">
        <v>4200</v>
      </c>
      <c r="K49">
        <v>2055.4775</v>
      </c>
      <c r="L49">
        <v>10.99</v>
      </c>
      <c r="M49">
        <v>6.0181174000000004</v>
      </c>
      <c r="N49">
        <v>10.5</v>
      </c>
      <c r="O49">
        <v>3.48</v>
      </c>
      <c r="P49">
        <v>1.75</v>
      </c>
      <c r="Q49">
        <v>7540</v>
      </c>
      <c r="R49">
        <v>8.7100000000000009</v>
      </c>
      <c r="S49">
        <v>14.35</v>
      </c>
      <c r="T49">
        <v>12.04</v>
      </c>
      <c r="U49">
        <v>11.23</v>
      </c>
      <c r="V49">
        <v>7.34</v>
      </c>
      <c r="W49">
        <v>18.899999999999999</v>
      </c>
      <c r="X49">
        <v>26.48</v>
      </c>
      <c r="Y49">
        <v>34.39</v>
      </c>
      <c r="Z49">
        <v>9.9</v>
      </c>
      <c r="AA49">
        <v>655.66594999999995</v>
      </c>
      <c r="AB49">
        <v>983.99896000000001</v>
      </c>
      <c r="AC49">
        <v>211.88846000000001</v>
      </c>
    </row>
    <row r="50" spans="1:29" x14ac:dyDescent="0.3">
      <c r="A50" s="9">
        <v>45737</v>
      </c>
      <c r="B50">
        <v>3400</v>
      </c>
      <c r="C50">
        <v>10075</v>
      </c>
      <c r="D50">
        <v>73.099999999999994</v>
      </c>
      <c r="E50">
        <v>2.2000008000000002</v>
      </c>
      <c r="F50" t="e">
        <v>#N/A</v>
      </c>
      <c r="G50">
        <v>31</v>
      </c>
      <c r="H50">
        <v>7.26</v>
      </c>
      <c r="I50">
        <v>14.110670000000001</v>
      </c>
      <c r="J50">
        <v>4295</v>
      </c>
      <c r="K50">
        <v>2041.3667</v>
      </c>
      <c r="L50">
        <v>10.78</v>
      </c>
      <c r="M50">
        <v>5.5190229999999998</v>
      </c>
      <c r="N50">
        <v>10.199999999999999</v>
      </c>
      <c r="O50">
        <v>3.38</v>
      </c>
      <c r="P50">
        <v>1.7</v>
      </c>
      <c r="Q50">
        <v>7560</v>
      </c>
      <c r="R50">
        <v>8.59</v>
      </c>
      <c r="S50">
        <v>14.24</v>
      </c>
      <c r="T50">
        <v>12.36</v>
      </c>
      <c r="U50">
        <v>11.19</v>
      </c>
      <c r="V50">
        <v>7.36</v>
      </c>
      <c r="W50">
        <v>20.239999999999998</v>
      </c>
      <c r="X50">
        <v>27.73</v>
      </c>
      <c r="Y50">
        <v>35.270000000000003</v>
      </c>
      <c r="Z50">
        <v>9.4328000000000003</v>
      </c>
      <c r="AA50">
        <v>672.33263999999997</v>
      </c>
      <c r="AB50">
        <v>1011.6656</v>
      </c>
      <c r="AC50">
        <v>214.33288999999999</v>
      </c>
    </row>
    <row r="51" spans="1:29" x14ac:dyDescent="0.3">
      <c r="A51" s="9">
        <v>45730</v>
      </c>
      <c r="B51">
        <v>3370</v>
      </c>
      <c r="C51">
        <v>10060</v>
      </c>
      <c r="D51">
        <v>71.900000000000006</v>
      </c>
      <c r="E51">
        <v>2.3846161000000001</v>
      </c>
      <c r="F51" t="e">
        <v>#N/A</v>
      </c>
      <c r="G51">
        <v>31</v>
      </c>
      <c r="H51">
        <v>7.23</v>
      </c>
      <c r="I51">
        <v>14.703555</v>
      </c>
      <c r="J51">
        <v>4450</v>
      </c>
      <c r="K51">
        <v>2088.4027999999998</v>
      </c>
      <c r="L51">
        <v>10.93</v>
      </c>
      <c r="M51">
        <v>5.4092409999999997</v>
      </c>
      <c r="N51">
        <v>9.7100000000000009</v>
      </c>
      <c r="O51">
        <v>3.18</v>
      </c>
      <c r="P51">
        <v>1.72</v>
      </c>
      <c r="Q51">
        <v>7600</v>
      </c>
      <c r="R51">
        <v>8.0299999999999994</v>
      </c>
      <c r="S51">
        <v>14.78</v>
      </c>
      <c r="T51">
        <v>12.49</v>
      </c>
      <c r="U51">
        <v>11.31</v>
      </c>
      <c r="V51">
        <v>7.21</v>
      </c>
      <c r="W51">
        <v>21.86</v>
      </c>
      <c r="X51">
        <v>27.85</v>
      </c>
      <c r="Y51">
        <v>35.35</v>
      </c>
      <c r="Z51">
        <v>9.5299999999999994</v>
      </c>
      <c r="AA51">
        <v>660.66594999999995</v>
      </c>
      <c r="AB51">
        <v>984.99896000000001</v>
      </c>
      <c r="AC51">
        <v>209.22179</v>
      </c>
    </row>
    <row r="52" spans="1:29" x14ac:dyDescent="0.3">
      <c r="A52" s="9">
        <v>45723</v>
      </c>
      <c r="B52">
        <v>3445</v>
      </c>
      <c r="C52">
        <v>9560</v>
      </c>
      <c r="D52">
        <v>73.7</v>
      </c>
      <c r="E52">
        <v>2.4307702</v>
      </c>
      <c r="F52" t="e">
        <v>#N/A</v>
      </c>
      <c r="G52">
        <v>31.25</v>
      </c>
      <c r="H52">
        <v>7.2</v>
      </c>
      <c r="I52">
        <v>14.624504</v>
      </c>
      <c r="J52">
        <v>4645</v>
      </c>
      <c r="K52">
        <v>2187.1786999999999</v>
      </c>
      <c r="L52">
        <v>11.39</v>
      </c>
      <c r="M52">
        <v>5.6487645999999998</v>
      </c>
      <c r="N52">
        <v>10.72</v>
      </c>
      <c r="O52">
        <v>3.1</v>
      </c>
      <c r="P52">
        <v>1.7</v>
      </c>
      <c r="Q52">
        <v>7620</v>
      </c>
      <c r="R52">
        <v>8.5299999999999994</v>
      </c>
      <c r="S52">
        <v>14.78</v>
      </c>
      <c r="T52">
        <v>13.17</v>
      </c>
      <c r="U52">
        <v>12.01</v>
      </c>
      <c r="V52">
        <v>7.59</v>
      </c>
      <c r="W52">
        <v>22.97</v>
      </c>
      <c r="X52">
        <v>29.06</v>
      </c>
      <c r="Y52">
        <v>36.97</v>
      </c>
      <c r="Z52">
        <v>10.4</v>
      </c>
      <c r="AA52">
        <v>668.33263999999997</v>
      </c>
      <c r="AB52">
        <v>1009.99896</v>
      </c>
      <c r="AC52">
        <v>207.33288999999999</v>
      </c>
    </row>
    <row r="53" spans="1:29" x14ac:dyDescent="0.3">
      <c r="A53" s="9">
        <v>45716</v>
      </c>
      <c r="B53">
        <v>3420</v>
      </c>
      <c r="C53">
        <v>9732</v>
      </c>
      <c r="D53">
        <v>77</v>
      </c>
      <c r="E53">
        <v>2.4230778000000002</v>
      </c>
      <c r="F53" t="e">
        <v>#N/A</v>
      </c>
      <c r="G53">
        <v>32.5</v>
      </c>
      <c r="H53">
        <v>7.32</v>
      </c>
      <c r="I53">
        <v>14.703555</v>
      </c>
      <c r="J53">
        <v>4550</v>
      </c>
      <c r="K53">
        <v>2191.8823000000002</v>
      </c>
      <c r="L53">
        <v>11.64</v>
      </c>
      <c r="M53">
        <v>5.7884874000000002</v>
      </c>
      <c r="N53">
        <v>10.6</v>
      </c>
      <c r="O53">
        <v>3.08</v>
      </c>
      <c r="P53">
        <v>1.75</v>
      </c>
      <c r="Q53">
        <v>7800</v>
      </c>
      <c r="R53">
        <v>8.4849999999999994</v>
      </c>
      <c r="S53">
        <v>14.94</v>
      </c>
      <c r="T53">
        <v>13.18</v>
      </c>
      <c r="U53">
        <v>12.4</v>
      </c>
      <c r="V53">
        <v>7.92</v>
      </c>
      <c r="W53">
        <v>23.06</v>
      </c>
      <c r="X53">
        <v>28.96</v>
      </c>
      <c r="Y53">
        <v>37.85</v>
      </c>
      <c r="Z53">
        <v>9.8800000000000008</v>
      </c>
      <c r="AA53">
        <v>660.33263999999997</v>
      </c>
      <c r="AB53">
        <v>1008.3323</v>
      </c>
      <c r="AC53">
        <v>206.99956</v>
      </c>
    </row>
    <row r="54" spans="1:29" x14ac:dyDescent="0.3">
      <c r="A54" s="9">
        <v>45709</v>
      </c>
      <c r="B54">
        <v>3775</v>
      </c>
      <c r="C54">
        <v>9452</v>
      </c>
      <c r="D54">
        <v>74.7</v>
      </c>
      <c r="E54">
        <v>2.5153854</v>
      </c>
      <c r="F54" t="e">
        <v>#N/A</v>
      </c>
      <c r="G54">
        <v>32.875</v>
      </c>
      <c r="H54">
        <v>7.23</v>
      </c>
      <c r="I54">
        <v>14.545451999999999</v>
      </c>
      <c r="J54">
        <v>4500</v>
      </c>
      <c r="K54">
        <v>2135.4389999999999</v>
      </c>
      <c r="L54">
        <v>11.06</v>
      </c>
      <c r="M54">
        <v>5.4192429999999998</v>
      </c>
      <c r="N54">
        <v>10.3</v>
      </c>
      <c r="O54">
        <v>3.07</v>
      </c>
      <c r="P54">
        <v>1.63</v>
      </c>
      <c r="Q54">
        <v>7720</v>
      </c>
      <c r="R54">
        <v>9.3699999999999992</v>
      </c>
      <c r="S54">
        <v>15.34</v>
      </c>
      <c r="T54">
        <v>13.61</v>
      </c>
      <c r="U54">
        <v>13.18</v>
      </c>
      <c r="V54">
        <v>8.59</v>
      </c>
      <c r="W54">
        <v>24.89</v>
      </c>
      <c r="X54">
        <v>30</v>
      </c>
      <c r="Y54">
        <v>39.42</v>
      </c>
      <c r="Z54">
        <v>10.5</v>
      </c>
      <c r="AA54">
        <v>640.66600000000005</v>
      </c>
      <c r="AB54">
        <v>970.33234000000004</v>
      </c>
      <c r="AC54">
        <v>190.55516</v>
      </c>
    </row>
    <row r="55" spans="1:29" x14ac:dyDescent="0.3">
      <c r="A55" s="9">
        <v>45702</v>
      </c>
      <c r="B55">
        <v>3780</v>
      </c>
      <c r="C55">
        <v>9034</v>
      </c>
      <c r="D55">
        <v>76.2</v>
      </c>
      <c r="E55">
        <v>2.5076930000000002</v>
      </c>
      <c r="F55" t="e">
        <v>#N/A</v>
      </c>
      <c r="G55">
        <v>32.5</v>
      </c>
      <c r="H55">
        <v>7.25</v>
      </c>
      <c r="I55">
        <v>14.387349</v>
      </c>
      <c r="J55">
        <v>4345</v>
      </c>
      <c r="K55">
        <v>2036.6631</v>
      </c>
      <c r="L55">
        <v>11.02</v>
      </c>
      <c r="M55">
        <v>5.4391813000000004</v>
      </c>
      <c r="N55">
        <v>10.07</v>
      </c>
      <c r="O55">
        <v>2.98</v>
      </c>
      <c r="P55">
        <v>1.59</v>
      </c>
      <c r="Q55">
        <v>7640</v>
      </c>
      <c r="R55">
        <v>8.5350000000000001</v>
      </c>
      <c r="S55">
        <v>15.34</v>
      </c>
      <c r="T55">
        <v>13.73</v>
      </c>
      <c r="U55">
        <v>12.55</v>
      </c>
      <c r="V55">
        <v>7.89</v>
      </c>
      <c r="W55">
        <v>23.66</v>
      </c>
      <c r="X55">
        <v>29.08</v>
      </c>
      <c r="Y55">
        <v>35.21</v>
      </c>
      <c r="Z55">
        <v>10.35</v>
      </c>
      <c r="AA55">
        <v>641.33263999999997</v>
      </c>
      <c r="AB55">
        <v>982.33234000000004</v>
      </c>
      <c r="AC55">
        <v>184.77739</v>
      </c>
    </row>
    <row r="56" spans="1:29" x14ac:dyDescent="0.3">
      <c r="A56" s="9">
        <v>45695</v>
      </c>
      <c r="B56">
        <v>3745</v>
      </c>
      <c r="C56">
        <v>8642</v>
      </c>
      <c r="D56">
        <v>76.7</v>
      </c>
      <c r="E56">
        <v>2.4461545999999998</v>
      </c>
      <c r="F56" t="e">
        <v>#N/A</v>
      </c>
      <c r="G56">
        <v>32.375</v>
      </c>
      <c r="H56">
        <v>7.18</v>
      </c>
      <c r="I56">
        <v>14.347823999999999</v>
      </c>
      <c r="J56">
        <v>4310</v>
      </c>
      <c r="K56">
        <v>2078.9956000000002</v>
      </c>
      <c r="L56">
        <v>10.62</v>
      </c>
      <c r="M56">
        <v>5.2994595000000002</v>
      </c>
      <c r="N56">
        <v>9.74</v>
      </c>
      <c r="O56">
        <v>3.01</v>
      </c>
      <c r="P56">
        <v>1.6</v>
      </c>
      <c r="Q56">
        <v>7460</v>
      </c>
      <c r="R56">
        <v>8.3650000000000002</v>
      </c>
      <c r="S56">
        <v>14.83</v>
      </c>
      <c r="T56">
        <v>13.06</v>
      </c>
      <c r="U56">
        <v>12.38</v>
      </c>
      <c r="V56">
        <v>7.51</v>
      </c>
      <c r="W56">
        <v>22.36</v>
      </c>
      <c r="X56">
        <v>26.55</v>
      </c>
      <c r="Y56">
        <v>32.53</v>
      </c>
      <c r="Z56">
        <v>9.9250000000000007</v>
      </c>
      <c r="AA56">
        <v>613.99940000000004</v>
      </c>
      <c r="AB56">
        <v>939.99900000000002</v>
      </c>
      <c r="AC56">
        <v>175.66630000000001</v>
      </c>
    </row>
    <row r="57" spans="1:29" x14ac:dyDescent="0.3">
      <c r="A57" s="9">
        <v>45688</v>
      </c>
      <c r="B57">
        <v>3635</v>
      </c>
      <c r="C57">
        <v>8622</v>
      </c>
      <c r="D57">
        <v>76.3</v>
      </c>
      <c r="E57">
        <v>2.3615390999999999</v>
      </c>
      <c r="F57" t="e">
        <v>#N/A</v>
      </c>
      <c r="G57">
        <v>29.375</v>
      </c>
      <c r="H57">
        <v>6.77</v>
      </c>
      <c r="I57">
        <v>13.438732999999999</v>
      </c>
      <c r="J57">
        <v>4275</v>
      </c>
      <c r="K57">
        <v>2031.9594999999999</v>
      </c>
      <c r="L57">
        <v>9.23</v>
      </c>
      <c r="M57">
        <v>4.6209024999999997</v>
      </c>
      <c r="N57">
        <v>8.73</v>
      </c>
      <c r="O57">
        <v>2.82</v>
      </c>
      <c r="P57">
        <v>1.47</v>
      </c>
      <c r="Q57">
        <v>7400</v>
      </c>
      <c r="R57">
        <v>8.43</v>
      </c>
      <c r="S57">
        <v>13.94</v>
      </c>
      <c r="T57">
        <v>12.61</v>
      </c>
      <c r="U57">
        <v>10.81</v>
      </c>
      <c r="V57">
        <v>6.71</v>
      </c>
      <c r="W57">
        <v>19.3</v>
      </c>
      <c r="X57">
        <v>24.6</v>
      </c>
      <c r="Y57">
        <v>29.02</v>
      </c>
      <c r="Z57">
        <v>9.3117999999999999</v>
      </c>
      <c r="AA57">
        <v>591.33270000000005</v>
      </c>
      <c r="AB57">
        <v>896.33240000000001</v>
      </c>
      <c r="AC57">
        <v>164.88853</v>
      </c>
    </row>
    <row r="58" spans="1:29" x14ac:dyDescent="0.3">
      <c r="A58" s="9">
        <v>45681</v>
      </c>
      <c r="B58">
        <v>3475</v>
      </c>
      <c r="C58">
        <v>8092</v>
      </c>
      <c r="D58">
        <v>74.2</v>
      </c>
      <c r="E58">
        <v>2.1538466999999999</v>
      </c>
      <c r="F58" t="e">
        <v>#N/A</v>
      </c>
      <c r="G58">
        <v>29.125</v>
      </c>
      <c r="H58">
        <v>6.58</v>
      </c>
      <c r="I58">
        <v>13.517784000000001</v>
      </c>
      <c r="J58">
        <v>3980</v>
      </c>
      <c r="K58">
        <v>1937.8873000000001</v>
      </c>
      <c r="L58">
        <v>8.1</v>
      </c>
      <c r="M58">
        <v>4.4711074999999996</v>
      </c>
      <c r="N58">
        <v>7.87</v>
      </c>
      <c r="O58">
        <v>2.64</v>
      </c>
      <c r="P58">
        <v>1.3</v>
      </c>
      <c r="Q58">
        <v>6980</v>
      </c>
      <c r="R58">
        <v>8.1750000000000007</v>
      </c>
      <c r="S58">
        <v>13.12</v>
      </c>
      <c r="T58">
        <v>12.05</v>
      </c>
      <c r="U58">
        <v>8.76</v>
      </c>
      <c r="V58">
        <v>5.63</v>
      </c>
      <c r="W58">
        <v>16.29</v>
      </c>
      <c r="X58">
        <v>22.26</v>
      </c>
      <c r="Y58">
        <v>23.34</v>
      </c>
      <c r="Z58">
        <v>8.07</v>
      </c>
      <c r="AA58">
        <v>599.33270000000005</v>
      </c>
      <c r="AB58">
        <v>871.33240000000001</v>
      </c>
      <c r="AC58">
        <v>166.88853</v>
      </c>
    </row>
    <row r="59" spans="1:29" x14ac:dyDescent="0.3">
      <c r="A59" s="9">
        <v>45674</v>
      </c>
      <c r="B59">
        <v>3525</v>
      </c>
      <c r="C59">
        <v>8330</v>
      </c>
      <c r="D59">
        <v>78.099999999999994</v>
      </c>
      <c r="E59">
        <v>2.1538466999999999</v>
      </c>
      <c r="F59" t="e">
        <v>#N/A</v>
      </c>
      <c r="G59">
        <v>29.375</v>
      </c>
      <c r="H59">
        <v>6.58</v>
      </c>
      <c r="I59">
        <v>13.557309999999999</v>
      </c>
      <c r="J59">
        <v>4065</v>
      </c>
      <c r="K59">
        <v>2008.4413999999999</v>
      </c>
      <c r="L59">
        <v>8.0299999999999994</v>
      </c>
      <c r="M59">
        <v>4.2016429999999998</v>
      </c>
      <c r="N59">
        <v>7.69</v>
      </c>
      <c r="O59">
        <v>2.68</v>
      </c>
      <c r="P59">
        <v>1.27</v>
      </c>
      <c r="Q59">
        <v>7630</v>
      </c>
      <c r="R59">
        <v>6.97</v>
      </c>
      <c r="S59">
        <v>12.75</v>
      </c>
      <c r="T59">
        <v>11.92</v>
      </c>
      <c r="U59">
        <v>7.8</v>
      </c>
      <c r="V59">
        <v>5.35</v>
      </c>
      <c r="W59">
        <v>14.22</v>
      </c>
      <c r="X59">
        <v>20.47</v>
      </c>
      <c r="Y59">
        <v>21.73</v>
      </c>
      <c r="Z59">
        <v>7.88</v>
      </c>
      <c r="AA59">
        <v>579.66610000000003</v>
      </c>
      <c r="AB59">
        <v>837.99914999999999</v>
      </c>
      <c r="AC59">
        <v>159.22190000000001</v>
      </c>
    </row>
    <row r="60" spans="1:29" x14ac:dyDescent="0.3">
      <c r="A60" s="9">
        <v>45667</v>
      </c>
      <c r="B60">
        <v>3825</v>
      </c>
      <c r="C60">
        <v>8580</v>
      </c>
      <c r="D60">
        <v>76.2</v>
      </c>
      <c r="E60">
        <v>2.1384623</v>
      </c>
      <c r="F60" t="e">
        <v>#N/A</v>
      </c>
      <c r="G60">
        <v>29.375</v>
      </c>
      <c r="H60">
        <v>7.09</v>
      </c>
      <c r="I60">
        <v>13.873514999999999</v>
      </c>
      <c r="J60">
        <v>4040</v>
      </c>
      <c r="K60">
        <v>1895.5547999999999</v>
      </c>
      <c r="L60">
        <v>8.51</v>
      </c>
      <c r="M60">
        <v>4.5909348000000003</v>
      </c>
      <c r="N60">
        <v>7.8</v>
      </c>
      <c r="O60">
        <v>2.75</v>
      </c>
      <c r="P60">
        <v>1.37</v>
      </c>
      <c r="Q60">
        <v>7700</v>
      </c>
      <c r="R60">
        <v>6.9950000000000001</v>
      </c>
      <c r="S60">
        <v>12.84</v>
      </c>
      <c r="T60">
        <v>11.55</v>
      </c>
      <c r="U60">
        <v>8.18</v>
      </c>
      <c r="V60">
        <v>5.59</v>
      </c>
      <c r="W60">
        <v>14.84</v>
      </c>
      <c r="X60">
        <v>21.22</v>
      </c>
      <c r="Y60">
        <v>22.82</v>
      </c>
      <c r="Z60">
        <v>7.67</v>
      </c>
      <c r="AA60">
        <v>577.33270000000005</v>
      </c>
      <c r="AB60">
        <v>851.66579999999999</v>
      </c>
      <c r="AC60">
        <v>162.66632000000001</v>
      </c>
    </row>
    <row r="61" spans="1:29" x14ac:dyDescent="0.3">
      <c r="A61" s="9">
        <v>45660</v>
      </c>
      <c r="B61">
        <v>3500</v>
      </c>
      <c r="C61">
        <v>8106</v>
      </c>
      <c r="D61">
        <v>75.8</v>
      </c>
      <c r="E61">
        <v>2.1769238</v>
      </c>
      <c r="F61" t="e">
        <v>#N/A</v>
      </c>
      <c r="G61">
        <v>28.875</v>
      </c>
      <c r="H61">
        <v>6.93</v>
      </c>
      <c r="I61">
        <v>13.715413</v>
      </c>
      <c r="J61">
        <v>3825</v>
      </c>
      <c r="K61">
        <v>1735.6321</v>
      </c>
      <c r="L61">
        <v>9.0299999999999994</v>
      </c>
      <c r="M61">
        <v>4.511101</v>
      </c>
      <c r="N61">
        <v>7.86</v>
      </c>
      <c r="O61">
        <v>2.65</v>
      </c>
      <c r="P61">
        <v>1.41</v>
      </c>
      <c r="Q61">
        <v>7970</v>
      </c>
      <c r="R61">
        <v>6.5049999999999999</v>
      </c>
      <c r="S61">
        <v>12.17</v>
      </c>
      <c r="T61">
        <v>11.25</v>
      </c>
      <c r="U61">
        <v>8.1300000000000008</v>
      </c>
      <c r="V61">
        <v>5.51</v>
      </c>
      <c r="W61">
        <v>14.25</v>
      </c>
      <c r="X61">
        <v>20.25</v>
      </c>
      <c r="Y61">
        <v>19.87</v>
      </c>
      <c r="Z61">
        <v>8.0850000000000009</v>
      </c>
      <c r="AA61">
        <v>514.66614000000004</v>
      </c>
      <c r="AB61">
        <v>746.99919999999997</v>
      </c>
      <c r="AC61">
        <v>135.11081999999999</v>
      </c>
    </row>
    <row r="62" spans="1:29" x14ac:dyDescent="0.3">
      <c r="A62" s="9">
        <v>45653</v>
      </c>
      <c r="B62">
        <v>3255</v>
      </c>
      <c r="C62">
        <v>6770</v>
      </c>
      <c r="D62">
        <v>71.3</v>
      </c>
      <c r="E62">
        <v>2.0000005000000001</v>
      </c>
      <c r="F62" t="e">
        <v>#N/A</v>
      </c>
      <c r="G62">
        <v>29.25</v>
      </c>
      <c r="H62">
        <v>6.81</v>
      </c>
      <c r="I62">
        <v>13.359681999999999</v>
      </c>
      <c r="J62">
        <v>3735</v>
      </c>
      <c r="K62">
        <v>1589.8202000000001</v>
      </c>
      <c r="L62">
        <v>8.67</v>
      </c>
      <c r="M62">
        <v>4.0619215999999998</v>
      </c>
      <c r="N62">
        <v>7.68</v>
      </c>
      <c r="O62">
        <v>2.19</v>
      </c>
      <c r="P62">
        <v>1.32</v>
      </c>
      <c r="Q62">
        <v>7630</v>
      </c>
      <c r="R62">
        <v>6.09</v>
      </c>
      <c r="S62">
        <v>11.12</v>
      </c>
      <c r="T62">
        <v>9.2100000000000009</v>
      </c>
      <c r="U62">
        <v>8.19</v>
      </c>
      <c r="V62">
        <v>5.55</v>
      </c>
      <c r="W62">
        <v>16.55</v>
      </c>
      <c r="X62">
        <v>19.89</v>
      </c>
      <c r="Y62">
        <v>19.78</v>
      </c>
      <c r="Z62">
        <v>7.7350000000000003</v>
      </c>
      <c r="AA62">
        <v>506.33280000000002</v>
      </c>
      <c r="AB62">
        <v>698.66594999999995</v>
      </c>
      <c r="AC62">
        <v>128.33306999999999</v>
      </c>
    </row>
    <row r="63" spans="1:29" x14ac:dyDescent="0.3">
      <c r="A63" s="9">
        <v>45646</v>
      </c>
      <c r="B63">
        <v>3670</v>
      </c>
      <c r="C63">
        <v>6438</v>
      </c>
      <c r="D63">
        <v>68</v>
      </c>
      <c r="E63">
        <v>2.0000005000000001</v>
      </c>
      <c r="F63" t="e">
        <v>#N/A</v>
      </c>
      <c r="G63">
        <v>26.125</v>
      </c>
      <c r="H63">
        <v>5.68</v>
      </c>
      <c r="I63">
        <v>11.936757</v>
      </c>
      <c r="J63">
        <v>3865</v>
      </c>
      <c r="K63">
        <v>1594.5237999999999</v>
      </c>
      <c r="L63">
        <v>8.1300000000000008</v>
      </c>
      <c r="M63">
        <v>3.8024840000000002</v>
      </c>
      <c r="N63">
        <v>6.67</v>
      </c>
      <c r="O63">
        <v>2</v>
      </c>
      <c r="P63">
        <v>1.27</v>
      </c>
      <c r="Q63">
        <v>7950</v>
      </c>
      <c r="R63">
        <v>4.6349999999999998</v>
      </c>
      <c r="S63">
        <v>9.89</v>
      </c>
      <c r="T63">
        <v>7.61</v>
      </c>
      <c r="U63">
        <v>7.04</v>
      </c>
      <c r="V63">
        <v>5.15</v>
      </c>
      <c r="W63">
        <v>14.23</v>
      </c>
      <c r="X63">
        <v>19.47</v>
      </c>
      <c r="Y63">
        <v>16.399999999999999</v>
      </c>
      <c r="Z63">
        <v>7.665</v>
      </c>
      <c r="AA63">
        <v>392.33292</v>
      </c>
      <c r="AB63">
        <v>541.99945000000002</v>
      </c>
      <c r="AC63">
        <v>90.8887</v>
      </c>
    </row>
    <row r="64" spans="1:29" x14ac:dyDescent="0.3">
      <c r="A64" s="9">
        <v>45639</v>
      </c>
      <c r="B64">
        <v>3060</v>
      </c>
      <c r="C64">
        <v>6082</v>
      </c>
      <c r="D64">
        <v>66</v>
      </c>
      <c r="E64">
        <v>1.8307699</v>
      </c>
      <c r="F64" t="e">
        <v>#N/A</v>
      </c>
      <c r="G64">
        <v>24</v>
      </c>
      <c r="H64">
        <v>5.0199999999999996</v>
      </c>
      <c r="I64">
        <v>9.920947</v>
      </c>
      <c r="J64">
        <v>3200</v>
      </c>
      <c r="K64">
        <v>1171.1989000000001</v>
      </c>
      <c r="L64">
        <v>6.92</v>
      </c>
      <c r="M64">
        <v>3.3932511999999999</v>
      </c>
      <c r="N64">
        <v>5.7</v>
      </c>
      <c r="O64">
        <v>1.8</v>
      </c>
      <c r="P64">
        <v>1.05</v>
      </c>
      <c r="Q64">
        <v>6900</v>
      </c>
      <c r="R64">
        <v>3.6</v>
      </c>
      <c r="S64">
        <v>8.8800000000000008</v>
      </c>
      <c r="T64">
        <v>6.55</v>
      </c>
      <c r="U64">
        <v>9.35</v>
      </c>
      <c r="V64">
        <v>6.6</v>
      </c>
      <c r="W64">
        <v>19.63</v>
      </c>
      <c r="X64">
        <v>23.44</v>
      </c>
      <c r="Y64">
        <v>20.5</v>
      </c>
      <c r="Z64">
        <v>9.0871999999999993</v>
      </c>
      <c r="AA64">
        <v>421.99957000000001</v>
      </c>
      <c r="AB64">
        <v>516.66614000000004</v>
      </c>
      <c r="AC64">
        <v>82.444270000000003</v>
      </c>
    </row>
    <row r="65" spans="1:29" x14ac:dyDescent="0.3">
      <c r="A65" s="9">
        <v>45632</v>
      </c>
      <c r="B65">
        <v>2425</v>
      </c>
      <c r="C65">
        <v>5394</v>
      </c>
      <c r="D65">
        <v>67.3</v>
      </c>
      <c r="E65">
        <v>1.6461545</v>
      </c>
      <c r="F65" t="e">
        <v>#N/A</v>
      </c>
      <c r="G65">
        <v>23.5</v>
      </c>
      <c r="H65">
        <v>5.18</v>
      </c>
      <c r="I65">
        <v>10.988141000000001</v>
      </c>
      <c r="J65">
        <v>2680</v>
      </c>
      <c r="K65">
        <v>1204.1241</v>
      </c>
      <c r="L65">
        <v>5.61</v>
      </c>
      <c r="M65">
        <v>2.7844617</v>
      </c>
      <c r="N65">
        <v>4.8499999999999996</v>
      </c>
      <c r="O65">
        <v>1.3</v>
      </c>
      <c r="P65">
        <v>1.01</v>
      </c>
      <c r="Q65">
        <v>5940</v>
      </c>
      <c r="R65">
        <v>2.75</v>
      </c>
      <c r="S65">
        <v>7.25</v>
      </c>
      <c r="T65">
        <v>4.2300000000000004</v>
      </c>
      <c r="U65">
        <v>6.38</v>
      </c>
      <c r="V65">
        <v>5.53</v>
      </c>
      <c r="W65">
        <v>16.260000000000002</v>
      </c>
      <c r="X65">
        <v>17.43</v>
      </c>
      <c r="Y65">
        <v>14.09</v>
      </c>
      <c r="Z65">
        <v>8.1660000000000004</v>
      </c>
      <c r="AA65">
        <v>438.6662</v>
      </c>
      <c r="AB65">
        <v>599.99940000000004</v>
      </c>
      <c r="AC65">
        <v>98.666466</v>
      </c>
    </row>
    <row r="66" spans="1:29" x14ac:dyDescent="0.3">
      <c r="A66" s="9">
        <v>45625</v>
      </c>
      <c r="B66">
        <v>2665</v>
      </c>
      <c r="C66">
        <v>5800</v>
      </c>
      <c r="D66">
        <v>64.900000000000006</v>
      </c>
      <c r="E66">
        <v>1.6000004999999999</v>
      </c>
      <c r="F66" t="e">
        <v>#N/A</v>
      </c>
      <c r="G66">
        <v>22.75</v>
      </c>
      <c r="H66">
        <v>5.0599999999999996</v>
      </c>
      <c r="I66">
        <v>11.343871999999999</v>
      </c>
      <c r="J66">
        <v>2830</v>
      </c>
      <c r="K66">
        <v>1175.9024999999999</v>
      </c>
      <c r="L66">
        <v>5.52</v>
      </c>
      <c r="M66">
        <v>2.7046206000000002</v>
      </c>
      <c r="N66">
        <v>5.58</v>
      </c>
      <c r="O66">
        <v>1.4</v>
      </c>
      <c r="P66">
        <v>1.08</v>
      </c>
      <c r="Q66">
        <v>6370</v>
      </c>
      <c r="R66">
        <v>2.77</v>
      </c>
      <c r="S66">
        <v>8.15</v>
      </c>
      <c r="T66">
        <v>4.87</v>
      </c>
      <c r="U66">
        <v>9.39</v>
      </c>
      <c r="V66">
        <v>6.9</v>
      </c>
      <c r="W66">
        <v>21.96</v>
      </c>
      <c r="X66">
        <v>22.71</v>
      </c>
      <c r="Y66">
        <v>18.899999999999999</v>
      </c>
      <c r="Z66">
        <v>7.5949999999999998</v>
      </c>
      <c r="AA66">
        <v>420.99957000000001</v>
      </c>
      <c r="AB66">
        <v>550.66610000000003</v>
      </c>
      <c r="AC66">
        <v>85.777600000000007</v>
      </c>
    </row>
    <row r="67" spans="1:29" x14ac:dyDescent="0.3">
      <c r="A67" s="9">
        <v>45618</v>
      </c>
      <c r="B67">
        <v>3215</v>
      </c>
      <c r="C67">
        <v>5790</v>
      </c>
      <c r="D67">
        <v>61.8</v>
      </c>
      <c r="E67">
        <v>1.6230773999999999</v>
      </c>
      <c r="F67" t="e">
        <v>#N/A</v>
      </c>
      <c r="G67">
        <v>25.5</v>
      </c>
      <c r="H67">
        <v>5.5</v>
      </c>
      <c r="I67">
        <v>12.094860000000001</v>
      </c>
      <c r="J67">
        <v>2960</v>
      </c>
      <c r="K67">
        <v>1298.1963000000001</v>
      </c>
      <c r="L67">
        <v>4.9800000000000004</v>
      </c>
      <c r="M67">
        <v>2.9042237000000002</v>
      </c>
      <c r="N67">
        <v>5.25</v>
      </c>
      <c r="O67">
        <v>1.38</v>
      </c>
      <c r="P67">
        <v>1.01</v>
      </c>
      <c r="Q67">
        <v>6760</v>
      </c>
      <c r="R67">
        <v>2.9049999999999998</v>
      </c>
      <c r="S67">
        <v>7.35</v>
      </c>
      <c r="T67">
        <v>4.29</v>
      </c>
      <c r="U67">
        <v>7.89</v>
      </c>
      <c r="V67">
        <v>6.06</v>
      </c>
      <c r="W67">
        <v>16.690000000000001</v>
      </c>
      <c r="X67">
        <v>20.440000000000001</v>
      </c>
      <c r="Y67">
        <v>14.86</v>
      </c>
      <c r="Z67">
        <v>7.7</v>
      </c>
      <c r="AA67">
        <v>464.33285999999998</v>
      </c>
      <c r="AB67">
        <v>614.33270000000005</v>
      </c>
      <c r="AC67">
        <v>105.99978</v>
      </c>
    </row>
    <row r="68" spans="1:29" x14ac:dyDescent="0.3">
      <c r="A68" s="9">
        <v>45611</v>
      </c>
      <c r="B68">
        <v>3290</v>
      </c>
      <c r="C68">
        <v>6500</v>
      </c>
      <c r="D68">
        <v>72.599999999999994</v>
      </c>
      <c r="E68">
        <v>1.7076929000000001</v>
      </c>
      <c r="F68" t="e">
        <v>#N/A</v>
      </c>
      <c r="G68">
        <v>25.625</v>
      </c>
      <c r="H68">
        <v>5.41</v>
      </c>
      <c r="I68">
        <v>12.766795999999999</v>
      </c>
      <c r="J68">
        <v>3115</v>
      </c>
      <c r="K68">
        <v>1702.7067999999999</v>
      </c>
      <c r="L68">
        <v>5.68</v>
      </c>
      <c r="M68">
        <v>3.2834691999999999</v>
      </c>
      <c r="N68">
        <v>5.56</v>
      </c>
      <c r="O68">
        <v>1.41</v>
      </c>
      <c r="P68">
        <v>1.1499999999999999</v>
      </c>
      <c r="Q68">
        <v>7040</v>
      </c>
      <c r="R68">
        <v>2.9849999999999999</v>
      </c>
      <c r="S68">
        <v>8.1999999999999993</v>
      </c>
      <c r="T68">
        <v>5.52</v>
      </c>
      <c r="U68">
        <v>8.7799999999999994</v>
      </c>
      <c r="V68">
        <v>6.52</v>
      </c>
      <c r="W68">
        <v>19.059999999999999</v>
      </c>
      <c r="X68">
        <v>23.06</v>
      </c>
      <c r="Y68">
        <v>17.41</v>
      </c>
      <c r="Z68">
        <v>7.61</v>
      </c>
      <c r="AA68">
        <v>444.33285999999998</v>
      </c>
      <c r="AB68">
        <v>593.33270000000005</v>
      </c>
      <c r="AC68">
        <v>107.33311</v>
      </c>
    </row>
    <row r="69" spans="1:29" x14ac:dyDescent="0.3">
      <c r="A69" s="9">
        <v>45604</v>
      </c>
      <c r="B69">
        <v>3655</v>
      </c>
      <c r="C69">
        <v>6550</v>
      </c>
      <c r="D69">
        <v>79.7</v>
      </c>
      <c r="E69">
        <v>1.6307697000000001</v>
      </c>
      <c r="F69" t="e">
        <v>#N/A</v>
      </c>
      <c r="G69">
        <v>24.849997999999999</v>
      </c>
      <c r="H69">
        <v>5.43</v>
      </c>
      <c r="I69">
        <v>12.608693000000001</v>
      </c>
      <c r="J69">
        <v>3260</v>
      </c>
      <c r="K69">
        <v>1721.5211999999999</v>
      </c>
      <c r="L69">
        <v>6.13</v>
      </c>
      <c r="M69">
        <v>3.8124335</v>
      </c>
      <c r="N69">
        <v>6.46</v>
      </c>
      <c r="O69">
        <v>1.78</v>
      </c>
      <c r="P69">
        <v>1.1200000000000001</v>
      </c>
      <c r="Q69">
        <v>7120</v>
      </c>
      <c r="R69">
        <v>3.32</v>
      </c>
      <c r="S69">
        <v>9.09</v>
      </c>
      <c r="T69">
        <v>5.75</v>
      </c>
      <c r="U69">
        <v>9.6</v>
      </c>
      <c r="V69">
        <v>7.58</v>
      </c>
      <c r="W69">
        <v>19.940000000000001</v>
      </c>
      <c r="X69">
        <v>23.98</v>
      </c>
      <c r="Y69">
        <v>19.739999999999998</v>
      </c>
      <c r="Z69">
        <v>7</v>
      </c>
      <c r="AA69">
        <v>454.99950000000001</v>
      </c>
      <c r="AB69">
        <v>594.33270000000005</v>
      </c>
      <c r="AC69">
        <v>108.88866</v>
      </c>
    </row>
    <row r="70" spans="1:29" x14ac:dyDescent="0.3">
      <c r="A70" s="9">
        <v>45597</v>
      </c>
      <c r="B70">
        <v>3710</v>
      </c>
      <c r="C70">
        <v>6378</v>
      </c>
      <c r="D70">
        <v>119</v>
      </c>
      <c r="E70">
        <v>1.5846157999999999</v>
      </c>
      <c r="F70" t="e">
        <v>#N/A</v>
      </c>
      <c r="G70">
        <v>27.75</v>
      </c>
      <c r="H70">
        <v>6.77</v>
      </c>
      <c r="I70">
        <v>13.359681999999999</v>
      </c>
      <c r="J70">
        <v>3370</v>
      </c>
      <c r="K70">
        <v>1726.2248999999999</v>
      </c>
      <c r="L70">
        <v>5.29</v>
      </c>
      <c r="M70">
        <v>3.4730922999999998</v>
      </c>
      <c r="N70">
        <v>5.6</v>
      </c>
      <c r="O70">
        <v>1.69</v>
      </c>
      <c r="P70">
        <v>1.1000000000000001</v>
      </c>
      <c r="Q70">
        <v>6900</v>
      </c>
      <c r="R70">
        <v>3.39</v>
      </c>
      <c r="S70">
        <v>8.89</v>
      </c>
      <c r="T70">
        <v>6.34</v>
      </c>
      <c r="U70">
        <v>10.6</v>
      </c>
      <c r="V70">
        <v>7.72</v>
      </c>
      <c r="W70">
        <v>22.77</v>
      </c>
      <c r="X70">
        <v>26.12</v>
      </c>
      <c r="Y70">
        <v>25</v>
      </c>
      <c r="Z70">
        <v>9.6300000000000008</v>
      </c>
      <c r="AA70">
        <v>442.99954000000002</v>
      </c>
      <c r="AB70">
        <v>573.66610000000003</v>
      </c>
      <c r="AC70">
        <v>112.99975999999999</v>
      </c>
    </row>
    <row r="71" spans="1:29" x14ac:dyDescent="0.3">
      <c r="A71" s="9">
        <v>45590</v>
      </c>
      <c r="B71">
        <v>3610</v>
      </c>
      <c r="C71">
        <v>6600</v>
      </c>
      <c r="D71">
        <v>131.19999999999999</v>
      </c>
      <c r="E71">
        <v>1.7230775</v>
      </c>
      <c r="F71" t="e">
        <v>#N/A</v>
      </c>
      <c r="G71">
        <v>26.375</v>
      </c>
      <c r="H71">
        <v>6.37</v>
      </c>
      <c r="I71">
        <v>13.241104999999999</v>
      </c>
      <c r="J71">
        <v>3445</v>
      </c>
      <c r="K71">
        <v>1707.4104</v>
      </c>
      <c r="L71">
        <v>5.41</v>
      </c>
      <c r="M71">
        <v>3.5330143000000001</v>
      </c>
      <c r="N71">
        <v>5.48</v>
      </c>
      <c r="O71">
        <v>1.75</v>
      </c>
      <c r="P71">
        <v>1.01</v>
      </c>
      <c r="Q71">
        <v>7300</v>
      </c>
      <c r="R71">
        <v>3.5350000000000001</v>
      </c>
      <c r="S71">
        <v>9</v>
      </c>
      <c r="T71">
        <v>6.64</v>
      </c>
      <c r="U71">
        <v>9.0500000000000007</v>
      </c>
      <c r="V71">
        <v>7.1</v>
      </c>
      <c r="W71">
        <v>18.66</v>
      </c>
      <c r="X71">
        <v>23.93</v>
      </c>
      <c r="Y71">
        <v>20.69</v>
      </c>
      <c r="Z71">
        <v>8.23</v>
      </c>
      <c r="AA71">
        <v>456.6662</v>
      </c>
      <c r="AB71">
        <v>598.33270000000005</v>
      </c>
      <c r="AC71">
        <v>113.66643000000001</v>
      </c>
    </row>
    <row r="72" spans="1:29" x14ac:dyDescent="0.3">
      <c r="A72" s="9">
        <v>45583</v>
      </c>
      <c r="B72">
        <v>3645</v>
      </c>
      <c r="C72">
        <v>6340</v>
      </c>
      <c r="D72">
        <v>157</v>
      </c>
      <c r="E72">
        <v>1.6384622</v>
      </c>
      <c r="F72" t="e">
        <v>#N/A</v>
      </c>
      <c r="G72">
        <v>26.125</v>
      </c>
      <c r="H72">
        <v>6.32</v>
      </c>
      <c r="I72">
        <v>12.292488000000001</v>
      </c>
      <c r="J72">
        <v>3330</v>
      </c>
      <c r="K72">
        <v>1707.4104</v>
      </c>
      <c r="L72">
        <v>4.96</v>
      </c>
      <c r="M72">
        <v>3.2635445999999999</v>
      </c>
      <c r="N72">
        <v>5.39</v>
      </c>
      <c r="O72">
        <v>1.78</v>
      </c>
      <c r="P72">
        <v>0.98070000000000002</v>
      </c>
      <c r="Q72">
        <v>7430</v>
      </c>
      <c r="R72">
        <v>3.46</v>
      </c>
      <c r="S72">
        <v>8.5500000000000007</v>
      </c>
      <c r="T72">
        <v>6.16</v>
      </c>
      <c r="U72">
        <v>8.07</v>
      </c>
      <c r="V72">
        <v>6.72</v>
      </c>
      <c r="W72">
        <v>18.3</v>
      </c>
      <c r="X72">
        <v>21.82</v>
      </c>
      <c r="Y72">
        <v>19.43</v>
      </c>
      <c r="Z72">
        <v>7.96</v>
      </c>
      <c r="AA72">
        <v>463.66617000000002</v>
      </c>
      <c r="AB72">
        <v>581.99940000000004</v>
      </c>
      <c r="AC72">
        <v>112.88866</v>
      </c>
    </row>
    <row r="73" spans="1:29" x14ac:dyDescent="0.3">
      <c r="A73" s="9">
        <v>45576</v>
      </c>
      <c r="B73">
        <v>3735</v>
      </c>
      <c r="C73">
        <v>6436</v>
      </c>
      <c r="D73">
        <v>186.6</v>
      </c>
      <c r="E73">
        <v>1.5846157999999999</v>
      </c>
      <c r="F73" t="e">
        <v>#N/A</v>
      </c>
      <c r="G73">
        <v>26.875</v>
      </c>
      <c r="H73">
        <v>6.68</v>
      </c>
      <c r="I73">
        <v>12.608693000000001</v>
      </c>
      <c r="J73">
        <v>3340</v>
      </c>
      <c r="K73">
        <v>1669.7815000000001</v>
      </c>
      <c r="L73">
        <v>4.4000000000000004</v>
      </c>
      <c r="M73">
        <v>3.0639596</v>
      </c>
      <c r="N73">
        <v>4.58</v>
      </c>
      <c r="O73">
        <v>1.53</v>
      </c>
      <c r="P73">
        <v>0.8599</v>
      </c>
      <c r="Q73">
        <v>7560</v>
      </c>
      <c r="R73">
        <v>3.1349999999999998</v>
      </c>
      <c r="S73">
        <v>7.53</v>
      </c>
      <c r="T73">
        <v>5.47</v>
      </c>
      <c r="U73">
        <v>7.55</v>
      </c>
      <c r="V73">
        <v>6.32</v>
      </c>
      <c r="W73">
        <v>16.28</v>
      </c>
      <c r="X73">
        <v>21.3</v>
      </c>
      <c r="Y73">
        <v>16.79</v>
      </c>
      <c r="Z73">
        <v>7.55</v>
      </c>
      <c r="AA73">
        <v>483.66617000000002</v>
      </c>
      <c r="AB73">
        <v>596.33270000000005</v>
      </c>
      <c r="AC73">
        <v>121.99974</v>
      </c>
    </row>
    <row r="74" spans="1:29" x14ac:dyDescent="0.3">
      <c r="A74" s="9">
        <v>45569</v>
      </c>
      <c r="B74">
        <v>3995</v>
      </c>
      <c r="C74">
        <v>6900</v>
      </c>
      <c r="D74">
        <v>148.19999999999999</v>
      </c>
      <c r="E74">
        <v>1.5076928000000001</v>
      </c>
      <c r="F74" t="e">
        <v>#N/A</v>
      </c>
      <c r="G74">
        <v>27.25</v>
      </c>
      <c r="H74">
        <v>6.5</v>
      </c>
      <c r="I74">
        <v>12.885373</v>
      </c>
      <c r="J74">
        <v>3420</v>
      </c>
      <c r="K74">
        <v>1688.596</v>
      </c>
      <c r="L74">
        <v>5.09</v>
      </c>
      <c r="M74">
        <v>3.3932511999999999</v>
      </c>
      <c r="N74">
        <v>4.79</v>
      </c>
      <c r="O74">
        <v>1.43</v>
      </c>
      <c r="P74">
        <v>0.95230000000000004</v>
      </c>
      <c r="Q74">
        <v>7560</v>
      </c>
      <c r="R74">
        <v>3.28</v>
      </c>
      <c r="S74">
        <v>7.83</v>
      </c>
      <c r="T74">
        <v>5.55</v>
      </c>
      <c r="U74">
        <v>8.07</v>
      </c>
      <c r="V74">
        <v>5.69</v>
      </c>
      <c r="W74">
        <v>16.489999999999998</v>
      </c>
      <c r="X74">
        <v>21.53</v>
      </c>
      <c r="Y74">
        <v>16.98</v>
      </c>
      <c r="Z74">
        <v>7.55</v>
      </c>
      <c r="AA74">
        <v>517.66614000000004</v>
      </c>
      <c r="AB74">
        <v>636.33263999999997</v>
      </c>
      <c r="AC74">
        <v>123.44418</v>
      </c>
    </row>
    <row r="75" spans="1:29" x14ac:dyDescent="0.3">
      <c r="A75" s="9">
        <v>45562</v>
      </c>
      <c r="B75">
        <v>4725</v>
      </c>
      <c r="C75">
        <v>6550</v>
      </c>
      <c r="D75">
        <v>86.5</v>
      </c>
      <c r="E75">
        <v>1.5076928000000001</v>
      </c>
      <c r="F75" t="e">
        <v>#N/A</v>
      </c>
      <c r="G75">
        <v>28.5</v>
      </c>
      <c r="H75">
        <v>6.85</v>
      </c>
      <c r="I75">
        <v>13.201579000000001</v>
      </c>
      <c r="J75">
        <v>3575</v>
      </c>
      <c r="K75">
        <v>1627.4491</v>
      </c>
      <c r="L75">
        <v>5.09</v>
      </c>
      <c r="M75">
        <v>3.073909</v>
      </c>
      <c r="N75">
        <v>4.72</v>
      </c>
      <c r="O75">
        <v>1.36</v>
      </c>
      <c r="P75">
        <v>1.02</v>
      </c>
      <c r="Q75">
        <v>7720</v>
      </c>
      <c r="R75">
        <v>3.3849999999999998</v>
      </c>
      <c r="S75">
        <v>8.2200000000000006</v>
      </c>
      <c r="T75">
        <v>7</v>
      </c>
      <c r="U75">
        <v>9.1300000000000008</v>
      </c>
      <c r="V75">
        <v>5.94</v>
      </c>
      <c r="W75">
        <v>17.38</v>
      </c>
      <c r="X75">
        <v>22.68</v>
      </c>
      <c r="Y75">
        <v>17.739999999999998</v>
      </c>
      <c r="Z75">
        <v>8</v>
      </c>
      <c r="AA75">
        <v>544.33276000000001</v>
      </c>
      <c r="AB75">
        <v>686.99927000000002</v>
      </c>
      <c r="AC75">
        <v>129.11084</v>
      </c>
    </row>
    <row r="76" spans="1:29" x14ac:dyDescent="0.3">
      <c r="A76" s="9">
        <v>45555</v>
      </c>
      <c r="B76">
        <v>5410</v>
      </c>
      <c r="C76">
        <v>7514</v>
      </c>
      <c r="D76">
        <v>80.099999999999994</v>
      </c>
      <c r="E76">
        <v>1.7000006000000001</v>
      </c>
      <c r="F76" t="e">
        <v>#N/A</v>
      </c>
      <c r="G76">
        <v>27.125</v>
      </c>
      <c r="H76">
        <v>6.42</v>
      </c>
      <c r="I76">
        <v>12.964425</v>
      </c>
      <c r="J76">
        <v>3955</v>
      </c>
      <c r="K76">
        <v>1740.3357000000001</v>
      </c>
      <c r="L76">
        <v>6.73</v>
      </c>
      <c r="M76">
        <v>3.8523505</v>
      </c>
      <c r="N76">
        <v>6.94</v>
      </c>
      <c r="O76">
        <v>1.88</v>
      </c>
      <c r="P76">
        <v>1.32</v>
      </c>
      <c r="Q76">
        <v>7830</v>
      </c>
      <c r="R76">
        <v>3.47</v>
      </c>
      <c r="S76">
        <v>8.3000000000000007</v>
      </c>
      <c r="T76">
        <v>7.81</v>
      </c>
      <c r="U76">
        <v>8.16</v>
      </c>
      <c r="V76">
        <v>5.89</v>
      </c>
      <c r="W76">
        <v>16.95</v>
      </c>
      <c r="X76">
        <v>21.61</v>
      </c>
      <c r="Y76">
        <v>17.22</v>
      </c>
      <c r="Z76">
        <v>8.15</v>
      </c>
      <c r="AA76">
        <v>507.66613999999998</v>
      </c>
      <c r="AB76">
        <v>637.99929999999995</v>
      </c>
      <c r="AC76">
        <v>114.999756</v>
      </c>
    </row>
    <row r="77" spans="1:29" x14ac:dyDescent="0.3">
      <c r="A77" s="9">
        <v>45548</v>
      </c>
      <c r="B77">
        <v>5160</v>
      </c>
      <c r="C77">
        <v>7540</v>
      </c>
      <c r="D77">
        <v>65.2</v>
      </c>
      <c r="E77">
        <v>1.6153850000000001</v>
      </c>
      <c r="F77" t="e">
        <v>#N/A</v>
      </c>
      <c r="G77">
        <v>27</v>
      </c>
      <c r="H77">
        <v>6.59</v>
      </c>
      <c r="I77">
        <v>12.845848</v>
      </c>
      <c r="J77">
        <v>3625</v>
      </c>
      <c r="K77">
        <v>1665.0779</v>
      </c>
      <c r="L77">
        <v>6.45</v>
      </c>
      <c r="M77">
        <v>3.8024840000000002</v>
      </c>
      <c r="N77">
        <v>6.5</v>
      </c>
      <c r="O77">
        <v>1.68</v>
      </c>
      <c r="P77">
        <v>1.25</v>
      </c>
      <c r="Q77">
        <v>8250</v>
      </c>
      <c r="R77">
        <v>3.145</v>
      </c>
      <c r="S77">
        <v>8.0500000000000007</v>
      </c>
      <c r="T77">
        <v>6.9</v>
      </c>
      <c r="U77">
        <v>7.95</v>
      </c>
      <c r="V77">
        <v>5.91</v>
      </c>
      <c r="W77">
        <v>16.3</v>
      </c>
      <c r="X77">
        <v>19.89</v>
      </c>
      <c r="Y77">
        <v>16.399999999999999</v>
      </c>
      <c r="Z77">
        <v>7.6</v>
      </c>
      <c r="AA77">
        <v>526.33276000000001</v>
      </c>
      <c r="AB77">
        <v>671.99929999999995</v>
      </c>
      <c r="AC77">
        <v>124.88863000000001</v>
      </c>
    </row>
    <row r="78" spans="1:29" x14ac:dyDescent="0.3">
      <c r="A78" s="9">
        <v>45541</v>
      </c>
      <c r="B78">
        <v>4655</v>
      </c>
      <c r="C78">
        <v>8008</v>
      </c>
      <c r="D78">
        <v>53.8</v>
      </c>
      <c r="E78">
        <v>1.8076928999999999</v>
      </c>
      <c r="F78" t="e">
        <v>#N/A</v>
      </c>
      <c r="G78">
        <v>26.875</v>
      </c>
      <c r="H78">
        <v>6.54</v>
      </c>
      <c r="I78">
        <v>13.162053</v>
      </c>
      <c r="J78">
        <v>3855</v>
      </c>
      <c r="K78">
        <v>1740.3357000000001</v>
      </c>
      <c r="L78">
        <v>7.3150000000000004</v>
      </c>
      <c r="M78">
        <v>4.0619215999999998</v>
      </c>
      <c r="N78">
        <v>7.08</v>
      </c>
      <c r="O78">
        <v>1.78</v>
      </c>
      <c r="P78">
        <v>1.29</v>
      </c>
      <c r="Q78">
        <v>8230</v>
      </c>
      <c r="R78">
        <v>2.95</v>
      </c>
      <c r="S78">
        <v>7.87</v>
      </c>
      <c r="T78">
        <v>7.75</v>
      </c>
      <c r="U78">
        <v>7.6</v>
      </c>
      <c r="V78">
        <v>5.32</v>
      </c>
      <c r="W78">
        <v>14.24</v>
      </c>
      <c r="X78">
        <v>18.489999999999998</v>
      </c>
      <c r="Y78">
        <v>14.89</v>
      </c>
      <c r="Z78">
        <v>9.49</v>
      </c>
      <c r="AA78">
        <v>506.66613999999998</v>
      </c>
      <c r="AB78">
        <v>637.66600000000005</v>
      </c>
      <c r="AC78">
        <v>117.66642</v>
      </c>
    </row>
    <row r="79" spans="1:29" x14ac:dyDescent="0.3">
      <c r="A79" s="9">
        <v>45534</v>
      </c>
      <c r="B79">
        <v>4660</v>
      </c>
      <c r="C79">
        <v>7604</v>
      </c>
      <c r="D79">
        <v>51.4</v>
      </c>
      <c r="E79">
        <v>1.7230775</v>
      </c>
      <c r="F79" t="e">
        <v>#N/A</v>
      </c>
      <c r="G79">
        <v>27.875</v>
      </c>
      <c r="H79">
        <v>6.51</v>
      </c>
      <c r="I79">
        <v>13.359681999999999</v>
      </c>
      <c r="J79">
        <v>4000</v>
      </c>
      <c r="K79">
        <v>1650.9670000000001</v>
      </c>
      <c r="L79">
        <v>6.48</v>
      </c>
      <c r="M79">
        <v>3.7625670000000002</v>
      </c>
      <c r="N79">
        <v>6</v>
      </c>
      <c r="O79">
        <v>1.56</v>
      </c>
      <c r="P79">
        <v>1.17</v>
      </c>
      <c r="Q79">
        <v>7930</v>
      </c>
      <c r="R79">
        <v>2.91</v>
      </c>
      <c r="S79">
        <v>7.36</v>
      </c>
      <c r="T79">
        <v>6.25</v>
      </c>
      <c r="U79">
        <v>7</v>
      </c>
      <c r="V79">
        <v>5.04</v>
      </c>
      <c r="W79">
        <v>12.68</v>
      </c>
      <c r="X79">
        <v>16.05</v>
      </c>
      <c r="Y79">
        <v>12.85</v>
      </c>
      <c r="Z79">
        <v>6.77</v>
      </c>
      <c r="AA79">
        <v>497.33282000000003</v>
      </c>
      <c r="AB79">
        <v>631.66600000000005</v>
      </c>
      <c r="AC79">
        <v>116.22198</v>
      </c>
    </row>
    <row r="80" spans="1:29" x14ac:dyDescent="0.3">
      <c r="A80" s="9">
        <v>45527</v>
      </c>
      <c r="B80">
        <v>4925</v>
      </c>
      <c r="C80">
        <v>8000</v>
      </c>
      <c r="D80">
        <v>52.6</v>
      </c>
      <c r="E80">
        <v>1.9538468</v>
      </c>
      <c r="F80" t="e">
        <v>#N/A</v>
      </c>
      <c r="G80">
        <v>26.875</v>
      </c>
      <c r="H80">
        <v>6.4</v>
      </c>
      <c r="I80">
        <v>14.743080000000001</v>
      </c>
      <c r="J80">
        <v>3860</v>
      </c>
      <c r="K80">
        <v>1627.4491</v>
      </c>
      <c r="L80">
        <v>6.51</v>
      </c>
      <c r="M80">
        <v>3.9122857999999998</v>
      </c>
      <c r="N80">
        <v>6.31</v>
      </c>
      <c r="O80">
        <v>1.56</v>
      </c>
      <c r="P80">
        <v>1.21</v>
      </c>
      <c r="Q80">
        <v>8150</v>
      </c>
      <c r="R80">
        <v>3.37</v>
      </c>
      <c r="S80">
        <v>7.35</v>
      </c>
      <c r="T80">
        <v>6.67</v>
      </c>
      <c r="U80">
        <v>6.97</v>
      </c>
      <c r="V80">
        <v>5.0999999999999996</v>
      </c>
      <c r="W80">
        <v>12.51</v>
      </c>
      <c r="X80">
        <v>15.73</v>
      </c>
      <c r="Y80">
        <v>13.05</v>
      </c>
      <c r="Z80">
        <v>6.65</v>
      </c>
      <c r="AA80">
        <v>488.66617000000002</v>
      </c>
      <c r="AB80">
        <v>636.99929999999995</v>
      </c>
      <c r="AC80">
        <v>114.44421</v>
      </c>
    </row>
    <row r="81" spans="1:29" x14ac:dyDescent="0.3">
      <c r="A81" s="9">
        <v>45520</v>
      </c>
      <c r="B81">
        <v>4715</v>
      </c>
      <c r="C81">
        <v>8182</v>
      </c>
      <c r="D81">
        <v>53.1</v>
      </c>
      <c r="E81">
        <v>2.0461545000000001</v>
      </c>
      <c r="F81" t="e">
        <v>#N/A</v>
      </c>
      <c r="G81">
        <v>27.125</v>
      </c>
      <c r="H81">
        <v>6.31</v>
      </c>
      <c r="I81">
        <v>14.308299</v>
      </c>
      <c r="J81">
        <v>3715</v>
      </c>
      <c r="K81">
        <v>1571.0056999999999</v>
      </c>
      <c r="L81">
        <v>6.34</v>
      </c>
      <c r="M81">
        <v>3.8024840000000002</v>
      </c>
      <c r="N81">
        <v>6.11</v>
      </c>
      <c r="O81">
        <v>1.44</v>
      </c>
      <c r="P81">
        <v>1.27</v>
      </c>
      <c r="Q81">
        <v>8460</v>
      </c>
      <c r="R81">
        <v>3.25</v>
      </c>
      <c r="S81">
        <v>7.67</v>
      </c>
      <c r="T81">
        <v>6.82</v>
      </c>
      <c r="U81">
        <v>7.55</v>
      </c>
      <c r="V81">
        <v>5.44</v>
      </c>
      <c r="W81">
        <v>13.29</v>
      </c>
      <c r="X81">
        <v>16.52</v>
      </c>
      <c r="Y81">
        <v>13.3</v>
      </c>
      <c r="Z81">
        <v>7.37</v>
      </c>
      <c r="AA81">
        <v>495.66613999999998</v>
      </c>
      <c r="AB81">
        <v>640.66600000000005</v>
      </c>
      <c r="AC81">
        <v>116.555305</v>
      </c>
    </row>
    <row r="82" spans="1:29" x14ac:dyDescent="0.3">
      <c r="A82" s="9">
        <v>45513</v>
      </c>
      <c r="B82">
        <v>5020</v>
      </c>
      <c r="C82">
        <v>8434</v>
      </c>
      <c r="D82">
        <v>51.9</v>
      </c>
      <c r="E82">
        <v>2.0461545000000001</v>
      </c>
      <c r="F82" t="e">
        <v>#N/A</v>
      </c>
      <c r="G82">
        <v>26.75</v>
      </c>
      <c r="H82">
        <v>6.25</v>
      </c>
      <c r="I82">
        <v>13.83399</v>
      </c>
      <c r="J82">
        <v>3705</v>
      </c>
      <c r="K82">
        <v>1571.0056999999999</v>
      </c>
      <c r="L82">
        <v>6.42</v>
      </c>
      <c r="M82">
        <v>3.8922675</v>
      </c>
      <c r="N82">
        <v>5.98</v>
      </c>
      <c r="O82">
        <v>1.41</v>
      </c>
      <c r="P82">
        <v>1.2</v>
      </c>
      <c r="Q82">
        <v>8520</v>
      </c>
      <c r="R82">
        <v>3.78</v>
      </c>
      <c r="S82">
        <v>7.67</v>
      </c>
      <c r="T82">
        <v>6.95</v>
      </c>
      <c r="U82">
        <v>7.65</v>
      </c>
      <c r="V82">
        <v>5.38</v>
      </c>
      <c r="W82">
        <v>13.18</v>
      </c>
      <c r="X82">
        <v>16.52</v>
      </c>
      <c r="Y82">
        <v>12.93</v>
      </c>
      <c r="Z82">
        <v>7.24</v>
      </c>
      <c r="AA82">
        <v>476.66617000000002</v>
      </c>
      <c r="AB82">
        <v>635.99929999999995</v>
      </c>
      <c r="AC82">
        <v>114.44421</v>
      </c>
    </row>
    <row r="83" spans="1:29" x14ac:dyDescent="0.3">
      <c r="A83" s="9">
        <v>45506</v>
      </c>
      <c r="B83">
        <v>5170</v>
      </c>
      <c r="C83">
        <v>8390</v>
      </c>
      <c r="D83">
        <v>48.85</v>
      </c>
      <c r="E83">
        <v>2.0769237999999999</v>
      </c>
      <c r="F83" t="e">
        <v>#N/A</v>
      </c>
      <c r="G83">
        <v>27.5</v>
      </c>
      <c r="H83">
        <v>6.31</v>
      </c>
      <c r="I83">
        <v>13.754937999999999</v>
      </c>
      <c r="J83">
        <v>3580</v>
      </c>
      <c r="K83">
        <v>1514.5624</v>
      </c>
      <c r="L83">
        <v>6.22</v>
      </c>
      <c r="M83">
        <v>3.5030467999999999</v>
      </c>
      <c r="N83">
        <v>6.11</v>
      </c>
      <c r="O83">
        <v>1.4</v>
      </c>
      <c r="P83">
        <v>1.1599999999999999</v>
      </c>
      <c r="Q83">
        <v>8270</v>
      </c>
      <c r="R83">
        <v>3.95</v>
      </c>
      <c r="S83">
        <v>8.11</v>
      </c>
      <c r="T83">
        <v>7.31</v>
      </c>
      <c r="U83">
        <v>7.68</v>
      </c>
      <c r="V83">
        <v>5.51</v>
      </c>
      <c r="W83">
        <v>14.5</v>
      </c>
      <c r="X83">
        <v>17.13</v>
      </c>
      <c r="Y83">
        <v>13.31</v>
      </c>
      <c r="Z83">
        <v>7.18</v>
      </c>
      <c r="AA83">
        <v>453.33285999999998</v>
      </c>
      <c r="AB83">
        <v>576.33270000000005</v>
      </c>
      <c r="AC83">
        <v>106.55533</v>
      </c>
    </row>
    <row r="84" spans="1:29" x14ac:dyDescent="0.3">
      <c r="A84" s="9">
        <v>45499</v>
      </c>
      <c r="B84">
        <v>5880</v>
      </c>
      <c r="C84">
        <v>8076</v>
      </c>
      <c r="D84">
        <v>46.4</v>
      </c>
      <c r="E84">
        <v>2.2461544999999998</v>
      </c>
      <c r="F84" t="e">
        <v>#N/A</v>
      </c>
      <c r="G84">
        <v>28.5</v>
      </c>
      <c r="H84">
        <v>6.46</v>
      </c>
      <c r="I84">
        <v>14.4664</v>
      </c>
      <c r="J84">
        <v>3515</v>
      </c>
      <c r="K84">
        <v>1528.6732</v>
      </c>
      <c r="L84">
        <v>6.97</v>
      </c>
      <c r="M84">
        <v>3.8324446999999999</v>
      </c>
      <c r="N84">
        <v>6.79</v>
      </c>
      <c r="O84">
        <v>1.39</v>
      </c>
      <c r="P84">
        <v>1.33</v>
      </c>
      <c r="Q84">
        <v>8440</v>
      </c>
      <c r="R84">
        <v>4.0650000000000004</v>
      </c>
      <c r="S84">
        <v>8.5399999999999991</v>
      </c>
      <c r="T84">
        <v>7.64</v>
      </c>
      <c r="U84">
        <v>8</v>
      </c>
      <c r="V84">
        <v>5.68</v>
      </c>
      <c r="W84">
        <v>14.97</v>
      </c>
      <c r="X84">
        <v>17.27</v>
      </c>
      <c r="Y84">
        <v>13.22</v>
      </c>
      <c r="Z84">
        <v>7.41</v>
      </c>
      <c r="AA84">
        <v>520.99945000000002</v>
      </c>
      <c r="AB84">
        <v>637.33263999999997</v>
      </c>
      <c r="AC84">
        <v>115.221985</v>
      </c>
    </row>
    <row r="85" spans="1:29" x14ac:dyDescent="0.3">
      <c r="A85" s="9">
        <v>45492</v>
      </c>
      <c r="B85">
        <v>6600</v>
      </c>
      <c r="C85">
        <v>8750</v>
      </c>
      <c r="D85">
        <v>47.35</v>
      </c>
      <c r="E85">
        <v>2.5230777</v>
      </c>
      <c r="F85" t="e">
        <v>#N/A</v>
      </c>
      <c r="G85">
        <v>33.875</v>
      </c>
      <c r="H85">
        <v>8.59</v>
      </c>
      <c r="I85">
        <v>15.731222000000001</v>
      </c>
      <c r="J85">
        <v>3585</v>
      </c>
      <c r="K85">
        <v>1523.9695999999999</v>
      </c>
      <c r="L85">
        <v>6.91</v>
      </c>
      <c r="M85">
        <v>3.9421594</v>
      </c>
      <c r="N85">
        <v>7.03</v>
      </c>
      <c r="O85">
        <v>1.39</v>
      </c>
      <c r="P85">
        <v>1.23</v>
      </c>
      <c r="Q85">
        <v>8750</v>
      </c>
      <c r="R85">
        <v>4.0250000000000004</v>
      </c>
      <c r="S85">
        <v>8.85</v>
      </c>
      <c r="T85">
        <v>8.2799999999999994</v>
      </c>
      <c r="U85">
        <v>8.1999999999999993</v>
      </c>
      <c r="V85">
        <v>5.73</v>
      </c>
      <c r="W85">
        <v>15.55</v>
      </c>
      <c r="X85">
        <v>17.39</v>
      </c>
      <c r="Y85">
        <v>12.58</v>
      </c>
      <c r="Z85">
        <v>7.17</v>
      </c>
      <c r="AA85">
        <v>541.66610000000003</v>
      </c>
      <c r="AB85">
        <v>625.66600000000005</v>
      </c>
      <c r="AC85">
        <v>121.66642</v>
      </c>
    </row>
    <row r="86" spans="1:29" x14ac:dyDescent="0.3">
      <c r="A86" s="9">
        <v>45485</v>
      </c>
      <c r="B86">
        <v>6410</v>
      </c>
      <c r="C86">
        <v>8994</v>
      </c>
      <c r="D86">
        <v>56.6</v>
      </c>
      <c r="E86">
        <v>2.9692318000000002</v>
      </c>
      <c r="F86" t="e">
        <v>#N/A</v>
      </c>
      <c r="G86">
        <v>38</v>
      </c>
      <c r="H86">
        <v>7.84</v>
      </c>
      <c r="I86">
        <v>15.889326000000001</v>
      </c>
      <c r="J86">
        <v>3810</v>
      </c>
      <c r="K86">
        <v>1594.5237999999999</v>
      </c>
      <c r="L86">
        <v>7.33</v>
      </c>
      <c r="M86">
        <v>4.1318292999999997</v>
      </c>
      <c r="N86">
        <v>7.86</v>
      </c>
      <c r="O86">
        <v>1.53</v>
      </c>
      <c r="P86">
        <v>1.25</v>
      </c>
      <c r="Q86">
        <v>8510</v>
      </c>
      <c r="R86">
        <v>4.2300000000000004</v>
      </c>
      <c r="S86">
        <v>9.27</v>
      </c>
      <c r="T86">
        <v>9.15</v>
      </c>
      <c r="U86">
        <v>8.6300000000000008</v>
      </c>
      <c r="V86">
        <v>6.2</v>
      </c>
      <c r="W86">
        <v>14.67</v>
      </c>
      <c r="X86">
        <v>19.05</v>
      </c>
      <c r="Y86">
        <v>13.35</v>
      </c>
      <c r="Z86">
        <v>7.81</v>
      </c>
      <c r="AA86">
        <v>538.99945000000002</v>
      </c>
      <c r="AB86">
        <v>626.66600000000005</v>
      </c>
      <c r="AC86">
        <v>124.77752</v>
      </c>
    </row>
    <row r="87" spans="1:29" x14ac:dyDescent="0.3">
      <c r="A87" s="9">
        <v>45478</v>
      </c>
      <c r="B87">
        <v>5600</v>
      </c>
      <c r="C87">
        <v>9432</v>
      </c>
      <c r="D87">
        <v>53</v>
      </c>
      <c r="E87">
        <v>2.9846165</v>
      </c>
      <c r="F87" t="e">
        <v>#N/A</v>
      </c>
      <c r="G87">
        <v>40.875</v>
      </c>
      <c r="H87">
        <v>9.2100000000000009</v>
      </c>
      <c r="I87">
        <v>16.600788000000001</v>
      </c>
      <c r="J87">
        <v>3485</v>
      </c>
      <c r="K87">
        <v>1472.2299</v>
      </c>
      <c r="L87">
        <v>6.78</v>
      </c>
      <c r="M87">
        <v>4.0519952999999997</v>
      </c>
      <c r="N87">
        <v>6.95</v>
      </c>
      <c r="O87">
        <v>1.42</v>
      </c>
      <c r="P87">
        <v>1.1499999999999999</v>
      </c>
      <c r="Q87">
        <v>8280</v>
      </c>
      <c r="R87">
        <v>4.0350000000000001</v>
      </c>
      <c r="S87">
        <v>8.6</v>
      </c>
      <c r="T87">
        <v>9.25</v>
      </c>
      <c r="U87">
        <v>8.35</v>
      </c>
      <c r="V87">
        <v>6.21</v>
      </c>
      <c r="W87">
        <v>12.99</v>
      </c>
      <c r="X87">
        <v>17.829999999999998</v>
      </c>
      <c r="Y87">
        <v>12.14</v>
      </c>
      <c r="Z87">
        <v>8.1999999999999993</v>
      </c>
      <c r="AA87">
        <v>544.66610000000003</v>
      </c>
      <c r="AB87">
        <v>646.66600000000005</v>
      </c>
      <c r="AC87">
        <v>128.55528000000001</v>
      </c>
    </row>
    <row r="88" spans="1:29" x14ac:dyDescent="0.3">
      <c r="A88" s="9">
        <v>45471</v>
      </c>
      <c r="B88">
        <v>5550</v>
      </c>
      <c r="C88">
        <v>9586</v>
      </c>
      <c r="D88">
        <v>49.4</v>
      </c>
      <c r="E88">
        <v>2.9923085999999999</v>
      </c>
      <c r="F88" t="e">
        <v>#N/A</v>
      </c>
      <c r="G88">
        <v>47</v>
      </c>
      <c r="H88">
        <v>11.5</v>
      </c>
      <c r="I88">
        <v>15.810274</v>
      </c>
      <c r="J88">
        <v>3465</v>
      </c>
      <c r="K88">
        <v>1476.9335000000001</v>
      </c>
      <c r="L88">
        <v>7.17</v>
      </c>
      <c r="M88">
        <v>4.1717029999999999</v>
      </c>
      <c r="N88">
        <v>7.16</v>
      </c>
      <c r="O88">
        <v>1.43</v>
      </c>
      <c r="P88">
        <v>1.1299999999999999</v>
      </c>
      <c r="Q88">
        <v>8220</v>
      </c>
      <c r="R88">
        <v>4.6150000000000002</v>
      </c>
      <c r="S88">
        <v>8.5</v>
      </c>
      <c r="T88">
        <v>9.2200000000000006</v>
      </c>
      <c r="U88">
        <v>7.83</v>
      </c>
      <c r="V88">
        <v>5.28</v>
      </c>
      <c r="W88">
        <v>12.33</v>
      </c>
      <c r="X88">
        <v>16.93</v>
      </c>
      <c r="Y88">
        <v>11.73</v>
      </c>
      <c r="Z88">
        <v>7.28</v>
      </c>
      <c r="AA88">
        <v>563.66610000000003</v>
      </c>
      <c r="AB88">
        <v>660.99929999999995</v>
      </c>
      <c r="AC88">
        <v>130.88861</v>
      </c>
    </row>
    <row r="89" spans="1:29" x14ac:dyDescent="0.3">
      <c r="A89" s="9">
        <v>45464</v>
      </c>
      <c r="B89">
        <v>6360</v>
      </c>
      <c r="C89">
        <v>9606</v>
      </c>
      <c r="D89">
        <v>47.3</v>
      </c>
      <c r="E89">
        <v>3.0230779999999999</v>
      </c>
      <c r="F89" t="e">
        <v>#N/A</v>
      </c>
      <c r="G89">
        <v>44.25</v>
      </c>
      <c r="H89">
        <v>10.199999999999999</v>
      </c>
      <c r="I89">
        <v>15.810274</v>
      </c>
      <c r="J89">
        <v>3375</v>
      </c>
      <c r="K89">
        <v>1495.7479000000001</v>
      </c>
      <c r="L89">
        <v>6.68</v>
      </c>
      <c r="M89">
        <v>3.6726953999999998</v>
      </c>
      <c r="N89">
        <v>6.35</v>
      </c>
      <c r="O89">
        <v>1.43</v>
      </c>
      <c r="P89">
        <v>1.06</v>
      </c>
      <c r="Q89">
        <v>8390</v>
      </c>
      <c r="R89">
        <v>4.0949999999999998</v>
      </c>
      <c r="S89">
        <v>7.96</v>
      </c>
      <c r="T89">
        <v>9.15</v>
      </c>
      <c r="U89">
        <v>7.62</v>
      </c>
      <c r="V89">
        <v>5.25</v>
      </c>
      <c r="W89">
        <v>11.62</v>
      </c>
      <c r="X89">
        <v>15.78</v>
      </c>
      <c r="Y89">
        <v>11.6</v>
      </c>
      <c r="Z89">
        <v>6.65</v>
      </c>
      <c r="AA89">
        <v>641.66600000000005</v>
      </c>
      <c r="AB89">
        <v>794.66583000000003</v>
      </c>
      <c r="AC89">
        <v>150.55524</v>
      </c>
    </row>
    <row r="90" spans="1:29" x14ac:dyDescent="0.3">
      <c r="A90" s="9">
        <v>45457</v>
      </c>
      <c r="B90">
        <v>7260</v>
      </c>
      <c r="C90">
        <v>9450</v>
      </c>
      <c r="D90">
        <v>49.3</v>
      </c>
      <c r="E90">
        <v>3.0692317</v>
      </c>
      <c r="F90" t="e">
        <v>#N/A</v>
      </c>
      <c r="G90">
        <v>40.125</v>
      </c>
      <c r="H90">
        <v>9.8800000000000008</v>
      </c>
      <c r="I90">
        <v>16.047428</v>
      </c>
      <c r="J90">
        <v>3385</v>
      </c>
      <c r="K90">
        <v>1561.5985000000001</v>
      </c>
      <c r="L90">
        <v>6.64</v>
      </c>
      <c r="M90">
        <v>3.5629803999999998</v>
      </c>
      <c r="N90">
        <v>6.9</v>
      </c>
      <c r="O90">
        <v>1.39</v>
      </c>
      <c r="P90">
        <v>1.02</v>
      </c>
      <c r="Q90">
        <v>8490</v>
      </c>
      <c r="R90">
        <v>4.32</v>
      </c>
      <c r="S90">
        <v>8.8699999999999992</v>
      </c>
      <c r="T90">
        <v>9.39</v>
      </c>
      <c r="U90">
        <v>7.49</v>
      </c>
      <c r="V90">
        <v>5.78</v>
      </c>
      <c r="W90">
        <v>12.65</v>
      </c>
      <c r="X90">
        <v>16.88</v>
      </c>
      <c r="Y90">
        <v>13.32</v>
      </c>
      <c r="Z90">
        <v>6.86</v>
      </c>
      <c r="AA90">
        <v>617.99929999999995</v>
      </c>
      <c r="AB90">
        <v>744.33259999999996</v>
      </c>
      <c r="AC90">
        <v>139.22192000000001</v>
      </c>
    </row>
    <row r="91" spans="1:29" x14ac:dyDescent="0.3">
      <c r="A91" s="9">
        <v>45450</v>
      </c>
      <c r="B91">
        <v>7260</v>
      </c>
      <c r="C91">
        <v>9566</v>
      </c>
      <c r="D91">
        <v>46.75</v>
      </c>
      <c r="E91">
        <v>2.9153855000000002</v>
      </c>
      <c r="F91" t="e">
        <v>#N/A</v>
      </c>
      <c r="G91">
        <v>38.5</v>
      </c>
      <c r="H91">
        <v>9.75</v>
      </c>
      <c r="I91">
        <v>16.166005999999999</v>
      </c>
      <c r="J91">
        <v>3480</v>
      </c>
      <c r="K91">
        <v>1608.6346000000001</v>
      </c>
      <c r="L91">
        <v>7.11</v>
      </c>
      <c r="M91">
        <v>3.4531803000000001</v>
      </c>
      <c r="N91">
        <v>7.29</v>
      </c>
      <c r="O91">
        <v>1.53</v>
      </c>
      <c r="P91">
        <v>1.1399999999999999</v>
      </c>
      <c r="Q91">
        <v>9250</v>
      </c>
      <c r="R91">
        <v>4.2699999999999996</v>
      </c>
      <c r="S91">
        <v>8.5</v>
      </c>
      <c r="T91">
        <v>9.5</v>
      </c>
      <c r="U91">
        <v>7.18</v>
      </c>
      <c r="V91">
        <v>5.64</v>
      </c>
      <c r="W91">
        <v>12.14</v>
      </c>
      <c r="X91">
        <v>16.52</v>
      </c>
      <c r="Y91">
        <v>12.85</v>
      </c>
      <c r="Z91">
        <v>7.17</v>
      </c>
      <c r="AA91">
        <v>628.66600000000005</v>
      </c>
      <c r="AB91">
        <v>722.33259999999996</v>
      </c>
      <c r="AC91">
        <v>139.99970999999999</v>
      </c>
    </row>
    <row r="92" spans="1:29" x14ac:dyDescent="0.3">
      <c r="A92" s="9">
        <v>45443</v>
      </c>
      <c r="B92">
        <v>6860</v>
      </c>
      <c r="C92">
        <v>9680</v>
      </c>
      <c r="D92">
        <v>42.7</v>
      </c>
      <c r="E92">
        <v>2.7384624</v>
      </c>
      <c r="F92" t="e">
        <v>#N/A</v>
      </c>
      <c r="G92">
        <v>39.625</v>
      </c>
      <c r="H92">
        <v>9.6999999999999993</v>
      </c>
      <c r="I92">
        <v>16.798416</v>
      </c>
      <c r="J92">
        <v>3340</v>
      </c>
      <c r="K92">
        <v>1542.7840000000001</v>
      </c>
      <c r="L92">
        <v>6.84</v>
      </c>
      <c r="M92">
        <v>3.6827329999999998</v>
      </c>
      <c r="N92">
        <v>6.68</v>
      </c>
      <c r="O92">
        <v>1.41</v>
      </c>
      <c r="P92">
        <v>1.03</v>
      </c>
      <c r="Q92">
        <v>9090</v>
      </c>
      <c r="R92">
        <v>3.8</v>
      </c>
      <c r="S92">
        <v>7.6</v>
      </c>
      <c r="T92">
        <v>8.18</v>
      </c>
      <c r="U92">
        <v>6.43</v>
      </c>
      <c r="V92">
        <v>5.13</v>
      </c>
      <c r="W92">
        <v>10.61</v>
      </c>
      <c r="X92">
        <v>14.43</v>
      </c>
      <c r="Y92">
        <v>11.12</v>
      </c>
      <c r="Z92">
        <v>6.6</v>
      </c>
      <c r="AA92">
        <v>609.99940000000004</v>
      </c>
      <c r="AB92">
        <v>683.33263999999997</v>
      </c>
      <c r="AC92">
        <v>131.22194999999999</v>
      </c>
    </row>
    <row r="93" spans="1:29" x14ac:dyDescent="0.3">
      <c r="A93" s="9">
        <v>45436</v>
      </c>
      <c r="B93">
        <v>7210</v>
      </c>
      <c r="C93">
        <v>9952</v>
      </c>
      <c r="D93">
        <v>44.55</v>
      </c>
      <c r="E93">
        <v>2.9153855000000002</v>
      </c>
      <c r="F93" t="e">
        <v>#N/A</v>
      </c>
      <c r="G93">
        <v>41.625</v>
      </c>
      <c r="H93">
        <v>10.050000000000001</v>
      </c>
      <c r="I93">
        <v>18.814226000000001</v>
      </c>
      <c r="J93">
        <v>3420</v>
      </c>
      <c r="K93">
        <v>1589.8202000000001</v>
      </c>
      <c r="L93">
        <v>7.37</v>
      </c>
      <c r="M93">
        <v>4.0719013000000004</v>
      </c>
      <c r="N93">
        <v>7.77</v>
      </c>
      <c r="O93">
        <v>1.44</v>
      </c>
      <c r="P93">
        <v>1.05</v>
      </c>
      <c r="Q93">
        <v>9200</v>
      </c>
      <c r="R93">
        <v>4.2</v>
      </c>
      <c r="S93">
        <v>8.42</v>
      </c>
      <c r="T93">
        <v>8.5399999999999991</v>
      </c>
      <c r="U93">
        <v>6.52</v>
      </c>
      <c r="V93">
        <v>5.18</v>
      </c>
      <c r="W93">
        <v>11.24</v>
      </c>
      <c r="X93">
        <v>15.06</v>
      </c>
      <c r="Y93">
        <v>11.19</v>
      </c>
      <c r="Z93">
        <v>6.75</v>
      </c>
      <c r="AA93">
        <v>654.33263999999997</v>
      </c>
      <c r="AB93">
        <v>763.99919999999997</v>
      </c>
      <c r="AC93">
        <v>148.77746999999999</v>
      </c>
    </row>
    <row r="94" spans="1:29" x14ac:dyDescent="0.3">
      <c r="A94" s="9">
        <v>45429</v>
      </c>
      <c r="B94">
        <v>7410</v>
      </c>
      <c r="C94">
        <v>10390</v>
      </c>
      <c r="D94">
        <v>51.1</v>
      </c>
      <c r="E94">
        <v>3.2153854000000002</v>
      </c>
      <c r="F94" t="e">
        <v>#N/A</v>
      </c>
      <c r="G94">
        <v>44.125</v>
      </c>
      <c r="H94">
        <v>10.4</v>
      </c>
      <c r="I94">
        <v>18.616598</v>
      </c>
      <c r="J94">
        <v>3930</v>
      </c>
      <c r="K94">
        <v>1702.7067999999999</v>
      </c>
      <c r="L94">
        <v>7.13</v>
      </c>
      <c r="M94">
        <v>3.9621521999999998</v>
      </c>
      <c r="N94">
        <v>7.49</v>
      </c>
      <c r="O94">
        <v>1.45</v>
      </c>
      <c r="P94">
        <v>1.08</v>
      </c>
      <c r="Q94">
        <v>9840</v>
      </c>
      <c r="R94">
        <v>4.5549999999999997</v>
      </c>
      <c r="S94">
        <v>8.77</v>
      </c>
      <c r="T94">
        <v>8.9600000000000009</v>
      </c>
      <c r="U94">
        <v>6.76</v>
      </c>
      <c r="V94">
        <v>5.36</v>
      </c>
      <c r="W94">
        <v>11.33</v>
      </c>
      <c r="X94">
        <v>15.74</v>
      </c>
      <c r="Y94">
        <v>11.34</v>
      </c>
      <c r="Z94">
        <v>7.29</v>
      </c>
      <c r="AA94">
        <v>633.33270000000005</v>
      </c>
      <c r="AB94">
        <v>767.33249999999998</v>
      </c>
      <c r="AC94">
        <v>141.44415000000001</v>
      </c>
    </row>
    <row r="95" spans="1:29" x14ac:dyDescent="0.3">
      <c r="A95" s="9">
        <v>45422</v>
      </c>
      <c r="B95">
        <v>7090</v>
      </c>
      <c r="C95">
        <v>10670</v>
      </c>
      <c r="D95">
        <v>55.9</v>
      </c>
      <c r="E95">
        <v>3.4230778000000002</v>
      </c>
      <c r="F95" t="e">
        <v>#N/A</v>
      </c>
      <c r="G95">
        <v>46.5</v>
      </c>
      <c r="H95">
        <v>11</v>
      </c>
      <c r="I95">
        <v>19.446636000000002</v>
      </c>
      <c r="J95">
        <v>3600</v>
      </c>
      <c r="K95">
        <v>1542.7840000000001</v>
      </c>
      <c r="L95">
        <v>6.7</v>
      </c>
      <c r="M95">
        <v>3.5529335</v>
      </c>
      <c r="N95">
        <v>7.32</v>
      </c>
      <c r="O95">
        <v>1.4</v>
      </c>
      <c r="P95">
        <v>1.01</v>
      </c>
      <c r="Q95">
        <v>9560</v>
      </c>
      <c r="R95">
        <v>4.8550000000000004</v>
      </c>
      <c r="S95">
        <v>9.24</v>
      </c>
      <c r="T95">
        <v>8.16</v>
      </c>
      <c r="U95">
        <v>6.67</v>
      </c>
      <c r="V95">
        <v>5.17</v>
      </c>
      <c r="W95">
        <v>10.9</v>
      </c>
      <c r="X95">
        <v>15.6</v>
      </c>
      <c r="Y95">
        <v>11.2</v>
      </c>
      <c r="Z95">
        <v>7.12</v>
      </c>
      <c r="AA95">
        <v>672.66594999999995</v>
      </c>
      <c r="AB95">
        <v>829.66579999999999</v>
      </c>
      <c r="AC95">
        <v>151.99968000000001</v>
      </c>
    </row>
    <row r="96" spans="1:29" x14ac:dyDescent="0.3">
      <c r="A96" s="9">
        <v>45415</v>
      </c>
      <c r="B96">
        <v>8070</v>
      </c>
      <c r="C96">
        <v>10285</v>
      </c>
      <c r="D96">
        <v>54.3</v>
      </c>
      <c r="E96">
        <v>3.5692317</v>
      </c>
      <c r="F96" t="e">
        <v>#N/A</v>
      </c>
      <c r="G96">
        <v>47.25</v>
      </c>
      <c r="H96">
        <v>11.5</v>
      </c>
      <c r="I96">
        <v>20.711459999999999</v>
      </c>
      <c r="J96">
        <v>3740</v>
      </c>
      <c r="K96">
        <v>1547.4876999999999</v>
      </c>
      <c r="L96">
        <v>6.93</v>
      </c>
      <c r="M96">
        <v>3.6827329999999998</v>
      </c>
      <c r="N96">
        <v>7.6</v>
      </c>
      <c r="O96">
        <v>1.39</v>
      </c>
      <c r="P96">
        <v>0.97799999999999998</v>
      </c>
      <c r="Q96">
        <v>9600</v>
      </c>
      <c r="R96">
        <v>4.84</v>
      </c>
      <c r="S96">
        <v>8.7799999999999994</v>
      </c>
      <c r="T96">
        <v>8.08</v>
      </c>
      <c r="U96">
        <v>6.19</v>
      </c>
      <c r="V96">
        <v>5.04</v>
      </c>
      <c r="W96">
        <v>9.9600000000000009</v>
      </c>
      <c r="X96">
        <v>14.13</v>
      </c>
      <c r="Y96">
        <v>10.71</v>
      </c>
      <c r="Z96">
        <v>6.875</v>
      </c>
      <c r="AA96">
        <v>638.33263999999997</v>
      </c>
      <c r="AB96">
        <v>779.66583000000003</v>
      </c>
      <c r="AC96">
        <v>140.66638</v>
      </c>
    </row>
    <row r="97" spans="1:29" x14ac:dyDescent="0.3">
      <c r="A97" s="9">
        <v>45408</v>
      </c>
      <c r="B97">
        <v>8970</v>
      </c>
      <c r="C97">
        <v>10210</v>
      </c>
      <c r="D97">
        <v>53.6</v>
      </c>
      <c r="E97">
        <v>3.8076935000000001</v>
      </c>
      <c r="F97" t="e">
        <v>#N/A</v>
      </c>
      <c r="G97">
        <v>50.875</v>
      </c>
      <c r="H97">
        <v>12.9</v>
      </c>
      <c r="I97">
        <v>23.201578000000001</v>
      </c>
      <c r="J97">
        <v>3585</v>
      </c>
      <c r="K97">
        <v>1495.7479000000001</v>
      </c>
      <c r="L97">
        <v>6.24</v>
      </c>
      <c r="M97">
        <v>3.2335769999999999</v>
      </c>
      <c r="N97">
        <v>6.46</v>
      </c>
      <c r="O97">
        <v>1.36</v>
      </c>
      <c r="P97">
        <v>0.88660000000000005</v>
      </c>
      <c r="Q97">
        <v>9300</v>
      </c>
      <c r="R97">
        <v>4.3499999999999996</v>
      </c>
      <c r="S97">
        <v>8.1999999999999993</v>
      </c>
      <c r="T97">
        <v>6.85</v>
      </c>
      <c r="U97">
        <v>5.41</v>
      </c>
      <c r="V97">
        <v>4.8099999999999996</v>
      </c>
      <c r="W97">
        <v>9.43</v>
      </c>
      <c r="X97">
        <v>13.54</v>
      </c>
      <c r="Y97">
        <v>8.82</v>
      </c>
      <c r="Z97">
        <v>6.54</v>
      </c>
      <c r="AA97">
        <v>671.33263999999997</v>
      </c>
      <c r="AB97">
        <v>820.33245999999997</v>
      </c>
      <c r="AC97">
        <v>154.44412</v>
      </c>
    </row>
    <row r="98" spans="1:29" x14ac:dyDescent="0.3">
      <c r="A98" s="9">
        <v>45401</v>
      </c>
      <c r="B98">
        <v>10250</v>
      </c>
      <c r="C98">
        <v>10845</v>
      </c>
      <c r="D98">
        <v>57.7</v>
      </c>
      <c r="E98">
        <v>4.5000014000000004</v>
      </c>
      <c r="F98" t="e">
        <v>#N/A</v>
      </c>
      <c r="G98">
        <v>50.25</v>
      </c>
      <c r="H98">
        <v>12.5</v>
      </c>
      <c r="I98">
        <v>24.189720000000001</v>
      </c>
      <c r="J98">
        <v>3485</v>
      </c>
      <c r="K98">
        <v>1533.3768</v>
      </c>
      <c r="L98">
        <v>6.61</v>
      </c>
      <c r="M98">
        <v>3.5030467999999999</v>
      </c>
      <c r="N98">
        <v>6.57</v>
      </c>
      <c r="O98">
        <v>1.38</v>
      </c>
      <c r="P98">
        <v>0.91349999999999998</v>
      </c>
      <c r="Q98">
        <v>9660</v>
      </c>
      <c r="R98">
        <v>4.3949999999999996</v>
      </c>
      <c r="S98">
        <v>8.09</v>
      </c>
      <c r="T98">
        <v>6.18</v>
      </c>
      <c r="U98">
        <v>5.63</v>
      </c>
      <c r="V98">
        <v>5</v>
      </c>
      <c r="W98">
        <v>9.85</v>
      </c>
      <c r="X98">
        <v>14.55</v>
      </c>
      <c r="Y98">
        <v>9.2899999999999991</v>
      </c>
      <c r="Z98">
        <v>6.9898999999999996</v>
      </c>
      <c r="AA98">
        <v>678.99927000000002</v>
      </c>
      <c r="AB98">
        <v>835.99914999999999</v>
      </c>
      <c r="AC98">
        <v>163.88855000000001</v>
      </c>
    </row>
    <row r="99" spans="1:29" x14ac:dyDescent="0.3">
      <c r="A99" s="9">
        <v>45394</v>
      </c>
      <c r="B99">
        <v>14400</v>
      </c>
      <c r="C99">
        <v>11360</v>
      </c>
      <c r="D99">
        <v>58</v>
      </c>
      <c r="E99">
        <v>4.7846169999999999</v>
      </c>
      <c r="F99" t="e">
        <v>#N/A</v>
      </c>
      <c r="G99">
        <v>56.375</v>
      </c>
      <c r="H99">
        <v>12.8</v>
      </c>
      <c r="I99">
        <v>29.051380000000002</v>
      </c>
      <c r="J99">
        <v>4225</v>
      </c>
      <c r="K99">
        <v>2685.7611999999999</v>
      </c>
      <c r="L99">
        <v>7.01</v>
      </c>
      <c r="M99">
        <v>3.8324446999999999</v>
      </c>
      <c r="N99">
        <v>6.99</v>
      </c>
      <c r="O99">
        <v>1.54</v>
      </c>
      <c r="P99">
        <v>1</v>
      </c>
      <c r="Q99">
        <v>10800</v>
      </c>
      <c r="R99">
        <v>4.91</v>
      </c>
      <c r="S99">
        <v>9.0500000000000007</v>
      </c>
      <c r="T99">
        <v>7.49</v>
      </c>
      <c r="U99">
        <v>6.3</v>
      </c>
      <c r="V99">
        <v>5.29</v>
      </c>
      <c r="W99">
        <v>10.48</v>
      </c>
      <c r="X99">
        <v>15.93</v>
      </c>
      <c r="Y99">
        <v>10.55</v>
      </c>
      <c r="Z99">
        <v>7.2</v>
      </c>
      <c r="AA99">
        <v>706.66594999999995</v>
      </c>
      <c r="AB99">
        <v>868.33240000000001</v>
      </c>
      <c r="AC99">
        <v>174.11072999999999</v>
      </c>
    </row>
    <row r="100" spans="1:29" x14ac:dyDescent="0.3">
      <c r="A100" s="9">
        <v>45387</v>
      </c>
      <c r="B100">
        <v>12750</v>
      </c>
      <c r="C100">
        <v>11830</v>
      </c>
      <c r="D100">
        <v>60.2</v>
      </c>
      <c r="E100">
        <v>5.7692326999999999</v>
      </c>
      <c r="F100" t="e">
        <v>#N/A</v>
      </c>
      <c r="G100">
        <v>62.75</v>
      </c>
      <c r="H100">
        <v>13.6</v>
      </c>
      <c r="I100">
        <v>33.992089999999997</v>
      </c>
      <c r="J100">
        <v>4050</v>
      </c>
      <c r="K100">
        <v>2652.8359999999998</v>
      </c>
      <c r="L100">
        <v>6.99</v>
      </c>
      <c r="M100">
        <v>4.081963</v>
      </c>
      <c r="N100">
        <v>7.4</v>
      </c>
      <c r="O100">
        <v>1.73</v>
      </c>
      <c r="P100">
        <v>1.07</v>
      </c>
      <c r="Q100">
        <v>10450</v>
      </c>
      <c r="R100">
        <v>5.3049999999999997</v>
      </c>
      <c r="S100">
        <v>9.8699999999999992</v>
      </c>
      <c r="T100">
        <v>7.86</v>
      </c>
      <c r="U100">
        <v>6.94</v>
      </c>
      <c r="V100">
        <v>5.12</v>
      </c>
      <c r="W100">
        <v>11.18</v>
      </c>
      <c r="X100">
        <v>17.059999999999999</v>
      </c>
      <c r="Y100">
        <v>11.29</v>
      </c>
      <c r="Z100">
        <v>7.1</v>
      </c>
      <c r="AA100">
        <v>766.99919999999997</v>
      </c>
      <c r="AB100">
        <v>925.33240000000001</v>
      </c>
      <c r="AC100">
        <v>189.33293</v>
      </c>
    </row>
    <row r="101" spans="1:29" x14ac:dyDescent="0.3">
      <c r="A101" s="9">
        <v>45380</v>
      </c>
      <c r="B101">
        <v>13000</v>
      </c>
      <c r="C101">
        <v>12415</v>
      </c>
      <c r="D101">
        <v>63.6</v>
      </c>
      <c r="E101">
        <v>5.7153863999999999</v>
      </c>
      <c r="F101" t="e">
        <v>#N/A</v>
      </c>
      <c r="G101">
        <v>60.5</v>
      </c>
      <c r="H101">
        <v>12.85</v>
      </c>
      <c r="I101">
        <v>30.03952</v>
      </c>
      <c r="J101">
        <v>4110</v>
      </c>
      <c r="K101">
        <v>2873.9058</v>
      </c>
      <c r="L101">
        <v>7.7</v>
      </c>
      <c r="M101">
        <v>4.2814839999999998</v>
      </c>
      <c r="N101">
        <v>7.54</v>
      </c>
      <c r="O101">
        <v>1.8</v>
      </c>
      <c r="P101">
        <v>1.18</v>
      </c>
      <c r="Q101">
        <v>10300</v>
      </c>
      <c r="R101">
        <v>6.69</v>
      </c>
      <c r="S101">
        <v>11.27</v>
      </c>
      <c r="T101">
        <v>8.25</v>
      </c>
      <c r="U101">
        <v>6.61</v>
      </c>
      <c r="V101">
        <v>5.28</v>
      </c>
      <c r="W101">
        <v>12.17</v>
      </c>
      <c r="X101">
        <v>17.760000000000002</v>
      </c>
      <c r="Y101">
        <v>12.21</v>
      </c>
      <c r="Z101">
        <v>7.17</v>
      </c>
      <c r="AA101">
        <v>806.99914999999999</v>
      </c>
      <c r="AB101">
        <v>998.33230000000003</v>
      </c>
      <c r="AC101">
        <v>223.88840999999999</v>
      </c>
    </row>
    <row r="102" spans="1:29" x14ac:dyDescent="0.3">
      <c r="A102" s="9">
        <v>45373</v>
      </c>
      <c r="B102">
        <v>12750</v>
      </c>
      <c r="C102">
        <v>12690</v>
      </c>
      <c r="D102">
        <v>71.2</v>
      </c>
      <c r="E102">
        <v>5.7461557000000001</v>
      </c>
      <c r="F102" t="e">
        <v>#N/A</v>
      </c>
      <c r="G102">
        <v>67.875</v>
      </c>
      <c r="H102">
        <v>13.7</v>
      </c>
      <c r="I102">
        <v>30.790510000000001</v>
      </c>
      <c r="J102">
        <v>4185</v>
      </c>
      <c r="K102">
        <v>2991.4958000000001</v>
      </c>
      <c r="L102">
        <v>8.68</v>
      </c>
      <c r="M102">
        <v>4.331385</v>
      </c>
      <c r="N102">
        <v>7.93</v>
      </c>
      <c r="O102">
        <v>1.87</v>
      </c>
      <c r="P102">
        <v>1.18</v>
      </c>
      <c r="Q102">
        <v>10300</v>
      </c>
      <c r="R102">
        <v>6.38</v>
      </c>
      <c r="S102">
        <v>11.51</v>
      </c>
      <c r="T102">
        <v>8.1</v>
      </c>
      <c r="U102">
        <v>6.63</v>
      </c>
      <c r="V102">
        <v>5.53</v>
      </c>
      <c r="W102">
        <v>12.4</v>
      </c>
      <c r="X102">
        <v>18.36</v>
      </c>
      <c r="Y102">
        <v>12.55</v>
      </c>
      <c r="Z102">
        <v>7.42</v>
      </c>
      <c r="AA102">
        <v>779.66583000000003</v>
      </c>
      <c r="AB102">
        <v>988.66565000000003</v>
      </c>
      <c r="AC102">
        <v>212.88844</v>
      </c>
    </row>
    <row r="103" spans="1:29" x14ac:dyDescent="0.3">
      <c r="A103" s="9">
        <v>45366</v>
      </c>
      <c r="B103">
        <v>13800</v>
      </c>
      <c r="C103">
        <v>13035</v>
      </c>
      <c r="D103">
        <v>75</v>
      </c>
      <c r="E103">
        <v>5.2923093000000003</v>
      </c>
      <c r="F103" t="e">
        <v>#N/A</v>
      </c>
      <c r="G103">
        <v>76.5</v>
      </c>
      <c r="H103">
        <v>17.25</v>
      </c>
      <c r="I103">
        <v>34.150191999999997</v>
      </c>
      <c r="J103">
        <v>4200</v>
      </c>
      <c r="K103">
        <v>2972.6813999999999</v>
      </c>
      <c r="L103">
        <v>7.93</v>
      </c>
      <c r="M103">
        <v>4.4411670000000001</v>
      </c>
      <c r="N103">
        <v>7.4</v>
      </c>
      <c r="O103">
        <v>1.83</v>
      </c>
      <c r="P103">
        <v>1.1499999999999999</v>
      </c>
      <c r="Q103">
        <v>10350</v>
      </c>
      <c r="R103">
        <v>7.11</v>
      </c>
      <c r="S103">
        <v>12.08</v>
      </c>
      <c r="T103">
        <v>8.89</v>
      </c>
      <c r="U103">
        <v>6.74</v>
      </c>
      <c r="V103">
        <v>5.55</v>
      </c>
      <c r="W103">
        <v>12.27</v>
      </c>
      <c r="X103">
        <v>18.66</v>
      </c>
      <c r="Y103">
        <v>12.62</v>
      </c>
      <c r="Z103">
        <v>7.1449999999999996</v>
      </c>
      <c r="AA103">
        <v>783.66583000000003</v>
      </c>
      <c r="AB103">
        <v>1061.6655000000001</v>
      </c>
      <c r="AC103">
        <v>225.33286000000001</v>
      </c>
    </row>
    <row r="104" spans="1:29" x14ac:dyDescent="0.3">
      <c r="A104" s="9">
        <v>45359</v>
      </c>
      <c r="B104">
        <v>13800</v>
      </c>
      <c r="C104">
        <v>14115</v>
      </c>
      <c r="D104">
        <v>86.5</v>
      </c>
      <c r="E104">
        <v>6.2230790000000002</v>
      </c>
      <c r="F104" t="e">
        <v>#N/A</v>
      </c>
      <c r="G104">
        <v>83.625</v>
      </c>
      <c r="H104">
        <v>23.1</v>
      </c>
      <c r="I104">
        <v>37.944659999999999</v>
      </c>
      <c r="J104">
        <v>4480</v>
      </c>
      <c r="K104">
        <v>2925.6453000000001</v>
      </c>
      <c r="L104">
        <v>8.31</v>
      </c>
      <c r="M104">
        <v>4.8004693999999999</v>
      </c>
      <c r="N104">
        <v>7.19</v>
      </c>
      <c r="O104">
        <v>1.98</v>
      </c>
      <c r="P104">
        <v>1.2</v>
      </c>
      <c r="Q104">
        <v>10600</v>
      </c>
      <c r="R104">
        <v>7.1050000000000004</v>
      </c>
      <c r="S104">
        <v>11.29</v>
      </c>
      <c r="T104">
        <v>11.15</v>
      </c>
      <c r="U104">
        <v>6.46</v>
      </c>
      <c r="V104">
        <v>5.33</v>
      </c>
      <c r="W104">
        <v>11.36</v>
      </c>
      <c r="X104">
        <v>17.079999999999998</v>
      </c>
      <c r="Y104">
        <v>11.58</v>
      </c>
      <c r="Z104">
        <v>7</v>
      </c>
      <c r="AA104">
        <v>797.33249999999998</v>
      </c>
      <c r="AB104">
        <v>1049.9989</v>
      </c>
      <c r="AC104">
        <v>226.55508</v>
      </c>
    </row>
    <row r="105" spans="1:29" x14ac:dyDescent="0.3">
      <c r="A105" s="9">
        <v>45352</v>
      </c>
      <c r="B105">
        <v>12850</v>
      </c>
      <c r="C105">
        <v>13750</v>
      </c>
      <c r="D105">
        <v>84.7</v>
      </c>
      <c r="E105">
        <v>6.3461559999999997</v>
      </c>
      <c r="F105" t="e">
        <v>#N/A</v>
      </c>
      <c r="G105">
        <v>101.75</v>
      </c>
      <c r="H105">
        <v>29.25</v>
      </c>
      <c r="I105">
        <v>41.818176000000001</v>
      </c>
      <c r="J105">
        <v>4720</v>
      </c>
      <c r="K105">
        <v>2775.13</v>
      </c>
      <c r="L105">
        <v>8.74</v>
      </c>
      <c r="M105">
        <v>4.6108336000000003</v>
      </c>
      <c r="N105">
        <v>7.24</v>
      </c>
      <c r="O105">
        <v>1.9</v>
      </c>
      <c r="P105">
        <v>1.2</v>
      </c>
      <c r="Q105">
        <v>10450</v>
      </c>
      <c r="R105">
        <v>6.8949999999999996</v>
      </c>
      <c r="S105">
        <v>11.78</v>
      </c>
      <c r="T105">
        <v>11.15</v>
      </c>
      <c r="U105">
        <v>6.43</v>
      </c>
      <c r="V105">
        <v>5.36</v>
      </c>
      <c r="W105">
        <v>11.35</v>
      </c>
      <c r="X105">
        <v>16.55</v>
      </c>
      <c r="Y105">
        <v>11.49</v>
      </c>
      <c r="Z105">
        <v>7.15</v>
      </c>
      <c r="AA105">
        <v>800.66583000000003</v>
      </c>
      <c r="AB105">
        <v>1049.9989</v>
      </c>
      <c r="AC105">
        <v>234.66618</v>
      </c>
    </row>
    <row r="106" spans="1:29" x14ac:dyDescent="0.3">
      <c r="A106" s="9">
        <v>45345</v>
      </c>
      <c r="B106">
        <v>13950</v>
      </c>
      <c r="C106">
        <v>13595</v>
      </c>
      <c r="D106">
        <v>91.9</v>
      </c>
      <c r="E106">
        <v>7.1538485999999999</v>
      </c>
      <c r="F106" t="e">
        <v>#N/A</v>
      </c>
      <c r="G106">
        <v>100.75</v>
      </c>
      <c r="H106">
        <v>27.3</v>
      </c>
      <c r="I106">
        <v>38.339911999999998</v>
      </c>
      <c r="J106">
        <v>5020</v>
      </c>
      <c r="K106">
        <v>2859.7950000000001</v>
      </c>
      <c r="L106">
        <v>8.83</v>
      </c>
      <c r="M106">
        <v>4.6209024999999997</v>
      </c>
      <c r="N106">
        <v>7.36</v>
      </c>
      <c r="O106">
        <v>1.93</v>
      </c>
      <c r="P106">
        <v>1.3</v>
      </c>
      <c r="Q106">
        <v>10350</v>
      </c>
      <c r="R106">
        <v>6.6036000000000001</v>
      </c>
      <c r="S106">
        <v>12.19</v>
      </c>
      <c r="T106">
        <v>10.95</v>
      </c>
      <c r="U106">
        <v>6.22</v>
      </c>
      <c r="V106">
        <v>5.23</v>
      </c>
      <c r="W106">
        <v>11.01</v>
      </c>
      <c r="X106">
        <v>16.329999999999998</v>
      </c>
      <c r="Y106">
        <v>11.19</v>
      </c>
      <c r="Z106">
        <v>7.05</v>
      </c>
      <c r="AA106">
        <v>855.66579999999999</v>
      </c>
      <c r="AB106">
        <v>1084.9989</v>
      </c>
      <c r="AC106">
        <v>252.33280999999999</v>
      </c>
    </row>
    <row r="107" spans="1:29" x14ac:dyDescent="0.3">
      <c r="A107" s="9">
        <v>45338</v>
      </c>
      <c r="B107">
        <v>15750</v>
      </c>
      <c r="C107">
        <v>14465</v>
      </c>
      <c r="D107">
        <v>106.6</v>
      </c>
      <c r="E107">
        <v>8.3538479999999993</v>
      </c>
      <c r="F107" t="e">
        <v>#N/A</v>
      </c>
      <c r="G107">
        <v>85.625</v>
      </c>
      <c r="H107">
        <v>23.35</v>
      </c>
      <c r="I107">
        <v>34.189715999999997</v>
      </c>
      <c r="J107">
        <v>4995</v>
      </c>
      <c r="K107">
        <v>3344.2665999999999</v>
      </c>
      <c r="L107">
        <v>11.08</v>
      </c>
      <c r="M107">
        <v>5.4092409999999997</v>
      </c>
      <c r="N107">
        <v>8.5</v>
      </c>
      <c r="O107">
        <v>2.37</v>
      </c>
      <c r="P107">
        <v>1.74</v>
      </c>
      <c r="Q107">
        <v>11050</v>
      </c>
      <c r="R107">
        <v>7.9249999999999998</v>
      </c>
      <c r="S107">
        <v>14.43</v>
      </c>
      <c r="T107">
        <v>10.43</v>
      </c>
      <c r="U107">
        <v>6.6</v>
      </c>
      <c r="V107">
        <v>5.73</v>
      </c>
      <c r="W107">
        <v>12.09</v>
      </c>
      <c r="X107">
        <v>18.579999999999998</v>
      </c>
      <c r="Y107">
        <v>13.63</v>
      </c>
      <c r="Z107">
        <v>7.61</v>
      </c>
      <c r="AA107">
        <v>862.66579999999999</v>
      </c>
      <c r="AB107">
        <v>1043.3323</v>
      </c>
      <c r="AC107">
        <v>232.55507</v>
      </c>
    </row>
    <row r="108" spans="1:29" x14ac:dyDescent="0.3">
      <c r="A108" s="9">
        <v>45331</v>
      </c>
      <c r="B108">
        <v>14800</v>
      </c>
      <c r="C108">
        <v>14845</v>
      </c>
      <c r="D108">
        <v>103</v>
      </c>
      <c r="E108">
        <v>7.8000030000000002</v>
      </c>
      <c r="F108" t="e">
        <v>#N/A</v>
      </c>
      <c r="G108">
        <v>87.5</v>
      </c>
      <c r="H108">
        <v>22.6</v>
      </c>
      <c r="I108">
        <v>35.415011999999997</v>
      </c>
      <c r="J108">
        <v>4755</v>
      </c>
      <c r="K108">
        <v>3118.4933999999998</v>
      </c>
      <c r="L108">
        <v>11.49</v>
      </c>
      <c r="M108">
        <v>5.2196189999999998</v>
      </c>
      <c r="N108">
        <v>8.2100000000000009</v>
      </c>
      <c r="O108">
        <v>2.36</v>
      </c>
      <c r="P108">
        <v>1.82</v>
      </c>
      <c r="Q108">
        <v>10600</v>
      </c>
      <c r="R108">
        <v>7.0949999999999998</v>
      </c>
      <c r="S108">
        <v>13.58</v>
      </c>
      <c r="T108">
        <v>10.98</v>
      </c>
      <c r="U108">
        <v>6.29</v>
      </c>
      <c r="V108">
        <v>5.69</v>
      </c>
      <c r="W108">
        <v>11.83</v>
      </c>
      <c r="X108">
        <v>18.07</v>
      </c>
      <c r="Y108">
        <v>13.78</v>
      </c>
      <c r="Z108">
        <v>7.76</v>
      </c>
      <c r="AA108">
        <v>877.66579999999999</v>
      </c>
      <c r="AB108">
        <v>1004.99896</v>
      </c>
      <c r="AC108">
        <v>225.22175999999999</v>
      </c>
    </row>
    <row r="109" spans="1:29" x14ac:dyDescent="0.3">
      <c r="A109" s="9">
        <v>45324</v>
      </c>
      <c r="B109">
        <v>14700</v>
      </c>
      <c r="C109">
        <v>14335</v>
      </c>
      <c r="D109">
        <v>106.6</v>
      </c>
      <c r="E109">
        <v>8.0000020000000003</v>
      </c>
      <c r="F109" t="e">
        <v>#N/A</v>
      </c>
      <c r="G109">
        <v>78</v>
      </c>
      <c r="H109">
        <v>19.75</v>
      </c>
      <c r="I109">
        <v>33.83399</v>
      </c>
      <c r="J109">
        <v>5120</v>
      </c>
      <c r="K109">
        <v>3189.0475999999999</v>
      </c>
      <c r="L109">
        <v>11.4</v>
      </c>
      <c r="M109">
        <v>5.3293999999999997</v>
      </c>
      <c r="N109">
        <v>8.6999999999999993</v>
      </c>
      <c r="O109">
        <v>2.41</v>
      </c>
      <c r="P109">
        <v>1.83</v>
      </c>
      <c r="Q109">
        <v>11100</v>
      </c>
      <c r="R109">
        <v>7.01</v>
      </c>
      <c r="S109">
        <v>12.67</v>
      </c>
      <c r="T109">
        <v>10.93</v>
      </c>
      <c r="U109">
        <v>6.18</v>
      </c>
      <c r="V109">
        <v>5.51</v>
      </c>
      <c r="W109">
        <v>11.06</v>
      </c>
      <c r="X109">
        <v>17.23</v>
      </c>
      <c r="Y109">
        <v>12.08</v>
      </c>
      <c r="Z109">
        <v>7.41</v>
      </c>
      <c r="AA109">
        <v>801.99914999999999</v>
      </c>
      <c r="AB109">
        <v>943.33234000000004</v>
      </c>
      <c r="AC109">
        <v>203.44401999999999</v>
      </c>
    </row>
    <row r="110" spans="1:29" x14ac:dyDescent="0.3">
      <c r="A110" s="9">
        <v>45317</v>
      </c>
      <c r="B110">
        <v>13650</v>
      </c>
      <c r="C110">
        <v>12720</v>
      </c>
      <c r="D110">
        <v>93.1</v>
      </c>
      <c r="E110">
        <v>6.0384636</v>
      </c>
      <c r="F110">
        <v>12.05</v>
      </c>
      <c r="G110">
        <v>84.25</v>
      </c>
      <c r="H110">
        <v>21.5</v>
      </c>
      <c r="I110">
        <v>33.359679999999997</v>
      </c>
      <c r="J110">
        <v>4550</v>
      </c>
      <c r="K110">
        <v>3184.3440000000001</v>
      </c>
      <c r="L110">
        <v>10.61</v>
      </c>
      <c r="M110">
        <v>4.7305913000000004</v>
      </c>
      <c r="N110">
        <v>7.91</v>
      </c>
      <c r="O110">
        <v>2.1800000000000002</v>
      </c>
      <c r="P110">
        <v>1.74</v>
      </c>
      <c r="Q110">
        <v>10750</v>
      </c>
      <c r="R110">
        <v>6.5750000000000002</v>
      </c>
      <c r="S110">
        <v>11.59</v>
      </c>
      <c r="T110">
        <v>9.59</v>
      </c>
      <c r="U110">
        <v>5.9</v>
      </c>
      <c r="V110">
        <v>5.37</v>
      </c>
      <c r="W110">
        <v>10.25</v>
      </c>
      <c r="X110">
        <v>16.010000000000002</v>
      </c>
      <c r="Y110">
        <v>12.44</v>
      </c>
      <c r="Z110">
        <v>7.24</v>
      </c>
      <c r="AA110">
        <v>928.66570000000002</v>
      </c>
      <c r="AB110">
        <v>987.33230000000003</v>
      </c>
      <c r="AC110">
        <v>209.55511000000001</v>
      </c>
    </row>
    <row r="111" spans="1:29" x14ac:dyDescent="0.3">
      <c r="A111" s="9">
        <v>45310</v>
      </c>
      <c r="B111">
        <v>14050</v>
      </c>
      <c r="C111">
        <v>13410</v>
      </c>
      <c r="D111">
        <v>103</v>
      </c>
      <c r="E111">
        <v>5.7692326999999999</v>
      </c>
      <c r="F111">
        <v>14.79</v>
      </c>
      <c r="G111">
        <v>92.125</v>
      </c>
      <c r="H111">
        <v>25.6</v>
      </c>
      <c r="I111">
        <v>35.177860000000003</v>
      </c>
      <c r="J111">
        <v>4570</v>
      </c>
      <c r="K111">
        <v>3066.7537000000002</v>
      </c>
      <c r="L111">
        <v>11.73</v>
      </c>
      <c r="M111">
        <v>5.1996580000000003</v>
      </c>
      <c r="N111">
        <v>8.27</v>
      </c>
      <c r="O111">
        <v>2.61</v>
      </c>
      <c r="P111">
        <v>2.37</v>
      </c>
      <c r="Q111">
        <v>10800</v>
      </c>
      <c r="R111">
        <v>6.65</v>
      </c>
      <c r="S111">
        <v>13.45</v>
      </c>
      <c r="T111">
        <v>9.69</v>
      </c>
      <c r="U111">
        <v>6.49</v>
      </c>
      <c r="V111">
        <v>5.97</v>
      </c>
      <c r="W111">
        <v>11.09</v>
      </c>
      <c r="X111">
        <v>17.72</v>
      </c>
      <c r="Y111">
        <v>14.6</v>
      </c>
      <c r="Z111">
        <v>7.76</v>
      </c>
      <c r="AA111">
        <v>931.99900000000002</v>
      </c>
      <c r="AB111">
        <v>980.33234000000004</v>
      </c>
      <c r="AC111">
        <v>205.11069000000001</v>
      </c>
    </row>
    <row r="112" spans="1:29" x14ac:dyDescent="0.3">
      <c r="A112" s="9">
        <v>45303</v>
      </c>
      <c r="B112">
        <v>14500</v>
      </c>
      <c r="C112">
        <v>12670</v>
      </c>
      <c r="D112">
        <v>102.8</v>
      </c>
      <c r="E112">
        <v>5.9000019999999997</v>
      </c>
      <c r="F112">
        <v>20.12</v>
      </c>
      <c r="G112">
        <v>94.875</v>
      </c>
      <c r="H112">
        <v>29</v>
      </c>
      <c r="I112">
        <v>37.905135999999999</v>
      </c>
      <c r="J112">
        <v>4835</v>
      </c>
      <c r="K112">
        <v>3057.3463999999999</v>
      </c>
      <c r="L112">
        <v>14.12</v>
      </c>
      <c r="M112">
        <v>5.7685465999999996</v>
      </c>
      <c r="N112">
        <v>10.34</v>
      </c>
      <c r="O112">
        <v>3.6</v>
      </c>
      <c r="P112">
        <v>2.82</v>
      </c>
      <c r="Q112">
        <v>10950</v>
      </c>
      <c r="R112">
        <v>6.7549999999999999</v>
      </c>
      <c r="S112">
        <v>14.17</v>
      </c>
      <c r="T112">
        <v>10.46</v>
      </c>
      <c r="U112">
        <v>7.13</v>
      </c>
      <c r="V112">
        <v>5.95</v>
      </c>
      <c r="W112">
        <v>13.16</v>
      </c>
      <c r="X112">
        <v>20.149999999999999</v>
      </c>
      <c r="Y112">
        <v>16.47</v>
      </c>
      <c r="Z112">
        <v>8.34</v>
      </c>
      <c r="AA112">
        <v>970.33234000000004</v>
      </c>
      <c r="AB112">
        <v>1061.6655000000001</v>
      </c>
      <c r="AC112">
        <v>222.33287000000001</v>
      </c>
    </row>
    <row r="113" spans="1:29" x14ac:dyDescent="0.3">
      <c r="A113" s="9">
        <v>45296</v>
      </c>
      <c r="B113">
        <v>16400</v>
      </c>
      <c r="C113">
        <v>12830</v>
      </c>
      <c r="D113">
        <v>124.2</v>
      </c>
      <c r="E113">
        <v>6.9384639999999997</v>
      </c>
      <c r="F113">
        <v>21.77</v>
      </c>
      <c r="G113">
        <v>93.25</v>
      </c>
      <c r="H113">
        <v>26.05</v>
      </c>
      <c r="I113">
        <v>36.245052000000001</v>
      </c>
      <c r="J113">
        <v>5310</v>
      </c>
      <c r="K113">
        <v>3160.826</v>
      </c>
      <c r="L113">
        <v>13.48</v>
      </c>
      <c r="M113">
        <v>6.48</v>
      </c>
      <c r="N113">
        <v>10.17</v>
      </c>
      <c r="O113">
        <v>3.12</v>
      </c>
      <c r="P113">
        <v>2.79</v>
      </c>
      <c r="Q113">
        <v>11150</v>
      </c>
      <c r="R113">
        <v>6.27</v>
      </c>
      <c r="S113">
        <v>13.43</v>
      </c>
      <c r="T113">
        <v>10.220000000000001</v>
      </c>
      <c r="U113">
        <v>7.38</v>
      </c>
      <c r="V113">
        <v>5.83</v>
      </c>
      <c r="W113">
        <v>13.8</v>
      </c>
      <c r="X113">
        <v>19.8</v>
      </c>
      <c r="Y113">
        <v>16.920000000000002</v>
      </c>
      <c r="Z113">
        <v>9.02</v>
      </c>
      <c r="AA113">
        <v>1018.3323</v>
      </c>
      <c r="AB113">
        <v>1121.6655000000001</v>
      </c>
      <c r="AC113">
        <v>222.77731</v>
      </c>
    </row>
    <row r="114" spans="1:29" x14ac:dyDescent="0.3">
      <c r="A114" s="9">
        <v>45289</v>
      </c>
      <c r="B114">
        <v>19000</v>
      </c>
      <c r="C114">
        <v>13240</v>
      </c>
      <c r="D114">
        <v>121.8</v>
      </c>
      <c r="E114">
        <v>6.6307710000000002</v>
      </c>
      <c r="F114">
        <v>19.940000000000001</v>
      </c>
      <c r="G114">
        <v>97</v>
      </c>
      <c r="H114">
        <v>29.15</v>
      </c>
      <c r="I114">
        <v>37.470351999999998</v>
      </c>
      <c r="J114">
        <v>5720</v>
      </c>
      <c r="K114">
        <v>3099.6790000000001</v>
      </c>
      <c r="L114">
        <v>14.08</v>
      </c>
      <c r="M114">
        <v>6.1</v>
      </c>
      <c r="N114">
        <v>10.5</v>
      </c>
      <c r="O114">
        <v>3.04</v>
      </c>
      <c r="P114">
        <v>2.75</v>
      </c>
      <c r="Q114">
        <v>10850</v>
      </c>
      <c r="R114">
        <v>5.84</v>
      </c>
      <c r="S114">
        <v>12.45</v>
      </c>
      <c r="T114">
        <v>10.02</v>
      </c>
      <c r="U114">
        <v>6.77</v>
      </c>
      <c r="V114">
        <v>5.58</v>
      </c>
      <c r="W114">
        <v>12.59</v>
      </c>
      <c r="X114">
        <v>17.34</v>
      </c>
      <c r="Y114">
        <v>14.76</v>
      </c>
      <c r="Z114">
        <v>8.31</v>
      </c>
      <c r="AA114">
        <v>1054.9989</v>
      </c>
      <c r="AB114">
        <v>1124.9988000000001</v>
      </c>
      <c r="AC114">
        <v>230.33286000000001</v>
      </c>
    </row>
    <row r="115" spans="1:29" x14ac:dyDescent="0.3">
      <c r="A115" s="9">
        <v>45282</v>
      </c>
      <c r="B115">
        <v>21950</v>
      </c>
      <c r="C115">
        <v>13450</v>
      </c>
      <c r="D115">
        <v>118.2</v>
      </c>
      <c r="E115">
        <v>6.3538484999999998</v>
      </c>
      <c r="F115">
        <v>19.3</v>
      </c>
      <c r="G115">
        <v>104.25</v>
      </c>
      <c r="H115">
        <v>32.6</v>
      </c>
      <c r="I115">
        <v>39.169955999999999</v>
      </c>
      <c r="J115">
        <v>6430</v>
      </c>
      <c r="K115">
        <v>3236.0837000000001</v>
      </c>
      <c r="L115">
        <v>13.6</v>
      </c>
      <c r="M115">
        <v>6.74</v>
      </c>
      <c r="N115">
        <v>11.36</v>
      </c>
      <c r="O115">
        <v>2.83</v>
      </c>
      <c r="P115">
        <v>2.75</v>
      </c>
      <c r="Q115">
        <v>11150</v>
      </c>
      <c r="R115">
        <v>5.38</v>
      </c>
      <c r="S115">
        <v>12.99</v>
      </c>
      <c r="T115">
        <v>10.1</v>
      </c>
      <c r="U115">
        <v>7.08</v>
      </c>
      <c r="V115">
        <v>5.71</v>
      </c>
      <c r="W115">
        <v>13.4</v>
      </c>
      <c r="X115">
        <v>18.510000000000002</v>
      </c>
      <c r="Y115">
        <v>15.81</v>
      </c>
      <c r="Z115">
        <v>8.17</v>
      </c>
      <c r="AA115">
        <v>1159.9988000000001</v>
      </c>
      <c r="AB115">
        <v>1226.6654000000001</v>
      </c>
      <c r="AC115">
        <v>248.66614000000001</v>
      </c>
    </row>
    <row r="116" spans="1:29" x14ac:dyDescent="0.3">
      <c r="A116" s="9">
        <v>45275</v>
      </c>
      <c r="B116">
        <v>21600</v>
      </c>
      <c r="C116">
        <v>14100</v>
      </c>
      <c r="D116">
        <v>126.4</v>
      </c>
      <c r="E116">
        <v>6.2230790000000002</v>
      </c>
      <c r="F116">
        <v>25.25</v>
      </c>
      <c r="G116">
        <v>107.625</v>
      </c>
      <c r="H116">
        <v>34</v>
      </c>
      <c r="I116">
        <v>41.818176000000001</v>
      </c>
      <c r="J116">
        <v>6390</v>
      </c>
      <c r="K116">
        <v>3480.6714000000002</v>
      </c>
      <c r="L116">
        <v>15.92</v>
      </c>
      <c r="M116">
        <v>7.15</v>
      </c>
      <c r="N116">
        <v>11.63</v>
      </c>
      <c r="O116">
        <v>3.3</v>
      </c>
      <c r="P116">
        <v>2.86</v>
      </c>
      <c r="Q116">
        <v>10650</v>
      </c>
      <c r="R116">
        <v>6.01</v>
      </c>
      <c r="S116">
        <v>14.19</v>
      </c>
      <c r="T116">
        <v>10.76</v>
      </c>
      <c r="U116">
        <v>7.69</v>
      </c>
      <c r="V116">
        <v>6.25</v>
      </c>
      <c r="W116">
        <v>14.5</v>
      </c>
      <c r="X116">
        <v>19.54</v>
      </c>
      <c r="Y116">
        <v>18.93</v>
      </c>
      <c r="Z116">
        <v>9.17</v>
      </c>
      <c r="AA116">
        <v>1311.6652999999999</v>
      </c>
      <c r="AB116">
        <v>1359.9984999999999</v>
      </c>
      <c r="AC116">
        <v>291.33273000000003</v>
      </c>
    </row>
    <row r="117" spans="1:29" x14ac:dyDescent="0.3">
      <c r="A117" s="9">
        <v>45268</v>
      </c>
      <c r="B117">
        <v>24450</v>
      </c>
      <c r="C117">
        <v>15005</v>
      </c>
      <c r="D117">
        <v>144.80000000000001</v>
      </c>
      <c r="E117">
        <v>7.7076950000000002</v>
      </c>
      <c r="F117">
        <v>28.25</v>
      </c>
      <c r="G117">
        <v>119.75</v>
      </c>
      <c r="H117">
        <v>40.15</v>
      </c>
      <c r="I117">
        <v>44.189715999999997</v>
      </c>
      <c r="J117">
        <v>6310</v>
      </c>
      <c r="K117">
        <v>3259.6017999999999</v>
      </c>
      <c r="L117">
        <v>16.87</v>
      </c>
      <c r="M117">
        <v>7.66</v>
      </c>
      <c r="N117">
        <v>12.16</v>
      </c>
      <c r="O117">
        <v>3.55</v>
      </c>
      <c r="P117">
        <v>2.88</v>
      </c>
      <c r="Q117">
        <v>10850</v>
      </c>
      <c r="R117">
        <v>6.43</v>
      </c>
      <c r="S117">
        <v>13.7</v>
      </c>
      <c r="T117">
        <v>9.7200000000000006</v>
      </c>
      <c r="U117">
        <v>7.8</v>
      </c>
      <c r="V117">
        <v>6.45</v>
      </c>
      <c r="W117">
        <v>15.14</v>
      </c>
      <c r="X117">
        <v>20.7</v>
      </c>
      <c r="Y117">
        <v>19.86</v>
      </c>
      <c r="Z117">
        <v>9.24</v>
      </c>
      <c r="AA117">
        <v>1324.9987000000001</v>
      </c>
      <c r="AB117">
        <v>1359.9984999999999</v>
      </c>
      <c r="AC117">
        <v>284.22161999999997</v>
      </c>
    </row>
    <row r="118" spans="1:29" x14ac:dyDescent="0.3">
      <c r="A118" s="9">
        <v>45261</v>
      </c>
      <c r="B118">
        <v>34150</v>
      </c>
      <c r="C118">
        <v>14495</v>
      </c>
      <c r="D118">
        <v>129</v>
      </c>
      <c r="E118">
        <v>7.2692329999999998</v>
      </c>
      <c r="F118">
        <v>26.04</v>
      </c>
      <c r="G118">
        <v>125</v>
      </c>
      <c r="H118">
        <v>42.75</v>
      </c>
      <c r="I118">
        <v>46.007899999999999</v>
      </c>
      <c r="J118">
        <v>6830</v>
      </c>
      <c r="K118">
        <v>3527.7075</v>
      </c>
      <c r="L118">
        <v>15.125</v>
      </c>
      <c r="M118">
        <v>7.165</v>
      </c>
      <c r="N118">
        <v>10.5</v>
      </c>
      <c r="O118">
        <v>3.23</v>
      </c>
      <c r="P118">
        <v>2.64</v>
      </c>
      <c r="Q118">
        <v>11250</v>
      </c>
      <c r="R118">
        <v>6.46</v>
      </c>
      <c r="S118">
        <v>13.74</v>
      </c>
      <c r="T118">
        <v>9.36</v>
      </c>
      <c r="U118">
        <v>8.09</v>
      </c>
      <c r="V118">
        <v>6.51</v>
      </c>
      <c r="W118">
        <v>14.93</v>
      </c>
      <c r="X118">
        <v>20.010000000000002</v>
      </c>
      <c r="Y118">
        <v>19.77</v>
      </c>
      <c r="Z118">
        <v>9.39</v>
      </c>
      <c r="AA118">
        <v>1236.6654000000001</v>
      </c>
      <c r="AB118">
        <v>1284.9987000000001</v>
      </c>
      <c r="AC118">
        <v>276.44387999999998</v>
      </c>
    </row>
    <row r="119" spans="1:29" x14ac:dyDescent="0.3">
      <c r="A119" s="9">
        <v>45254</v>
      </c>
      <c r="B119">
        <v>28050</v>
      </c>
      <c r="C119">
        <v>14735</v>
      </c>
      <c r="D119">
        <v>134.80000000000001</v>
      </c>
      <c r="E119">
        <v>8.1384640000000008</v>
      </c>
      <c r="F119">
        <v>26.48</v>
      </c>
      <c r="G119">
        <v>158.25</v>
      </c>
      <c r="H119">
        <v>50.6</v>
      </c>
      <c r="I119">
        <v>57.944659999999999</v>
      </c>
      <c r="J119">
        <v>6090</v>
      </c>
      <c r="K119">
        <v>2836.2768999999998</v>
      </c>
      <c r="L119">
        <v>14.49</v>
      </c>
      <c r="M119">
        <v>6.8550000000000004</v>
      </c>
      <c r="N119">
        <v>10.23</v>
      </c>
      <c r="O119">
        <v>3.07</v>
      </c>
      <c r="P119">
        <v>2.4500000000000002</v>
      </c>
      <c r="Q119">
        <v>10850</v>
      </c>
      <c r="R119">
        <v>6.9249999999999998</v>
      </c>
      <c r="S119">
        <v>13.06</v>
      </c>
      <c r="T119">
        <v>9.15</v>
      </c>
      <c r="U119">
        <v>7.35</v>
      </c>
      <c r="V119">
        <v>6.05</v>
      </c>
      <c r="W119">
        <v>14.24</v>
      </c>
      <c r="X119">
        <v>19.079999999999998</v>
      </c>
      <c r="Y119">
        <v>18.63</v>
      </c>
      <c r="Z119">
        <v>9.2799999999999994</v>
      </c>
      <c r="AA119">
        <v>1384.9984999999999</v>
      </c>
      <c r="AB119">
        <v>1404.9984999999999</v>
      </c>
      <c r="AC119">
        <v>312.99936000000002</v>
      </c>
    </row>
    <row r="120" spans="1:29" x14ac:dyDescent="0.3">
      <c r="A120" s="9">
        <v>45247</v>
      </c>
      <c r="B120">
        <v>29850</v>
      </c>
      <c r="C120">
        <v>15210</v>
      </c>
      <c r="D120">
        <v>142.5</v>
      </c>
      <c r="E120">
        <v>9.6615420000000007</v>
      </c>
      <c r="F120">
        <v>31.05</v>
      </c>
      <c r="G120">
        <v>174.75</v>
      </c>
      <c r="H120">
        <v>60.4</v>
      </c>
      <c r="I120">
        <v>64.822130000000001</v>
      </c>
      <c r="J120">
        <v>6040</v>
      </c>
      <c r="K120">
        <v>2765.7226999999998</v>
      </c>
      <c r="L120">
        <v>14.77</v>
      </c>
      <c r="M120">
        <v>7.16</v>
      </c>
      <c r="N120">
        <v>10.86</v>
      </c>
      <c r="O120">
        <v>3.12</v>
      </c>
      <c r="P120">
        <v>2.2400000000000002</v>
      </c>
      <c r="Q120">
        <v>10850</v>
      </c>
      <c r="R120">
        <v>6.585</v>
      </c>
      <c r="S120">
        <v>12.86</v>
      </c>
      <c r="T120">
        <v>9.1</v>
      </c>
      <c r="U120">
        <v>7.37</v>
      </c>
      <c r="V120">
        <v>6.07</v>
      </c>
      <c r="W120">
        <v>13.55</v>
      </c>
      <c r="X120">
        <v>19.149999999999999</v>
      </c>
      <c r="Y120">
        <v>17.600000000000001</v>
      </c>
      <c r="Z120">
        <v>9.07</v>
      </c>
      <c r="AA120">
        <v>1283.3320000000001</v>
      </c>
      <c r="AB120">
        <v>1271.6652999999999</v>
      </c>
      <c r="AC120">
        <v>292.33273000000003</v>
      </c>
    </row>
    <row r="121" spans="1:29" x14ac:dyDescent="0.3">
      <c r="A121" s="9">
        <v>45240</v>
      </c>
      <c r="B121">
        <v>31150</v>
      </c>
      <c r="C121">
        <v>15300</v>
      </c>
      <c r="D121">
        <v>145.30000000000001</v>
      </c>
      <c r="E121">
        <v>9.2923109999999998</v>
      </c>
      <c r="F121">
        <v>31.87</v>
      </c>
      <c r="G121">
        <v>197.5</v>
      </c>
      <c r="H121">
        <v>79.8</v>
      </c>
      <c r="I121">
        <v>74.861639999999994</v>
      </c>
      <c r="J121">
        <v>6340</v>
      </c>
      <c r="K121">
        <v>2756.3154</v>
      </c>
      <c r="L121">
        <v>15.99</v>
      </c>
      <c r="M121">
        <v>7.66</v>
      </c>
      <c r="N121">
        <v>11.75</v>
      </c>
      <c r="O121">
        <v>3.06</v>
      </c>
      <c r="P121">
        <v>2.35</v>
      </c>
      <c r="Q121">
        <v>11200</v>
      </c>
      <c r="R121">
        <v>6.72</v>
      </c>
      <c r="S121">
        <v>12.9</v>
      </c>
      <c r="T121">
        <v>9.65</v>
      </c>
      <c r="U121">
        <v>7.04</v>
      </c>
      <c r="V121">
        <v>5.84</v>
      </c>
      <c r="W121">
        <v>12.69</v>
      </c>
      <c r="X121">
        <v>18.010000000000002</v>
      </c>
      <c r="Y121">
        <v>18.329999999999998</v>
      </c>
      <c r="Z121">
        <v>8.73</v>
      </c>
      <c r="AA121">
        <v>1349.9984999999999</v>
      </c>
      <c r="AB121">
        <v>1371.6652999999999</v>
      </c>
      <c r="AC121">
        <v>314.99936000000002</v>
      </c>
    </row>
    <row r="122" spans="1:29" x14ac:dyDescent="0.3">
      <c r="A122" s="9">
        <v>45233</v>
      </c>
      <c r="B122">
        <v>32950</v>
      </c>
      <c r="C122">
        <v>15170</v>
      </c>
      <c r="D122">
        <v>145.1</v>
      </c>
      <c r="E122">
        <v>10.307695000000001</v>
      </c>
      <c r="F122">
        <v>32.44</v>
      </c>
      <c r="G122">
        <v>212.5</v>
      </c>
      <c r="H122">
        <v>91.5</v>
      </c>
      <c r="I122">
        <v>72.964423999999994</v>
      </c>
      <c r="J122">
        <v>7000</v>
      </c>
      <c r="K122">
        <v>2925.6453000000001</v>
      </c>
      <c r="L122">
        <v>17.690000000000001</v>
      </c>
      <c r="M122">
        <v>8.23</v>
      </c>
      <c r="N122">
        <v>14</v>
      </c>
      <c r="O122">
        <v>3.61</v>
      </c>
      <c r="P122">
        <v>2.8</v>
      </c>
      <c r="Q122">
        <v>12400</v>
      </c>
      <c r="R122">
        <v>7.2649999999999997</v>
      </c>
      <c r="S122">
        <v>13.09</v>
      </c>
      <c r="T122">
        <v>10.17</v>
      </c>
      <c r="U122">
        <v>7.4</v>
      </c>
      <c r="V122">
        <v>5.83</v>
      </c>
      <c r="W122">
        <v>13.31</v>
      </c>
      <c r="X122">
        <v>17.7</v>
      </c>
      <c r="Y122">
        <v>17.91</v>
      </c>
      <c r="Z122">
        <v>8.66</v>
      </c>
      <c r="AA122">
        <v>1429.9984999999999</v>
      </c>
      <c r="AB122">
        <v>1463.3317999999999</v>
      </c>
      <c r="AC122">
        <v>338.33264000000003</v>
      </c>
    </row>
    <row r="123" spans="1:29" x14ac:dyDescent="0.3">
      <c r="A123" s="9">
        <v>45226</v>
      </c>
      <c r="B123">
        <v>39200</v>
      </c>
      <c r="C123">
        <v>15370</v>
      </c>
      <c r="D123">
        <v>151.30000000000001</v>
      </c>
      <c r="E123">
        <v>10.692311</v>
      </c>
      <c r="F123">
        <v>37.450000000000003</v>
      </c>
      <c r="G123">
        <v>175.25</v>
      </c>
      <c r="H123">
        <v>74</v>
      </c>
      <c r="I123">
        <v>64.505920000000003</v>
      </c>
      <c r="J123">
        <v>7340</v>
      </c>
      <c r="K123">
        <v>3535</v>
      </c>
      <c r="L123">
        <v>18.63</v>
      </c>
      <c r="M123">
        <v>8.6999999999999993</v>
      </c>
      <c r="N123">
        <v>15.34</v>
      </c>
      <c r="O123">
        <v>3.74</v>
      </c>
      <c r="P123">
        <v>3.59</v>
      </c>
      <c r="Q123">
        <v>12450</v>
      </c>
      <c r="R123">
        <v>7.51</v>
      </c>
      <c r="S123">
        <v>13.29</v>
      </c>
      <c r="T123">
        <v>10.57</v>
      </c>
      <c r="U123">
        <v>7.64</v>
      </c>
      <c r="V123">
        <v>5.9</v>
      </c>
      <c r="W123">
        <v>13.41</v>
      </c>
      <c r="X123">
        <v>17.68</v>
      </c>
      <c r="Y123">
        <v>18.14</v>
      </c>
      <c r="Z123">
        <v>8.92</v>
      </c>
      <c r="AA123">
        <v>1519.9983999999999</v>
      </c>
      <c r="AB123">
        <v>1598.3317</v>
      </c>
      <c r="AC123">
        <v>375.55477999999999</v>
      </c>
    </row>
    <row r="124" spans="1:29" x14ac:dyDescent="0.3">
      <c r="A124" s="9">
        <v>45219</v>
      </c>
      <c r="B124">
        <v>42600</v>
      </c>
      <c r="C124">
        <v>15985</v>
      </c>
      <c r="D124">
        <v>158.6</v>
      </c>
      <c r="E124">
        <v>12.707697</v>
      </c>
      <c r="F124">
        <v>39.58</v>
      </c>
      <c r="G124">
        <v>211.75</v>
      </c>
      <c r="H124">
        <v>91.8</v>
      </c>
      <c r="I124">
        <v>90.118570000000005</v>
      </c>
      <c r="J124">
        <v>7440</v>
      </c>
      <c r="K124">
        <v>3560</v>
      </c>
      <c r="L124">
        <v>22.5</v>
      </c>
      <c r="M124">
        <v>9.2899999999999991</v>
      </c>
      <c r="N124">
        <v>16.39</v>
      </c>
      <c r="O124">
        <v>3.98</v>
      </c>
      <c r="P124">
        <v>4</v>
      </c>
      <c r="Q124">
        <v>12800</v>
      </c>
      <c r="R124">
        <v>7.6150000000000002</v>
      </c>
      <c r="S124">
        <v>13.89</v>
      </c>
      <c r="T124">
        <v>11.7</v>
      </c>
      <c r="U124">
        <v>7.96</v>
      </c>
      <c r="V124">
        <v>5.89</v>
      </c>
      <c r="W124">
        <v>14.38</v>
      </c>
      <c r="X124">
        <v>20.45</v>
      </c>
      <c r="Y124">
        <v>19.63</v>
      </c>
      <c r="Z124">
        <v>9.48</v>
      </c>
      <c r="AA124">
        <v>1438.3317999999999</v>
      </c>
      <c r="AB124">
        <v>1466.6651999999999</v>
      </c>
      <c r="AC124">
        <v>307.66602</v>
      </c>
    </row>
    <row r="125" spans="1:29" x14ac:dyDescent="0.3">
      <c r="A125" s="9">
        <v>45212</v>
      </c>
      <c r="B125">
        <v>43700</v>
      </c>
      <c r="C125">
        <v>15505</v>
      </c>
      <c r="D125">
        <v>135.6</v>
      </c>
      <c r="E125">
        <v>12.415388</v>
      </c>
      <c r="F125">
        <v>38.65</v>
      </c>
      <c r="G125">
        <v>241</v>
      </c>
      <c r="H125">
        <v>108</v>
      </c>
      <c r="I125">
        <v>122.13437</v>
      </c>
      <c r="J125">
        <v>6870</v>
      </c>
      <c r="K125">
        <v>3385</v>
      </c>
      <c r="L125">
        <v>21.29</v>
      </c>
      <c r="M125">
        <v>8.875</v>
      </c>
      <c r="N125">
        <v>15.23</v>
      </c>
      <c r="O125">
        <v>3.74</v>
      </c>
      <c r="P125">
        <v>4</v>
      </c>
      <c r="Q125">
        <v>13350</v>
      </c>
      <c r="R125">
        <v>7.87</v>
      </c>
      <c r="S125">
        <v>15.03</v>
      </c>
      <c r="T125">
        <v>11.24</v>
      </c>
      <c r="U125">
        <v>7.89</v>
      </c>
      <c r="V125">
        <v>5.82</v>
      </c>
      <c r="W125">
        <v>14.31</v>
      </c>
      <c r="X125">
        <v>20.07</v>
      </c>
      <c r="Y125">
        <v>20.32</v>
      </c>
      <c r="Z125">
        <v>9.1050000000000004</v>
      </c>
      <c r="AA125">
        <v>1451.6651999999999</v>
      </c>
      <c r="AB125">
        <v>1454.9984999999999</v>
      </c>
      <c r="AC125">
        <v>311.22160000000002</v>
      </c>
    </row>
    <row r="126" spans="1:29" x14ac:dyDescent="0.3">
      <c r="A126" s="9">
        <v>45205</v>
      </c>
      <c r="B126">
        <v>46100</v>
      </c>
      <c r="C126">
        <v>17100</v>
      </c>
      <c r="D126">
        <v>154.30000000000001</v>
      </c>
      <c r="E126">
        <v>13.230774</v>
      </c>
      <c r="F126">
        <v>43.55</v>
      </c>
      <c r="G126">
        <v>291.25</v>
      </c>
      <c r="H126">
        <v>115.5</v>
      </c>
      <c r="I126">
        <v>122.92488</v>
      </c>
      <c r="J126">
        <v>6700</v>
      </c>
      <c r="K126">
        <v>3430</v>
      </c>
      <c r="L126">
        <v>21.59</v>
      </c>
      <c r="M126">
        <v>10.64</v>
      </c>
      <c r="N126">
        <v>16.760000000000002</v>
      </c>
      <c r="O126">
        <v>4.3899999999999997</v>
      </c>
      <c r="P126">
        <v>4.0999999999999996</v>
      </c>
      <c r="Q126">
        <v>12350</v>
      </c>
      <c r="R126">
        <v>8.6349999999999998</v>
      </c>
      <c r="S126">
        <v>14.99</v>
      </c>
      <c r="T126">
        <v>10.82</v>
      </c>
      <c r="U126">
        <v>8.9</v>
      </c>
      <c r="V126">
        <v>6.29</v>
      </c>
      <c r="W126">
        <v>15.71</v>
      </c>
      <c r="X126">
        <v>21.09</v>
      </c>
      <c r="Y126">
        <v>22.74</v>
      </c>
      <c r="Z126">
        <v>9.61</v>
      </c>
      <c r="AA126">
        <v>1499.9983999999999</v>
      </c>
      <c r="AB126">
        <v>1458.3317999999999</v>
      </c>
      <c r="AC126">
        <v>328.666</v>
      </c>
    </row>
    <row r="127" spans="1:29" x14ac:dyDescent="0.3">
      <c r="A127" s="9">
        <v>45198</v>
      </c>
      <c r="B127">
        <v>49650</v>
      </c>
      <c r="C127">
        <v>16865</v>
      </c>
      <c r="D127">
        <v>158.4</v>
      </c>
      <c r="E127">
        <v>12.476927</v>
      </c>
      <c r="F127">
        <v>46.4</v>
      </c>
      <c r="G127">
        <v>310</v>
      </c>
      <c r="H127">
        <v>116</v>
      </c>
      <c r="I127">
        <v>137.94463999999999</v>
      </c>
      <c r="J127">
        <v>6910</v>
      </c>
      <c r="K127">
        <v>3385</v>
      </c>
      <c r="L127">
        <v>19.510000000000002</v>
      </c>
      <c r="M127">
        <v>9.9700000000000006</v>
      </c>
      <c r="N127">
        <v>15.8</v>
      </c>
      <c r="O127">
        <v>4.47</v>
      </c>
      <c r="P127">
        <v>3.69</v>
      </c>
      <c r="Q127">
        <v>12500</v>
      </c>
      <c r="R127">
        <v>6.98</v>
      </c>
      <c r="S127">
        <v>14.21</v>
      </c>
      <c r="T127">
        <v>10.54</v>
      </c>
      <c r="U127">
        <v>8.52</v>
      </c>
      <c r="V127">
        <v>6.4</v>
      </c>
      <c r="W127">
        <v>15.03</v>
      </c>
      <c r="X127">
        <v>20.04</v>
      </c>
      <c r="Y127">
        <v>22.38</v>
      </c>
      <c r="Z127">
        <v>9.3800000000000008</v>
      </c>
      <c r="AA127">
        <v>1614.9983</v>
      </c>
      <c r="AB127">
        <v>1551.665</v>
      </c>
      <c r="AC127">
        <v>342.77706999999998</v>
      </c>
    </row>
    <row r="128" spans="1:29" x14ac:dyDescent="0.3">
      <c r="A128" s="9">
        <v>45191</v>
      </c>
      <c r="B128">
        <v>45400</v>
      </c>
      <c r="C128">
        <v>18070</v>
      </c>
      <c r="D128">
        <v>166.3</v>
      </c>
      <c r="E128">
        <v>12.276927000000001</v>
      </c>
      <c r="F128">
        <v>39.99</v>
      </c>
      <c r="G128">
        <v>350</v>
      </c>
      <c r="H128">
        <v>149.5</v>
      </c>
      <c r="I128">
        <v>179.05135000000001</v>
      </c>
      <c r="J128">
        <v>6630</v>
      </c>
      <c r="K128">
        <v>3280</v>
      </c>
      <c r="L128">
        <v>18.88</v>
      </c>
      <c r="M128">
        <v>10.029999999999999</v>
      </c>
      <c r="N128">
        <v>15.74</v>
      </c>
      <c r="O128">
        <v>4.75</v>
      </c>
      <c r="P128">
        <v>3.68</v>
      </c>
      <c r="Q128">
        <v>12300</v>
      </c>
      <c r="R128">
        <v>7.05</v>
      </c>
      <c r="S128">
        <v>14.18</v>
      </c>
      <c r="T128">
        <v>10.14</v>
      </c>
      <c r="U128">
        <v>8.3800000000000008</v>
      </c>
      <c r="V128">
        <v>6.15</v>
      </c>
      <c r="W128">
        <v>15.03</v>
      </c>
      <c r="X128">
        <v>19.88</v>
      </c>
      <c r="Y128">
        <v>21.37</v>
      </c>
      <c r="Z128">
        <v>9.0749999999999993</v>
      </c>
      <c r="AA128">
        <v>1743.3315</v>
      </c>
      <c r="AB128">
        <v>1643.3317</v>
      </c>
      <c r="AC128">
        <v>380.55477999999999</v>
      </c>
    </row>
    <row r="129" spans="1:29" x14ac:dyDescent="0.3">
      <c r="A129" s="9">
        <v>45184</v>
      </c>
      <c r="B129">
        <v>44850</v>
      </c>
      <c r="C129">
        <v>18330</v>
      </c>
      <c r="D129">
        <v>180.1</v>
      </c>
      <c r="E129">
        <v>14.738466000000001</v>
      </c>
      <c r="F129">
        <v>46.54</v>
      </c>
      <c r="G129">
        <v>400</v>
      </c>
      <c r="H129">
        <v>151</v>
      </c>
      <c r="I129">
        <v>215.81023999999999</v>
      </c>
      <c r="J129">
        <v>6900</v>
      </c>
      <c r="K129">
        <v>3440</v>
      </c>
      <c r="L129">
        <v>22.55</v>
      </c>
      <c r="M129">
        <v>11.09</v>
      </c>
      <c r="N129">
        <v>18.79</v>
      </c>
      <c r="O129">
        <v>5.42</v>
      </c>
      <c r="P129">
        <v>4.3499999999999996</v>
      </c>
      <c r="Q129">
        <v>12300</v>
      </c>
      <c r="R129">
        <v>7</v>
      </c>
      <c r="S129">
        <v>14.71</v>
      </c>
      <c r="T129">
        <v>11.05</v>
      </c>
      <c r="U129">
        <v>8.8699999999999992</v>
      </c>
      <c r="V129">
        <v>6.5</v>
      </c>
      <c r="W129">
        <v>15.55</v>
      </c>
      <c r="X129">
        <v>20.190000000000001</v>
      </c>
      <c r="Y129">
        <v>22.18</v>
      </c>
      <c r="Z129">
        <v>8.8800000000000008</v>
      </c>
      <c r="AA129">
        <v>1719.9982</v>
      </c>
      <c r="AB129">
        <v>1609.9983</v>
      </c>
      <c r="AC129">
        <v>384.99919999999997</v>
      </c>
    </row>
    <row r="130" spans="1:29" x14ac:dyDescent="0.3">
      <c r="A130" s="9">
        <v>45177</v>
      </c>
      <c r="B130">
        <v>44400</v>
      </c>
      <c r="C130">
        <v>17795</v>
      </c>
      <c r="D130">
        <v>187.6</v>
      </c>
      <c r="E130">
        <v>15.576928000000001</v>
      </c>
      <c r="F130">
        <v>42.34</v>
      </c>
      <c r="G130">
        <v>516.25</v>
      </c>
      <c r="H130">
        <v>191</v>
      </c>
      <c r="I130">
        <v>258.10271999999998</v>
      </c>
      <c r="J130">
        <v>7390</v>
      </c>
      <c r="K130">
        <v>3565</v>
      </c>
      <c r="L130">
        <v>22.13</v>
      </c>
      <c r="M130">
        <v>10.11</v>
      </c>
      <c r="N130">
        <v>18.45</v>
      </c>
      <c r="O130">
        <v>5.0199999999999996</v>
      </c>
      <c r="P130">
        <v>3.87</v>
      </c>
      <c r="Q130">
        <v>12400</v>
      </c>
      <c r="R130">
        <v>6.5</v>
      </c>
      <c r="S130">
        <v>14.26</v>
      </c>
      <c r="T130">
        <v>10.64</v>
      </c>
      <c r="U130">
        <v>8.18</v>
      </c>
      <c r="V130">
        <v>6.34</v>
      </c>
      <c r="W130">
        <v>14.19</v>
      </c>
      <c r="X130">
        <v>19.38</v>
      </c>
      <c r="Y130">
        <v>21.43</v>
      </c>
      <c r="Z130">
        <v>8.6</v>
      </c>
      <c r="AA130">
        <v>1856.6647</v>
      </c>
      <c r="AB130">
        <v>1719.9982</v>
      </c>
      <c r="AC130">
        <v>432.22129999999999</v>
      </c>
    </row>
    <row r="131" spans="1:29" x14ac:dyDescent="0.3">
      <c r="A131" s="9">
        <v>45170</v>
      </c>
      <c r="B131">
        <v>43050</v>
      </c>
      <c r="C131">
        <v>18250</v>
      </c>
      <c r="D131">
        <v>190.8</v>
      </c>
      <c r="E131">
        <v>15.000005</v>
      </c>
      <c r="F131">
        <v>48.94</v>
      </c>
      <c r="G131">
        <v>467.5</v>
      </c>
      <c r="H131">
        <v>195.5</v>
      </c>
      <c r="I131">
        <v>217.39127999999999</v>
      </c>
      <c r="J131">
        <v>8270</v>
      </c>
      <c r="K131">
        <v>3450</v>
      </c>
      <c r="L131">
        <v>23.56</v>
      </c>
      <c r="M131">
        <v>11.18</v>
      </c>
      <c r="N131">
        <v>19.68</v>
      </c>
      <c r="O131">
        <v>5.28</v>
      </c>
      <c r="P131">
        <v>4.13</v>
      </c>
      <c r="Q131">
        <v>12450</v>
      </c>
      <c r="R131">
        <v>6.75</v>
      </c>
      <c r="S131">
        <v>15.08</v>
      </c>
      <c r="T131">
        <v>11.14</v>
      </c>
      <c r="U131">
        <v>8.84</v>
      </c>
      <c r="V131">
        <v>6.67</v>
      </c>
      <c r="W131">
        <v>15.7</v>
      </c>
      <c r="X131">
        <v>20.36</v>
      </c>
      <c r="Y131">
        <v>24.24</v>
      </c>
      <c r="Z131">
        <v>8.66</v>
      </c>
      <c r="AA131">
        <v>1836.6648</v>
      </c>
      <c r="AB131">
        <v>1726.6649</v>
      </c>
      <c r="AC131">
        <v>421.11023</v>
      </c>
    </row>
    <row r="132" spans="1:29" x14ac:dyDescent="0.3">
      <c r="A132" s="9">
        <v>45163</v>
      </c>
      <c r="B132">
        <v>44800</v>
      </c>
      <c r="C132">
        <v>18185</v>
      </c>
      <c r="D132">
        <v>193.7</v>
      </c>
      <c r="E132">
        <v>15.423081</v>
      </c>
      <c r="F132">
        <v>41.61</v>
      </c>
      <c r="G132">
        <v>446.25</v>
      </c>
      <c r="H132">
        <v>188</v>
      </c>
      <c r="I132">
        <v>226.08693</v>
      </c>
      <c r="J132">
        <v>8340</v>
      </c>
      <c r="K132">
        <v>3550</v>
      </c>
      <c r="L132">
        <v>20.58</v>
      </c>
      <c r="M132">
        <v>10.46</v>
      </c>
      <c r="N132">
        <v>17.88</v>
      </c>
      <c r="O132">
        <v>4.6399999999999997</v>
      </c>
      <c r="P132">
        <v>3.74</v>
      </c>
      <c r="Q132">
        <v>12450</v>
      </c>
      <c r="R132">
        <v>6.5970000000000004</v>
      </c>
      <c r="S132">
        <v>13.75</v>
      </c>
      <c r="T132">
        <v>10.58</v>
      </c>
      <c r="U132">
        <v>8.93</v>
      </c>
      <c r="V132">
        <v>6.57</v>
      </c>
      <c r="W132">
        <v>13.93</v>
      </c>
      <c r="X132">
        <v>19.5</v>
      </c>
      <c r="Y132">
        <v>21.42</v>
      </c>
      <c r="Z132">
        <v>8.6300000000000008</v>
      </c>
      <c r="AA132">
        <v>1779.9982</v>
      </c>
      <c r="AB132">
        <v>1676.6649</v>
      </c>
      <c r="AC132">
        <v>405.55471999999997</v>
      </c>
    </row>
    <row r="133" spans="1:29" x14ac:dyDescent="0.3">
      <c r="A133" s="9">
        <v>45156</v>
      </c>
      <c r="B133">
        <v>44650</v>
      </c>
      <c r="C133">
        <v>18045</v>
      </c>
      <c r="D133">
        <v>184.3</v>
      </c>
      <c r="E133">
        <v>14.5</v>
      </c>
      <c r="F133">
        <v>41.48</v>
      </c>
      <c r="G133">
        <v>385</v>
      </c>
      <c r="H133">
        <v>145.5</v>
      </c>
      <c r="I133">
        <v>189.72329999999999</v>
      </c>
      <c r="J133">
        <v>7940</v>
      </c>
      <c r="K133">
        <v>3415</v>
      </c>
      <c r="L133">
        <v>20.55</v>
      </c>
      <c r="M133">
        <v>10.34</v>
      </c>
      <c r="N133">
        <v>18.41</v>
      </c>
      <c r="O133">
        <v>4.47</v>
      </c>
      <c r="P133">
        <v>3.58</v>
      </c>
      <c r="Q133">
        <v>12350</v>
      </c>
      <c r="R133">
        <v>6.22</v>
      </c>
      <c r="S133">
        <v>12.8</v>
      </c>
      <c r="T133">
        <v>10.3</v>
      </c>
      <c r="U133">
        <v>8.68</v>
      </c>
      <c r="V133">
        <v>6.3</v>
      </c>
      <c r="W133">
        <v>13.79</v>
      </c>
      <c r="X133">
        <v>19.05</v>
      </c>
      <c r="Y133">
        <v>20.28</v>
      </c>
      <c r="Z133">
        <v>8.91</v>
      </c>
      <c r="AA133">
        <v>1779.9982</v>
      </c>
      <c r="AB133">
        <v>1651.6649</v>
      </c>
      <c r="AC133">
        <v>396.1103</v>
      </c>
    </row>
    <row r="134" spans="1:29" x14ac:dyDescent="0.3">
      <c r="A134" s="9">
        <v>45149</v>
      </c>
      <c r="B134">
        <v>43950</v>
      </c>
      <c r="C134">
        <v>17340</v>
      </c>
      <c r="D134">
        <v>177.5</v>
      </c>
      <c r="E134">
        <v>13.9</v>
      </c>
      <c r="F134">
        <v>37.85</v>
      </c>
      <c r="G134">
        <v>330</v>
      </c>
      <c r="H134">
        <v>117</v>
      </c>
      <c r="I134">
        <v>176.67982000000001</v>
      </c>
      <c r="J134">
        <v>7540</v>
      </c>
      <c r="K134">
        <v>3375</v>
      </c>
      <c r="L134">
        <v>17.34</v>
      </c>
      <c r="M134">
        <v>9.59</v>
      </c>
      <c r="N134">
        <v>16.14</v>
      </c>
      <c r="O134">
        <v>3.91</v>
      </c>
      <c r="P134">
        <v>3.1</v>
      </c>
      <c r="Q134">
        <v>12350</v>
      </c>
      <c r="R134">
        <v>5.98</v>
      </c>
      <c r="S134">
        <v>12.46</v>
      </c>
      <c r="T134">
        <v>9.44</v>
      </c>
      <c r="U134">
        <v>7.93</v>
      </c>
      <c r="V134">
        <v>5.79</v>
      </c>
      <c r="W134">
        <v>12.22</v>
      </c>
      <c r="X134">
        <v>16</v>
      </c>
      <c r="Y134">
        <v>16.5</v>
      </c>
      <c r="Z134">
        <v>8.33</v>
      </c>
      <c r="AA134">
        <v>1783.3314</v>
      </c>
      <c r="AB134">
        <v>1639.9983</v>
      </c>
      <c r="AC134">
        <v>389.99918000000002</v>
      </c>
    </row>
    <row r="135" spans="1:29" x14ac:dyDescent="0.3">
      <c r="A135" s="9">
        <v>45142</v>
      </c>
      <c r="B135">
        <v>41900</v>
      </c>
      <c r="C135">
        <v>17380</v>
      </c>
      <c r="D135">
        <v>188.9</v>
      </c>
      <c r="E135">
        <v>12.58</v>
      </c>
      <c r="F135">
        <v>37.81</v>
      </c>
      <c r="G135">
        <v>355</v>
      </c>
      <c r="H135">
        <v>131</v>
      </c>
      <c r="I135">
        <v>182.60865999999999</v>
      </c>
      <c r="J135">
        <v>7580</v>
      </c>
      <c r="K135">
        <v>3310</v>
      </c>
      <c r="L135">
        <v>18.53</v>
      </c>
      <c r="M135">
        <v>9.5399999999999991</v>
      </c>
      <c r="N135">
        <v>17.54</v>
      </c>
      <c r="O135">
        <v>4.18</v>
      </c>
      <c r="P135">
        <v>3.32</v>
      </c>
      <c r="Q135">
        <v>12300</v>
      </c>
      <c r="R135">
        <v>5.98</v>
      </c>
      <c r="S135">
        <v>12.07</v>
      </c>
      <c r="T135">
        <v>9.3000000000000007</v>
      </c>
      <c r="U135">
        <v>8.0299999999999994</v>
      </c>
      <c r="V135">
        <v>5.78</v>
      </c>
      <c r="W135">
        <v>12.39</v>
      </c>
      <c r="X135">
        <v>16.73</v>
      </c>
      <c r="Y135">
        <v>16.420000000000002</v>
      </c>
      <c r="Z135">
        <v>8.4</v>
      </c>
      <c r="AA135">
        <v>1959.9979000000001</v>
      </c>
      <c r="AB135">
        <v>1883.3314</v>
      </c>
      <c r="AC135">
        <v>413.33246000000003</v>
      </c>
    </row>
    <row r="136" spans="1:29" x14ac:dyDescent="0.3">
      <c r="A136" s="9">
        <v>45135</v>
      </c>
      <c r="B136">
        <v>40000</v>
      </c>
      <c r="C136">
        <v>17415</v>
      </c>
      <c r="D136">
        <v>182.2</v>
      </c>
      <c r="E136">
        <v>11.7</v>
      </c>
      <c r="F136">
        <v>39.14</v>
      </c>
      <c r="G136">
        <v>326.25</v>
      </c>
      <c r="H136">
        <v>133</v>
      </c>
      <c r="I136">
        <v>169.96045000000001</v>
      </c>
      <c r="J136">
        <v>7550</v>
      </c>
      <c r="K136">
        <v>3095</v>
      </c>
      <c r="L136">
        <v>19.03</v>
      </c>
      <c r="M136">
        <v>9.77</v>
      </c>
      <c r="N136">
        <v>17.55</v>
      </c>
      <c r="O136">
        <v>4.34</v>
      </c>
      <c r="P136">
        <v>3.34</v>
      </c>
      <c r="Q136">
        <v>11800</v>
      </c>
      <c r="R136">
        <v>5.93</v>
      </c>
      <c r="S136">
        <v>12.1</v>
      </c>
      <c r="T136">
        <v>9.6</v>
      </c>
      <c r="U136">
        <v>7.96</v>
      </c>
      <c r="V136">
        <v>5.8</v>
      </c>
      <c r="W136">
        <v>12.65</v>
      </c>
      <c r="X136">
        <v>16.45</v>
      </c>
      <c r="Y136">
        <v>16.350000000000001</v>
      </c>
      <c r="Z136">
        <v>8.84</v>
      </c>
      <c r="AA136">
        <v>2589.9973</v>
      </c>
      <c r="AB136">
        <v>2296.6642999999999</v>
      </c>
      <c r="AC136">
        <v>456.11016999999998</v>
      </c>
    </row>
    <row r="137" spans="1:29" x14ac:dyDescent="0.3">
      <c r="A137" s="9">
        <v>45128</v>
      </c>
      <c r="B137">
        <v>39950</v>
      </c>
      <c r="C137">
        <v>17365</v>
      </c>
      <c r="D137">
        <v>202.6</v>
      </c>
      <c r="E137">
        <v>13.48</v>
      </c>
      <c r="F137">
        <v>42.65</v>
      </c>
      <c r="G137">
        <v>331.25</v>
      </c>
      <c r="H137">
        <v>130.5</v>
      </c>
      <c r="I137">
        <v>178.26083</v>
      </c>
      <c r="J137">
        <v>7540</v>
      </c>
      <c r="K137">
        <v>3080</v>
      </c>
      <c r="L137">
        <v>19.37</v>
      </c>
      <c r="M137">
        <v>9.69</v>
      </c>
      <c r="N137">
        <v>17.350000000000001</v>
      </c>
      <c r="O137">
        <v>4.24</v>
      </c>
      <c r="P137">
        <v>3.37</v>
      </c>
      <c r="Q137">
        <v>11650</v>
      </c>
      <c r="R137">
        <v>5.7</v>
      </c>
      <c r="S137">
        <v>12.46</v>
      </c>
      <c r="T137">
        <v>9.49</v>
      </c>
      <c r="U137">
        <v>7.58</v>
      </c>
      <c r="V137">
        <v>5.48</v>
      </c>
      <c r="W137">
        <v>11.44</v>
      </c>
      <c r="X137">
        <v>16.07</v>
      </c>
      <c r="Y137">
        <v>14.93</v>
      </c>
      <c r="Z137">
        <v>8.58</v>
      </c>
      <c r="AA137">
        <v>2679.9973</v>
      </c>
      <c r="AB137">
        <v>2433.3308000000002</v>
      </c>
      <c r="AC137">
        <v>552.77660000000003</v>
      </c>
    </row>
    <row r="138" spans="1:29" x14ac:dyDescent="0.3">
      <c r="A138" s="9">
        <v>45121</v>
      </c>
      <c r="B138">
        <v>39150</v>
      </c>
      <c r="C138">
        <v>18615</v>
      </c>
      <c r="D138">
        <v>216.2</v>
      </c>
      <c r="E138">
        <v>14.94</v>
      </c>
      <c r="F138">
        <v>44.44</v>
      </c>
      <c r="G138">
        <v>352.5</v>
      </c>
      <c r="H138">
        <v>137</v>
      </c>
      <c r="I138">
        <v>199.20946000000001</v>
      </c>
      <c r="J138">
        <v>7410</v>
      </c>
      <c r="K138">
        <v>2885</v>
      </c>
      <c r="L138">
        <v>20.48</v>
      </c>
      <c r="M138">
        <v>10.28</v>
      </c>
      <c r="N138">
        <v>18</v>
      </c>
      <c r="O138">
        <v>4.3</v>
      </c>
      <c r="P138">
        <v>3.45</v>
      </c>
      <c r="Q138">
        <v>11150</v>
      </c>
      <c r="R138">
        <v>5.7850000000000001</v>
      </c>
      <c r="S138">
        <v>12.06</v>
      </c>
      <c r="T138">
        <v>9.25</v>
      </c>
      <c r="U138">
        <v>7.4</v>
      </c>
      <c r="V138">
        <v>5.4</v>
      </c>
      <c r="W138">
        <v>11.19</v>
      </c>
      <c r="X138">
        <v>16.02</v>
      </c>
      <c r="Y138">
        <v>15.37</v>
      </c>
      <c r="Z138">
        <v>8</v>
      </c>
      <c r="AA138">
        <v>2429.9976000000001</v>
      </c>
      <c r="AB138">
        <v>2153.3310000000001</v>
      </c>
      <c r="AC138">
        <v>501.11007999999998</v>
      </c>
    </row>
    <row r="139" spans="1:29" x14ac:dyDescent="0.3">
      <c r="A139" s="9">
        <v>45114</v>
      </c>
      <c r="B139">
        <v>38200</v>
      </c>
      <c r="C139">
        <v>17845</v>
      </c>
      <c r="D139">
        <v>192.7</v>
      </c>
      <c r="E139">
        <v>13.2</v>
      </c>
      <c r="F139">
        <v>46.07</v>
      </c>
      <c r="G139">
        <v>313.75</v>
      </c>
      <c r="H139">
        <v>120.5</v>
      </c>
      <c r="I139">
        <v>175.49404999999999</v>
      </c>
      <c r="J139">
        <v>7630</v>
      </c>
      <c r="K139">
        <v>2705</v>
      </c>
      <c r="L139">
        <v>20.309999999999999</v>
      </c>
      <c r="M139">
        <v>10.039999999999999</v>
      </c>
      <c r="N139">
        <v>17.14</v>
      </c>
      <c r="O139">
        <v>4.29</v>
      </c>
      <c r="P139">
        <v>3.56</v>
      </c>
      <c r="Q139">
        <v>10200</v>
      </c>
      <c r="R139">
        <v>5.5549999999999997</v>
      </c>
      <c r="S139">
        <v>11.78</v>
      </c>
      <c r="T139">
        <v>8.77</v>
      </c>
      <c r="U139">
        <v>7.24</v>
      </c>
      <c r="V139">
        <v>5.32</v>
      </c>
      <c r="W139">
        <v>10.65</v>
      </c>
      <c r="X139">
        <v>15.94</v>
      </c>
      <c r="Y139">
        <v>14.54</v>
      </c>
      <c r="Z139">
        <v>7.87</v>
      </c>
      <c r="AA139">
        <v>2779.9969999999998</v>
      </c>
      <c r="AB139">
        <v>2613.3305999999998</v>
      </c>
      <c r="AC139">
        <v>584.44323999999995</v>
      </c>
    </row>
    <row r="140" spans="1:29" x14ac:dyDescent="0.3">
      <c r="A140" s="9">
        <v>45107</v>
      </c>
      <c r="B140">
        <v>40950</v>
      </c>
      <c r="C140">
        <v>18055</v>
      </c>
      <c r="D140">
        <v>198.5</v>
      </c>
      <c r="E140">
        <v>14.5</v>
      </c>
      <c r="F140">
        <v>48.99</v>
      </c>
      <c r="G140">
        <v>333.75</v>
      </c>
      <c r="H140">
        <v>125.5</v>
      </c>
      <c r="I140">
        <v>183.91300000000001</v>
      </c>
      <c r="J140">
        <v>8100</v>
      </c>
      <c r="K140">
        <v>2920</v>
      </c>
      <c r="L140">
        <v>23.74</v>
      </c>
      <c r="M140">
        <v>12.02</v>
      </c>
      <c r="N140">
        <v>20.41</v>
      </c>
      <c r="O140">
        <v>5.14</v>
      </c>
      <c r="P140">
        <v>4.1900000000000004</v>
      </c>
      <c r="Q140">
        <v>11000</v>
      </c>
      <c r="R140">
        <v>5.5750000000000002</v>
      </c>
      <c r="S140">
        <v>13.29</v>
      </c>
      <c r="T140">
        <v>9</v>
      </c>
      <c r="U140">
        <v>7.37</v>
      </c>
      <c r="V140">
        <v>5.49</v>
      </c>
      <c r="W140">
        <v>11.36</v>
      </c>
      <c r="X140">
        <v>17.07</v>
      </c>
      <c r="Y140">
        <v>15.76</v>
      </c>
      <c r="Z140">
        <v>7.91</v>
      </c>
      <c r="AA140">
        <v>2979.9967999999999</v>
      </c>
      <c r="AB140">
        <v>2816.6637999999998</v>
      </c>
      <c r="AC140">
        <v>589.99879999999996</v>
      </c>
    </row>
    <row r="141" spans="1:29" x14ac:dyDescent="0.3">
      <c r="A141" s="9">
        <v>45100</v>
      </c>
      <c r="B141">
        <v>39300</v>
      </c>
      <c r="C141">
        <v>18615</v>
      </c>
      <c r="D141">
        <v>195.6</v>
      </c>
      <c r="E141">
        <v>14.1</v>
      </c>
      <c r="F141">
        <v>54.14</v>
      </c>
      <c r="G141">
        <v>320</v>
      </c>
      <c r="H141">
        <v>123</v>
      </c>
      <c r="I141">
        <v>182.60865999999999</v>
      </c>
      <c r="J141">
        <v>7800</v>
      </c>
      <c r="K141">
        <v>2955</v>
      </c>
      <c r="L141">
        <v>23.88</v>
      </c>
      <c r="M141">
        <v>11.62</v>
      </c>
      <c r="N141">
        <v>20.149999999999999</v>
      </c>
      <c r="O141">
        <v>5.0599999999999996</v>
      </c>
      <c r="P141">
        <v>4.18</v>
      </c>
      <c r="Q141">
        <v>11250</v>
      </c>
      <c r="R141">
        <v>5.5</v>
      </c>
      <c r="S141">
        <v>13.56</v>
      </c>
      <c r="T141">
        <v>8.99</v>
      </c>
      <c r="U141">
        <v>7.67</v>
      </c>
      <c r="V141">
        <v>5.83</v>
      </c>
      <c r="W141">
        <v>12.51</v>
      </c>
      <c r="X141">
        <v>18.13</v>
      </c>
      <c r="Y141">
        <v>17.13</v>
      </c>
      <c r="Z141">
        <v>8.02</v>
      </c>
      <c r="AA141">
        <v>3293.3298</v>
      </c>
      <c r="AB141">
        <v>3009.9967999999999</v>
      </c>
      <c r="AC141">
        <v>687.77637000000004</v>
      </c>
    </row>
    <row r="142" spans="1:29" x14ac:dyDescent="0.3">
      <c r="A142" s="9">
        <v>45093</v>
      </c>
      <c r="B142">
        <v>38250</v>
      </c>
      <c r="C142">
        <v>19360</v>
      </c>
      <c r="D142">
        <v>209.6</v>
      </c>
      <c r="E142">
        <v>15.58</v>
      </c>
      <c r="F142">
        <v>58.61</v>
      </c>
      <c r="G142">
        <v>335</v>
      </c>
      <c r="H142">
        <v>126.5</v>
      </c>
      <c r="I142">
        <v>186.95648</v>
      </c>
      <c r="J142">
        <v>7230</v>
      </c>
      <c r="K142">
        <v>2850</v>
      </c>
      <c r="L142">
        <v>23.6</v>
      </c>
      <c r="M142">
        <v>11.36</v>
      </c>
      <c r="N142">
        <v>20.16</v>
      </c>
      <c r="O142">
        <v>5.52</v>
      </c>
      <c r="P142">
        <v>4.13</v>
      </c>
      <c r="Q142">
        <v>11400</v>
      </c>
      <c r="R142">
        <v>5.1849999999999996</v>
      </c>
      <c r="S142">
        <v>12.57</v>
      </c>
      <c r="T142">
        <v>8.67</v>
      </c>
      <c r="U142">
        <v>7.8</v>
      </c>
      <c r="V142">
        <v>5.81</v>
      </c>
      <c r="W142">
        <v>12.16</v>
      </c>
      <c r="X142">
        <v>17.46</v>
      </c>
      <c r="Y142">
        <v>16.100000000000001</v>
      </c>
      <c r="Z142">
        <v>8</v>
      </c>
      <c r="AA142">
        <v>3449.9962999999998</v>
      </c>
      <c r="AB142">
        <v>3166.6633000000002</v>
      </c>
      <c r="AC142">
        <v>846.66489999999999</v>
      </c>
    </row>
    <row r="143" spans="1:29" x14ac:dyDescent="0.3">
      <c r="A143" s="9">
        <v>45086</v>
      </c>
      <c r="B143">
        <v>38550</v>
      </c>
      <c r="C143">
        <v>19590</v>
      </c>
      <c r="D143">
        <v>232.6</v>
      </c>
      <c r="E143">
        <v>14.16</v>
      </c>
      <c r="F143">
        <v>59.41</v>
      </c>
      <c r="G143">
        <v>283.75</v>
      </c>
      <c r="H143">
        <v>108</v>
      </c>
      <c r="I143">
        <v>159.56519</v>
      </c>
      <c r="J143">
        <v>7480</v>
      </c>
      <c r="K143">
        <v>2950</v>
      </c>
      <c r="L143">
        <v>22.94</v>
      </c>
      <c r="M143">
        <v>11.21</v>
      </c>
      <c r="N143">
        <v>20.53</v>
      </c>
      <c r="O143">
        <v>5.85</v>
      </c>
      <c r="P143">
        <v>4.87</v>
      </c>
      <c r="Q143">
        <v>11900</v>
      </c>
      <c r="R143">
        <v>5.2</v>
      </c>
      <c r="S143">
        <v>11.46</v>
      </c>
      <c r="T143">
        <v>8.5399999999999991</v>
      </c>
      <c r="U143">
        <v>7.95</v>
      </c>
      <c r="V143">
        <v>5.8</v>
      </c>
      <c r="W143">
        <v>12.03</v>
      </c>
      <c r="X143">
        <v>16.690000000000001</v>
      </c>
      <c r="Y143">
        <v>16.079999999999998</v>
      </c>
      <c r="Z143">
        <v>7.71</v>
      </c>
      <c r="AA143">
        <v>3663.3296</v>
      </c>
      <c r="AB143">
        <v>3289.9965999999999</v>
      </c>
      <c r="AC143">
        <v>931.10913000000005</v>
      </c>
    </row>
    <row r="144" spans="1:29" x14ac:dyDescent="0.3">
      <c r="A144" s="9">
        <v>45079</v>
      </c>
      <c r="B144">
        <v>38050</v>
      </c>
      <c r="C144">
        <v>19350</v>
      </c>
      <c r="D144">
        <v>217.4</v>
      </c>
      <c r="E144">
        <v>14.1</v>
      </c>
      <c r="F144">
        <v>56.7</v>
      </c>
      <c r="G144">
        <v>250</v>
      </c>
      <c r="H144">
        <v>96.8</v>
      </c>
      <c r="I144">
        <v>147.39126999999999</v>
      </c>
      <c r="J144">
        <v>7340</v>
      </c>
      <c r="K144">
        <v>2910</v>
      </c>
      <c r="L144">
        <v>22.74</v>
      </c>
      <c r="M144">
        <v>10.56</v>
      </c>
      <c r="N144">
        <v>19</v>
      </c>
      <c r="O144">
        <v>5.24</v>
      </c>
      <c r="P144">
        <v>4.87</v>
      </c>
      <c r="Q144">
        <v>11550</v>
      </c>
      <c r="R144">
        <v>5.54</v>
      </c>
      <c r="S144">
        <v>12.33</v>
      </c>
      <c r="T144">
        <v>8.59</v>
      </c>
      <c r="U144">
        <v>8.4499999999999993</v>
      </c>
      <c r="V144">
        <v>6.07</v>
      </c>
      <c r="W144">
        <v>12.79</v>
      </c>
      <c r="X144">
        <v>17.55</v>
      </c>
      <c r="Y144">
        <v>16.510000000000002</v>
      </c>
      <c r="Z144">
        <v>7.64</v>
      </c>
      <c r="AA144">
        <v>2766.6637999999998</v>
      </c>
      <c r="AB144">
        <v>2503.3308000000002</v>
      </c>
      <c r="AC144">
        <v>646.6653</v>
      </c>
    </row>
    <row r="145" spans="1:29" x14ac:dyDescent="0.3">
      <c r="A145" s="9">
        <v>45072</v>
      </c>
      <c r="B145">
        <v>31800</v>
      </c>
      <c r="C145">
        <v>17275</v>
      </c>
      <c r="D145">
        <v>193.6</v>
      </c>
      <c r="E145">
        <v>11.94</v>
      </c>
      <c r="F145">
        <v>49.55</v>
      </c>
      <c r="G145">
        <v>234.75</v>
      </c>
      <c r="H145">
        <v>92.3</v>
      </c>
      <c r="I145">
        <v>139.99996999999999</v>
      </c>
      <c r="J145">
        <v>7680</v>
      </c>
      <c r="K145">
        <v>3000</v>
      </c>
      <c r="L145">
        <v>25.27</v>
      </c>
      <c r="M145">
        <v>11.29</v>
      </c>
      <c r="N145">
        <v>20.47</v>
      </c>
      <c r="O145">
        <v>5.95</v>
      </c>
      <c r="P145">
        <v>5.28</v>
      </c>
      <c r="Q145">
        <v>11300</v>
      </c>
      <c r="R145">
        <v>5.8150000000000004</v>
      </c>
      <c r="S145">
        <v>12.76</v>
      </c>
      <c r="T145">
        <v>9.16</v>
      </c>
      <c r="U145">
        <v>9.65</v>
      </c>
      <c r="V145">
        <v>6.71</v>
      </c>
      <c r="W145">
        <v>14.85</v>
      </c>
      <c r="X145">
        <v>19.010000000000002</v>
      </c>
      <c r="Y145">
        <v>19.420000000000002</v>
      </c>
      <c r="Z145">
        <v>7.95</v>
      </c>
      <c r="AA145">
        <v>2463.3308000000002</v>
      </c>
      <c r="AB145">
        <v>2229.9976000000001</v>
      </c>
      <c r="AC145">
        <v>574.44323999999995</v>
      </c>
    </row>
    <row r="146" spans="1:29" x14ac:dyDescent="0.3">
      <c r="A146" s="9">
        <v>45065</v>
      </c>
      <c r="B146">
        <v>29050</v>
      </c>
      <c r="C146">
        <v>17430</v>
      </c>
      <c r="D146">
        <v>178.9</v>
      </c>
      <c r="E146">
        <v>11.44</v>
      </c>
      <c r="F146">
        <v>43.97</v>
      </c>
      <c r="G146">
        <v>223</v>
      </c>
      <c r="H146">
        <v>85.1</v>
      </c>
      <c r="I146">
        <v>132.60865999999999</v>
      </c>
      <c r="J146">
        <v>6690</v>
      </c>
      <c r="K146">
        <v>2730</v>
      </c>
      <c r="L146">
        <v>22.95</v>
      </c>
      <c r="M146">
        <v>10.33</v>
      </c>
      <c r="N146">
        <v>19.100000000000001</v>
      </c>
      <c r="O146">
        <v>5.6</v>
      </c>
      <c r="P146">
        <v>4.91</v>
      </c>
      <c r="Q146">
        <v>10750</v>
      </c>
      <c r="R146">
        <v>5.72</v>
      </c>
      <c r="S146">
        <v>12.69</v>
      </c>
      <c r="T146">
        <v>8.75</v>
      </c>
      <c r="U146">
        <v>8.84</v>
      </c>
      <c r="V146">
        <v>6.43</v>
      </c>
      <c r="W146">
        <v>13.81</v>
      </c>
      <c r="X146">
        <v>17.190000000000001</v>
      </c>
      <c r="Y146">
        <v>18.100000000000001</v>
      </c>
      <c r="Z146">
        <v>7.92</v>
      </c>
      <c r="AA146">
        <v>2496.6640000000002</v>
      </c>
      <c r="AB146">
        <v>2163.3310000000001</v>
      </c>
      <c r="AC146">
        <v>554.44330000000002</v>
      </c>
    </row>
    <row r="147" spans="1:29" x14ac:dyDescent="0.3">
      <c r="A147" s="9">
        <v>45058</v>
      </c>
      <c r="B147">
        <v>30000</v>
      </c>
      <c r="C147">
        <v>16500</v>
      </c>
      <c r="D147">
        <v>175.1</v>
      </c>
      <c r="E147">
        <v>9.89</v>
      </c>
      <c r="F147">
        <v>43.91</v>
      </c>
      <c r="G147">
        <v>248.75</v>
      </c>
      <c r="H147">
        <v>96.5</v>
      </c>
      <c r="I147">
        <v>139.13040000000001</v>
      </c>
      <c r="J147">
        <v>6680</v>
      </c>
      <c r="K147">
        <v>2960</v>
      </c>
      <c r="L147">
        <v>22.07</v>
      </c>
      <c r="M147">
        <v>9.64</v>
      </c>
      <c r="N147">
        <v>17.16</v>
      </c>
      <c r="O147">
        <v>5.26</v>
      </c>
      <c r="P147">
        <v>4.6100000000000003</v>
      </c>
      <c r="Q147">
        <v>11250</v>
      </c>
      <c r="R147">
        <v>5.29</v>
      </c>
      <c r="S147">
        <v>12.49</v>
      </c>
      <c r="T147">
        <v>8.67</v>
      </c>
      <c r="U147">
        <v>9.02</v>
      </c>
      <c r="V147">
        <v>6.66</v>
      </c>
      <c r="W147">
        <v>13.37</v>
      </c>
      <c r="X147">
        <v>17.059999999999999</v>
      </c>
      <c r="Y147">
        <v>16.61</v>
      </c>
      <c r="Z147">
        <v>8.06</v>
      </c>
      <c r="AA147">
        <v>2589.9973</v>
      </c>
      <c r="AB147">
        <v>2186.6642999999999</v>
      </c>
      <c r="AC147">
        <v>562.22107000000005</v>
      </c>
    </row>
    <row r="148" spans="1:29" x14ac:dyDescent="0.3">
      <c r="A148" s="9">
        <v>45051</v>
      </c>
      <c r="B148">
        <v>28950</v>
      </c>
      <c r="C148">
        <v>18030</v>
      </c>
      <c r="D148">
        <v>176.9</v>
      </c>
      <c r="E148">
        <v>11.32</v>
      </c>
      <c r="F148">
        <v>49.5</v>
      </c>
      <c r="G148">
        <v>285</v>
      </c>
      <c r="H148">
        <v>107.5</v>
      </c>
      <c r="I148">
        <v>154.78258</v>
      </c>
      <c r="J148">
        <v>6140</v>
      </c>
      <c r="K148">
        <v>2825</v>
      </c>
      <c r="L148">
        <v>21.58</v>
      </c>
      <c r="M148">
        <v>9.36</v>
      </c>
      <c r="N148">
        <v>17.54</v>
      </c>
      <c r="O148">
        <v>5.25</v>
      </c>
      <c r="P148">
        <v>4.67</v>
      </c>
      <c r="Q148">
        <v>11100</v>
      </c>
      <c r="R148">
        <v>5.44</v>
      </c>
      <c r="S148">
        <v>12.17</v>
      </c>
      <c r="T148">
        <v>8.48</v>
      </c>
      <c r="U148">
        <v>9.27</v>
      </c>
      <c r="V148">
        <v>6.72</v>
      </c>
      <c r="W148">
        <v>13.63</v>
      </c>
      <c r="X148">
        <v>18.2</v>
      </c>
      <c r="Y148">
        <v>17.27</v>
      </c>
      <c r="Z148">
        <v>8.8699999999999992</v>
      </c>
      <c r="AA148">
        <v>2726.6637999999998</v>
      </c>
      <c r="AB148">
        <v>2386.6640000000002</v>
      </c>
      <c r="AC148">
        <v>608.88762999999994</v>
      </c>
    </row>
    <row r="149" spans="1:29" x14ac:dyDescent="0.3">
      <c r="A149" s="9">
        <v>45044</v>
      </c>
      <c r="B149">
        <v>26650</v>
      </c>
      <c r="C149">
        <v>18595</v>
      </c>
      <c r="D149">
        <v>185.9</v>
      </c>
      <c r="E149">
        <v>12.08</v>
      </c>
      <c r="F149">
        <v>51.22</v>
      </c>
      <c r="G149">
        <v>278.75</v>
      </c>
      <c r="H149">
        <v>106.5</v>
      </c>
      <c r="I149">
        <v>138.26083</v>
      </c>
      <c r="J149">
        <v>6020</v>
      </c>
      <c r="K149">
        <v>2820</v>
      </c>
      <c r="L149">
        <v>20.69</v>
      </c>
      <c r="M149">
        <v>9.1</v>
      </c>
      <c r="N149">
        <v>17.170000000000002</v>
      </c>
      <c r="O149">
        <v>5.01</v>
      </c>
      <c r="P149">
        <v>4.46</v>
      </c>
      <c r="Q149">
        <v>11900</v>
      </c>
      <c r="R149">
        <v>5.34</v>
      </c>
      <c r="S149">
        <v>12.12</v>
      </c>
      <c r="T149">
        <v>8.3000000000000007</v>
      </c>
      <c r="U149">
        <v>8.81</v>
      </c>
      <c r="V149">
        <v>6.51</v>
      </c>
      <c r="W149">
        <v>13.88</v>
      </c>
      <c r="X149">
        <v>17.55</v>
      </c>
      <c r="Y149">
        <v>16.02</v>
      </c>
      <c r="Z149">
        <v>8.23</v>
      </c>
      <c r="AA149">
        <v>2483.3308000000002</v>
      </c>
      <c r="AB149">
        <v>2226.6642999999999</v>
      </c>
      <c r="AC149">
        <v>539.44330000000002</v>
      </c>
    </row>
    <row r="150" spans="1:29" x14ac:dyDescent="0.3">
      <c r="A150" s="9">
        <v>45037</v>
      </c>
      <c r="B150">
        <v>26700</v>
      </c>
      <c r="C150">
        <v>19405</v>
      </c>
      <c r="D150">
        <v>209.4</v>
      </c>
      <c r="E150">
        <v>11.36</v>
      </c>
      <c r="F150">
        <v>50.07</v>
      </c>
      <c r="G150">
        <v>292.5</v>
      </c>
      <c r="H150">
        <v>107.5</v>
      </c>
      <c r="I150">
        <v>135.65215000000001</v>
      </c>
      <c r="J150">
        <v>5760</v>
      </c>
      <c r="K150">
        <v>2715</v>
      </c>
      <c r="L150">
        <v>19.28</v>
      </c>
      <c r="M150">
        <v>8.57</v>
      </c>
      <c r="N150">
        <v>15.81</v>
      </c>
      <c r="O150">
        <v>4.7699999999999996</v>
      </c>
      <c r="P150">
        <v>3.8</v>
      </c>
      <c r="Q150">
        <v>11800</v>
      </c>
      <c r="R150">
        <v>5.49</v>
      </c>
      <c r="S150">
        <v>12.81</v>
      </c>
      <c r="T150">
        <v>8.43</v>
      </c>
      <c r="U150">
        <v>8.6199999999999992</v>
      </c>
      <c r="V150">
        <v>6.27</v>
      </c>
      <c r="W150">
        <v>14.03</v>
      </c>
      <c r="X150">
        <v>18.75</v>
      </c>
      <c r="Y150">
        <v>16.72</v>
      </c>
      <c r="Z150">
        <v>8</v>
      </c>
      <c r="AA150">
        <v>2586.6640000000002</v>
      </c>
      <c r="AB150">
        <v>2243.3310000000001</v>
      </c>
      <c r="AC150">
        <v>592.221</v>
      </c>
    </row>
    <row r="151" spans="1:29" x14ac:dyDescent="0.3">
      <c r="A151" s="9">
        <v>45030</v>
      </c>
      <c r="B151">
        <v>27300</v>
      </c>
      <c r="C151">
        <v>20080</v>
      </c>
      <c r="D151">
        <v>216.8</v>
      </c>
      <c r="E151">
        <v>11.44</v>
      </c>
      <c r="F151">
        <v>50.21</v>
      </c>
      <c r="G151">
        <v>296.25</v>
      </c>
      <c r="H151">
        <v>108.5</v>
      </c>
      <c r="I151">
        <v>132.17389</v>
      </c>
      <c r="J151">
        <v>5680</v>
      </c>
      <c r="K151">
        <v>2720</v>
      </c>
      <c r="L151">
        <v>19.170000000000002</v>
      </c>
      <c r="M151">
        <v>9.02</v>
      </c>
      <c r="N151">
        <v>15.46</v>
      </c>
      <c r="O151">
        <v>4.8499999999999996</v>
      </c>
      <c r="P151">
        <v>3.75</v>
      </c>
      <c r="Q151">
        <v>11450</v>
      </c>
      <c r="R151">
        <v>5.51</v>
      </c>
      <c r="S151">
        <v>12.96</v>
      </c>
      <c r="T151">
        <v>9</v>
      </c>
      <c r="U151">
        <v>8.41</v>
      </c>
      <c r="V151">
        <v>6.3</v>
      </c>
      <c r="W151">
        <v>14.01</v>
      </c>
      <c r="X151">
        <v>18.14</v>
      </c>
      <c r="Y151">
        <v>18.29</v>
      </c>
      <c r="Z151">
        <v>8.41</v>
      </c>
      <c r="AA151">
        <v>2426.6640000000002</v>
      </c>
      <c r="AB151">
        <v>2096.6646000000001</v>
      </c>
      <c r="AC151">
        <v>518.88779999999997</v>
      </c>
    </row>
    <row r="152" spans="1:29" x14ac:dyDescent="0.3">
      <c r="A152" s="9">
        <v>45023</v>
      </c>
      <c r="B152">
        <v>25600</v>
      </c>
      <c r="C152">
        <v>19830</v>
      </c>
      <c r="D152">
        <v>219.6</v>
      </c>
      <c r="E152">
        <v>11.46</v>
      </c>
      <c r="F152">
        <v>57.17</v>
      </c>
      <c r="G152">
        <v>333.75</v>
      </c>
      <c r="H152">
        <v>121</v>
      </c>
      <c r="I152">
        <v>143.04344</v>
      </c>
      <c r="J152">
        <v>5530</v>
      </c>
      <c r="K152">
        <v>2600</v>
      </c>
      <c r="L152">
        <v>18.88</v>
      </c>
      <c r="M152">
        <v>7.94</v>
      </c>
      <c r="N152">
        <v>14.02</v>
      </c>
      <c r="O152">
        <v>3.97</v>
      </c>
      <c r="P152">
        <v>3.44</v>
      </c>
      <c r="Q152">
        <v>11700</v>
      </c>
      <c r="R152">
        <v>5.52</v>
      </c>
      <c r="S152">
        <v>12.68</v>
      </c>
      <c r="T152">
        <v>8.3699999999999992</v>
      </c>
      <c r="U152">
        <v>7.25</v>
      </c>
      <c r="V152">
        <v>5.7</v>
      </c>
      <c r="W152">
        <v>12.06</v>
      </c>
      <c r="X152">
        <v>15.59</v>
      </c>
      <c r="Y152">
        <v>15.14</v>
      </c>
      <c r="Z152">
        <v>7.59</v>
      </c>
      <c r="AA152">
        <v>2456.6640000000002</v>
      </c>
      <c r="AB152">
        <v>2163.3310000000001</v>
      </c>
      <c r="AC152">
        <v>534.44335999999998</v>
      </c>
    </row>
    <row r="153" spans="1:29" x14ac:dyDescent="0.3">
      <c r="A153" s="9">
        <v>45016</v>
      </c>
      <c r="B153">
        <v>24450</v>
      </c>
      <c r="C153">
        <v>19210</v>
      </c>
      <c r="D153">
        <v>205</v>
      </c>
      <c r="E153">
        <v>11.68</v>
      </c>
      <c r="F153">
        <v>53.18</v>
      </c>
      <c r="G153">
        <v>350</v>
      </c>
      <c r="H153">
        <v>124</v>
      </c>
      <c r="I153">
        <v>183.04344</v>
      </c>
      <c r="J153">
        <v>5330</v>
      </c>
      <c r="K153">
        <v>2480</v>
      </c>
      <c r="L153">
        <v>20.95</v>
      </c>
      <c r="M153">
        <v>8.85</v>
      </c>
      <c r="N153">
        <v>14.54</v>
      </c>
      <c r="O153">
        <v>4.21</v>
      </c>
      <c r="P153">
        <v>3.53</v>
      </c>
      <c r="Q153">
        <v>11550</v>
      </c>
      <c r="R153">
        <v>5.23</v>
      </c>
      <c r="S153">
        <v>12.51</v>
      </c>
      <c r="T153">
        <v>8.0299999999999994</v>
      </c>
      <c r="U153">
        <v>6.8</v>
      </c>
      <c r="V153">
        <v>5.59</v>
      </c>
      <c r="W153">
        <v>11.66</v>
      </c>
      <c r="X153">
        <v>15.01</v>
      </c>
      <c r="Y153">
        <v>14.41</v>
      </c>
      <c r="Z153">
        <v>7.18</v>
      </c>
      <c r="AA153">
        <v>2719.9969999999998</v>
      </c>
      <c r="AB153">
        <v>2539.9973</v>
      </c>
      <c r="AC153">
        <v>682.22080000000005</v>
      </c>
    </row>
    <row r="154" spans="1:29" x14ac:dyDescent="0.3">
      <c r="A154" s="9">
        <v>45009</v>
      </c>
      <c r="B154">
        <v>26800</v>
      </c>
      <c r="C154">
        <v>20040</v>
      </c>
      <c r="D154">
        <v>227</v>
      </c>
      <c r="E154">
        <v>13.58</v>
      </c>
      <c r="F154">
        <v>54.35</v>
      </c>
      <c r="G154">
        <v>351.25</v>
      </c>
      <c r="H154">
        <v>123.5</v>
      </c>
      <c r="I154">
        <v>173.91300000000001</v>
      </c>
      <c r="J154">
        <v>5590</v>
      </c>
      <c r="K154">
        <v>2490</v>
      </c>
      <c r="L154">
        <v>21.66</v>
      </c>
      <c r="M154">
        <v>9.18</v>
      </c>
      <c r="N154">
        <v>15.06</v>
      </c>
      <c r="O154">
        <v>3.81</v>
      </c>
      <c r="P154">
        <v>3.59</v>
      </c>
      <c r="Q154">
        <v>11450</v>
      </c>
      <c r="R154">
        <v>4.45</v>
      </c>
      <c r="S154">
        <v>12.17</v>
      </c>
      <c r="T154">
        <v>9.6300000000000008</v>
      </c>
      <c r="U154">
        <v>6.61</v>
      </c>
      <c r="V154">
        <v>5.23</v>
      </c>
      <c r="W154">
        <v>10.220000000000001</v>
      </c>
      <c r="X154">
        <v>14.36</v>
      </c>
      <c r="Y154">
        <v>11.7</v>
      </c>
      <c r="Z154">
        <v>7.4</v>
      </c>
      <c r="AA154">
        <v>2706.6637999999998</v>
      </c>
      <c r="AB154">
        <v>2606.6640000000002</v>
      </c>
      <c r="AC154">
        <v>759.99839999999995</v>
      </c>
    </row>
    <row r="155" spans="1:29" x14ac:dyDescent="0.3">
      <c r="A155" s="9">
        <v>45002</v>
      </c>
      <c r="B155">
        <v>27350</v>
      </c>
      <c r="C155">
        <v>21200</v>
      </c>
      <c r="D155">
        <v>226.2</v>
      </c>
      <c r="E155">
        <v>15.2</v>
      </c>
      <c r="F155">
        <v>51.7</v>
      </c>
      <c r="G155">
        <v>347.5</v>
      </c>
      <c r="H155">
        <v>122.5</v>
      </c>
      <c r="I155">
        <v>173.04344</v>
      </c>
      <c r="J155">
        <v>5630</v>
      </c>
      <c r="K155">
        <v>2590</v>
      </c>
      <c r="L155">
        <v>21.09</v>
      </c>
      <c r="M155">
        <v>8.36</v>
      </c>
      <c r="N155">
        <v>15.53</v>
      </c>
      <c r="O155">
        <v>4</v>
      </c>
      <c r="P155">
        <v>3.79</v>
      </c>
      <c r="Q155">
        <v>11850</v>
      </c>
      <c r="R155">
        <v>5.3049999999999997</v>
      </c>
      <c r="S155">
        <v>12.76</v>
      </c>
      <c r="T155">
        <v>9.84</v>
      </c>
      <c r="U155">
        <v>7.12</v>
      </c>
      <c r="V155">
        <v>5.48</v>
      </c>
      <c r="W155">
        <v>11.91</v>
      </c>
      <c r="X155">
        <v>15.99</v>
      </c>
      <c r="Y155">
        <v>13.63</v>
      </c>
      <c r="Z155">
        <v>8.0399999999999991</v>
      </c>
      <c r="AA155">
        <v>2816.6637999999998</v>
      </c>
      <c r="AB155">
        <v>2689.9973</v>
      </c>
      <c r="AC155">
        <v>775.55395999999996</v>
      </c>
    </row>
    <row r="156" spans="1:29" x14ac:dyDescent="0.3">
      <c r="A156" s="9">
        <v>44995</v>
      </c>
      <c r="B156">
        <v>28800</v>
      </c>
      <c r="C156">
        <v>21890</v>
      </c>
      <c r="D156">
        <v>225.6</v>
      </c>
      <c r="E156">
        <v>14.68</v>
      </c>
      <c r="F156">
        <v>50.96</v>
      </c>
      <c r="G156">
        <v>356.25</v>
      </c>
      <c r="H156">
        <v>121</v>
      </c>
      <c r="I156">
        <v>172.60865999999999</v>
      </c>
      <c r="J156">
        <v>5690</v>
      </c>
      <c r="K156">
        <v>2630</v>
      </c>
      <c r="L156">
        <v>19.86</v>
      </c>
      <c r="M156">
        <v>8.1199999999999992</v>
      </c>
      <c r="N156">
        <v>14.83</v>
      </c>
      <c r="O156">
        <v>3.81</v>
      </c>
      <c r="P156">
        <v>3.61</v>
      </c>
      <c r="Q156">
        <v>11800</v>
      </c>
      <c r="R156">
        <v>5.415</v>
      </c>
      <c r="S156">
        <v>12.55</v>
      </c>
      <c r="T156">
        <v>8.81</v>
      </c>
      <c r="U156">
        <v>6.69</v>
      </c>
      <c r="V156">
        <v>5.25</v>
      </c>
      <c r="W156">
        <v>11.13</v>
      </c>
      <c r="X156">
        <v>15.24</v>
      </c>
      <c r="Y156">
        <v>12.47</v>
      </c>
      <c r="Z156">
        <v>7.84</v>
      </c>
      <c r="AA156">
        <v>2923.3303000000001</v>
      </c>
      <c r="AB156">
        <v>2789.9969999999998</v>
      </c>
      <c r="AC156">
        <v>758.88729999999998</v>
      </c>
    </row>
    <row r="157" spans="1:29" x14ac:dyDescent="0.3">
      <c r="A157" s="9">
        <v>44988</v>
      </c>
      <c r="B157">
        <v>27650</v>
      </c>
      <c r="C157">
        <v>22780</v>
      </c>
      <c r="D157">
        <v>258.39999999999998</v>
      </c>
      <c r="E157">
        <v>14.82</v>
      </c>
      <c r="F157">
        <v>53.66</v>
      </c>
      <c r="G157">
        <v>351.25</v>
      </c>
      <c r="H157">
        <v>113.5</v>
      </c>
      <c r="I157">
        <v>163.04344</v>
      </c>
      <c r="J157">
        <v>5540</v>
      </c>
      <c r="K157">
        <v>2560</v>
      </c>
      <c r="L157">
        <v>21.05</v>
      </c>
      <c r="M157">
        <v>8.64</v>
      </c>
      <c r="N157">
        <v>15.27</v>
      </c>
      <c r="O157">
        <v>3.94</v>
      </c>
      <c r="P157">
        <v>3.69</v>
      </c>
      <c r="Q157">
        <v>11700</v>
      </c>
      <c r="R157">
        <v>5.5750000000000002</v>
      </c>
      <c r="S157">
        <v>12.66</v>
      </c>
      <c r="T157">
        <v>8.8000000000000007</v>
      </c>
      <c r="U157">
        <v>7.08</v>
      </c>
      <c r="V157">
        <v>5.25</v>
      </c>
      <c r="W157">
        <v>11.4</v>
      </c>
      <c r="X157">
        <v>14.7</v>
      </c>
      <c r="Y157">
        <v>13.24</v>
      </c>
      <c r="Z157">
        <v>7.99</v>
      </c>
      <c r="AA157">
        <v>2919.9969999999998</v>
      </c>
      <c r="AB157">
        <v>2846.6637999999998</v>
      </c>
      <c r="AC157">
        <v>768.88729999999998</v>
      </c>
    </row>
    <row r="158" spans="1:29" x14ac:dyDescent="0.3">
      <c r="A158" s="9">
        <v>44981</v>
      </c>
      <c r="B158">
        <v>26900</v>
      </c>
      <c r="C158">
        <v>23450</v>
      </c>
      <c r="D158">
        <v>277</v>
      </c>
      <c r="E158">
        <v>15.12</v>
      </c>
      <c r="F158">
        <v>58.86</v>
      </c>
      <c r="G158">
        <v>330</v>
      </c>
      <c r="H158">
        <v>107.5</v>
      </c>
      <c r="I158">
        <v>150.86951999999999</v>
      </c>
      <c r="J158">
        <v>5410</v>
      </c>
      <c r="K158">
        <v>2640</v>
      </c>
      <c r="L158">
        <v>22.67</v>
      </c>
      <c r="M158">
        <v>9.3000000000000007</v>
      </c>
      <c r="N158">
        <v>16</v>
      </c>
      <c r="O158">
        <v>3.89</v>
      </c>
      <c r="P158">
        <v>3.77</v>
      </c>
      <c r="Q158">
        <v>11850</v>
      </c>
      <c r="R158">
        <v>5.5</v>
      </c>
      <c r="S158">
        <v>12.69</v>
      </c>
      <c r="T158">
        <v>8.8699999999999992</v>
      </c>
      <c r="U158">
        <v>7.07</v>
      </c>
      <c r="V158">
        <v>5.19</v>
      </c>
      <c r="W158">
        <v>10.9</v>
      </c>
      <c r="X158">
        <v>14.68</v>
      </c>
      <c r="Y158">
        <v>12.81</v>
      </c>
      <c r="Z158">
        <v>7.96</v>
      </c>
      <c r="AA158">
        <v>3109.9967999999999</v>
      </c>
      <c r="AB158">
        <v>3063.33</v>
      </c>
      <c r="AC158">
        <v>873.33154000000002</v>
      </c>
    </row>
    <row r="159" spans="1:29" x14ac:dyDescent="0.3">
      <c r="A159" s="9">
        <v>44974</v>
      </c>
      <c r="B159">
        <v>26400</v>
      </c>
      <c r="C159">
        <v>24020</v>
      </c>
      <c r="D159">
        <v>280.39999999999998</v>
      </c>
      <c r="E159">
        <v>14.92</v>
      </c>
      <c r="F159">
        <v>56.58</v>
      </c>
      <c r="G159">
        <v>288.75</v>
      </c>
      <c r="H159">
        <v>99</v>
      </c>
      <c r="I159">
        <v>131.73910000000001</v>
      </c>
      <c r="J159">
        <v>5640</v>
      </c>
      <c r="K159">
        <v>2540</v>
      </c>
      <c r="L159">
        <v>22.57</v>
      </c>
      <c r="M159">
        <v>9.8800000000000008</v>
      </c>
      <c r="N159">
        <v>15.99</v>
      </c>
      <c r="O159">
        <v>4.1100000000000003</v>
      </c>
      <c r="P159">
        <v>3.72</v>
      </c>
      <c r="Q159">
        <v>11600</v>
      </c>
      <c r="R159">
        <v>5.72</v>
      </c>
      <c r="S159">
        <v>13.87</v>
      </c>
      <c r="T159">
        <v>9.1</v>
      </c>
      <c r="U159">
        <v>7.48</v>
      </c>
      <c r="V159">
        <v>5.34</v>
      </c>
      <c r="W159">
        <v>11.71</v>
      </c>
      <c r="X159">
        <v>15.21</v>
      </c>
      <c r="Y159">
        <v>13.13</v>
      </c>
      <c r="Z159">
        <v>7.94</v>
      </c>
      <c r="AA159">
        <v>3256.6633000000002</v>
      </c>
      <c r="AB159">
        <v>3166.6633000000002</v>
      </c>
      <c r="AC159">
        <v>884.44259999999997</v>
      </c>
    </row>
    <row r="160" spans="1:29" x14ac:dyDescent="0.3">
      <c r="A160" s="9">
        <v>44967</v>
      </c>
      <c r="B160">
        <v>25200</v>
      </c>
      <c r="C160">
        <v>23700</v>
      </c>
      <c r="D160">
        <v>266</v>
      </c>
      <c r="E160">
        <v>15.92</v>
      </c>
      <c r="F160">
        <v>63.7</v>
      </c>
      <c r="G160">
        <v>282.5</v>
      </c>
      <c r="H160">
        <v>98.6</v>
      </c>
      <c r="I160">
        <v>128.26083</v>
      </c>
      <c r="J160">
        <v>5390</v>
      </c>
      <c r="K160">
        <v>2465</v>
      </c>
      <c r="L160">
        <v>22.28</v>
      </c>
      <c r="M160">
        <v>9.32</v>
      </c>
      <c r="N160">
        <v>16.45</v>
      </c>
      <c r="O160">
        <v>4.1100000000000003</v>
      </c>
      <c r="P160">
        <v>3.65</v>
      </c>
      <c r="Q160">
        <v>11650</v>
      </c>
      <c r="R160">
        <v>5.75</v>
      </c>
      <c r="S160">
        <v>13.44</v>
      </c>
      <c r="T160">
        <v>9.43</v>
      </c>
      <c r="U160">
        <v>7.55</v>
      </c>
      <c r="V160">
        <v>5.6</v>
      </c>
      <c r="W160">
        <v>11.82</v>
      </c>
      <c r="X160">
        <v>15.31</v>
      </c>
      <c r="Y160">
        <v>13.01</v>
      </c>
      <c r="Z160">
        <v>8.23</v>
      </c>
      <c r="AA160">
        <v>2789.9969999999998</v>
      </c>
      <c r="AB160">
        <v>2746.6637999999998</v>
      </c>
      <c r="AC160">
        <v>729.99854000000005</v>
      </c>
    </row>
    <row r="161" spans="1:29" x14ac:dyDescent="0.3">
      <c r="A161" s="9">
        <v>44960</v>
      </c>
      <c r="B161">
        <v>24650</v>
      </c>
      <c r="C161">
        <v>22660</v>
      </c>
      <c r="D161">
        <v>258</v>
      </c>
      <c r="E161">
        <v>14.18</v>
      </c>
      <c r="F161">
        <v>58.12</v>
      </c>
      <c r="G161">
        <v>328.75</v>
      </c>
      <c r="H161">
        <v>112</v>
      </c>
      <c r="I161">
        <v>149.56519</v>
      </c>
      <c r="J161">
        <v>5220</v>
      </c>
      <c r="K161">
        <v>2340</v>
      </c>
      <c r="L161">
        <v>20.100000000000001</v>
      </c>
      <c r="M161">
        <v>8.27</v>
      </c>
      <c r="N161">
        <v>14.33</v>
      </c>
      <c r="O161">
        <v>3.57</v>
      </c>
      <c r="P161">
        <v>3.34</v>
      </c>
      <c r="Q161">
        <v>11300</v>
      </c>
      <c r="R161">
        <v>5.19</v>
      </c>
      <c r="S161">
        <v>11.55</v>
      </c>
      <c r="T161">
        <v>8.7100000000000009</v>
      </c>
      <c r="U161">
        <v>6.5</v>
      </c>
      <c r="V161">
        <v>4.93</v>
      </c>
      <c r="W161">
        <v>10.48</v>
      </c>
      <c r="X161">
        <v>13.77</v>
      </c>
      <c r="Y161">
        <v>11.79</v>
      </c>
      <c r="Z161">
        <v>6.83</v>
      </c>
      <c r="AA161">
        <v>2766.6637999999998</v>
      </c>
      <c r="AB161">
        <v>2676.6637999999998</v>
      </c>
      <c r="AC161">
        <v>723.33185000000003</v>
      </c>
    </row>
    <row r="162" spans="1:29" x14ac:dyDescent="0.3">
      <c r="A162" s="9">
        <v>44953</v>
      </c>
      <c r="B162">
        <v>21900</v>
      </c>
      <c r="C162">
        <v>23040</v>
      </c>
      <c r="D162">
        <v>258.60000000000002</v>
      </c>
      <c r="E162">
        <v>13.76</v>
      </c>
      <c r="F162">
        <v>65.41</v>
      </c>
      <c r="G162">
        <v>353.75</v>
      </c>
      <c r="H162">
        <v>116.5</v>
      </c>
      <c r="I162">
        <v>169.13040000000001</v>
      </c>
      <c r="J162">
        <v>4915</v>
      </c>
      <c r="K162">
        <v>2140</v>
      </c>
      <c r="L162">
        <v>22.47</v>
      </c>
      <c r="M162">
        <v>9.1999999999999993</v>
      </c>
      <c r="N162">
        <v>15.83</v>
      </c>
      <c r="O162">
        <v>3.62</v>
      </c>
      <c r="P162">
        <v>3.51</v>
      </c>
      <c r="Q162">
        <v>11200</v>
      </c>
      <c r="R162">
        <v>5.4649999999999999</v>
      </c>
      <c r="S162">
        <v>12.04</v>
      </c>
      <c r="T162">
        <v>8.64</v>
      </c>
      <c r="U162">
        <v>6.63</v>
      </c>
      <c r="V162">
        <v>4.92</v>
      </c>
      <c r="W162">
        <v>10.66</v>
      </c>
      <c r="X162">
        <v>14.31</v>
      </c>
      <c r="Y162">
        <v>13.59</v>
      </c>
      <c r="Z162">
        <v>7.32</v>
      </c>
      <c r="AA162">
        <v>3266.6633000000002</v>
      </c>
      <c r="AB162">
        <v>2986.6635999999999</v>
      </c>
      <c r="AC162">
        <v>757.77625</v>
      </c>
    </row>
    <row r="163" spans="1:29" x14ac:dyDescent="0.3">
      <c r="A163" s="9">
        <v>44946</v>
      </c>
      <c r="B163">
        <v>23200</v>
      </c>
      <c r="C163">
        <v>21930</v>
      </c>
      <c r="D163">
        <v>230.4</v>
      </c>
      <c r="E163">
        <v>14.16</v>
      </c>
      <c r="F163">
        <v>68.91</v>
      </c>
      <c r="G163">
        <v>358.75</v>
      </c>
      <c r="H163">
        <v>115.5</v>
      </c>
      <c r="I163">
        <v>162.60865999999999</v>
      </c>
      <c r="J163">
        <v>5080</v>
      </c>
      <c r="K163">
        <v>2305</v>
      </c>
      <c r="L163">
        <v>23.83</v>
      </c>
      <c r="M163">
        <v>10.11</v>
      </c>
      <c r="N163">
        <v>16.32</v>
      </c>
      <c r="O163">
        <v>3.75</v>
      </c>
      <c r="P163">
        <v>3.6</v>
      </c>
      <c r="Q163">
        <v>11650</v>
      </c>
      <c r="R163">
        <v>5.35</v>
      </c>
      <c r="S163">
        <v>12.42</v>
      </c>
      <c r="T163">
        <v>9.34</v>
      </c>
      <c r="U163">
        <v>6.92</v>
      </c>
      <c r="V163">
        <v>4.9800000000000004</v>
      </c>
      <c r="W163">
        <v>10.68</v>
      </c>
      <c r="X163">
        <v>15.01</v>
      </c>
      <c r="Y163">
        <v>13.92</v>
      </c>
      <c r="Z163">
        <v>7.2</v>
      </c>
      <c r="AA163">
        <v>3253.3298</v>
      </c>
      <c r="AB163">
        <v>3046.6635999999999</v>
      </c>
      <c r="AC163">
        <v>815.55382999999995</v>
      </c>
    </row>
    <row r="164" spans="1:29" x14ac:dyDescent="0.3">
      <c r="A164" s="9">
        <v>44939</v>
      </c>
      <c r="B164">
        <v>24350</v>
      </c>
      <c r="C164">
        <v>23430</v>
      </c>
      <c r="D164">
        <v>257</v>
      </c>
      <c r="E164">
        <v>15.58</v>
      </c>
      <c r="F164">
        <v>70.23</v>
      </c>
      <c r="G164">
        <v>397.5</v>
      </c>
      <c r="H164">
        <v>133</v>
      </c>
      <c r="I164">
        <v>166.95648</v>
      </c>
      <c r="J164">
        <v>5960</v>
      </c>
      <c r="K164">
        <v>2550</v>
      </c>
      <c r="L164">
        <v>26.43</v>
      </c>
      <c r="M164">
        <v>11.36</v>
      </c>
      <c r="N164">
        <v>17.89</v>
      </c>
      <c r="O164">
        <v>4.16</v>
      </c>
      <c r="P164">
        <v>4.1100000000000003</v>
      </c>
      <c r="Q164">
        <v>11600</v>
      </c>
      <c r="R164">
        <v>5.5949999999999998</v>
      </c>
      <c r="S164">
        <v>12.65</v>
      </c>
      <c r="T164">
        <v>9.4700000000000006</v>
      </c>
      <c r="U164">
        <v>7.61</v>
      </c>
      <c r="V164">
        <v>5.68</v>
      </c>
      <c r="W164">
        <v>11.39</v>
      </c>
      <c r="X164">
        <v>16.260000000000002</v>
      </c>
      <c r="Y164">
        <v>15.59</v>
      </c>
      <c r="Z164">
        <v>7.51</v>
      </c>
      <c r="AA164">
        <v>3426.663</v>
      </c>
      <c r="AB164">
        <v>3133.33</v>
      </c>
      <c r="AC164">
        <v>866.66485999999998</v>
      </c>
    </row>
    <row r="165" spans="1:29" x14ac:dyDescent="0.3">
      <c r="A165" s="9">
        <v>44932</v>
      </c>
      <c r="B165">
        <v>29600</v>
      </c>
      <c r="C165">
        <v>22940</v>
      </c>
      <c r="D165">
        <v>262</v>
      </c>
      <c r="E165">
        <v>15.54</v>
      </c>
      <c r="F165">
        <v>69.86</v>
      </c>
      <c r="G165">
        <v>400</v>
      </c>
      <c r="H165">
        <v>125.5</v>
      </c>
      <c r="I165">
        <v>152.17386999999999</v>
      </c>
      <c r="J165">
        <v>6290</v>
      </c>
      <c r="K165">
        <v>2620</v>
      </c>
      <c r="L165">
        <v>29.36</v>
      </c>
      <c r="M165">
        <v>11.98</v>
      </c>
      <c r="N165">
        <v>18.77</v>
      </c>
      <c r="O165">
        <v>4.2300000000000004</v>
      </c>
      <c r="P165">
        <v>4.3099999999999996</v>
      </c>
      <c r="Q165">
        <v>11800</v>
      </c>
      <c r="R165">
        <v>5.52</v>
      </c>
      <c r="S165">
        <v>12.58</v>
      </c>
      <c r="T165">
        <v>10.039999999999999</v>
      </c>
      <c r="U165">
        <v>8.06</v>
      </c>
      <c r="V165">
        <v>5.47</v>
      </c>
      <c r="W165">
        <v>11.03</v>
      </c>
      <c r="X165">
        <v>16.29</v>
      </c>
      <c r="Y165">
        <v>15.69</v>
      </c>
      <c r="Z165">
        <v>7.73</v>
      </c>
      <c r="AA165">
        <v>3399.9962999999998</v>
      </c>
      <c r="AB165">
        <v>3059.9967999999999</v>
      </c>
      <c r="AC165">
        <v>857.77593999999999</v>
      </c>
    </row>
    <row r="166" spans="1:29" x14ac:dyDescent="0.3">
      <c r="A166" s="9">
        <v>44925</v>
      </c>
      <c r="B166">
        <v>29900</v>
      </c>
      <c r="C166">
        <v>21490</v>
      </c>
      <c r="D166">
        <v>262.2</v>
      </c>
      <c r="E166">
        <v>14.72</v>
      </c>
      <c r="F166">
        <v>70.099999999999994</v>
      </c>
      <c r="G166">
        <v>352.5</v>
      </c>
      <c r="H166">
        <v>130</v>
      </c>
      <c r="I166">
        <v>141.73909</v>
      </c>
      <c r="J166">
        <v>6330</v>
      </c>
      <c r="K166">
        <v>2750</v>
      </c>
      <c r="L166">
        <v>31.76</v>
      </c>
      <c r="M166">
        <v>12.8</v>
      </c>
      <c r="N166">
        <v>19.899999999999999</v>
      </c>
      <c r="O166">
        <v>4.75</v>
      </c>
      <c r="P166">
        <v>4.33</v>
      </c>
      <c r="Q166">
        <v>11950</v>
      </c>
      <c r="R166">
        <v>5.87</v>
      </c>
      <c r="S166">
        <v>13.51</v>
      </c>
      <c r="T166">
        <v>10.27</v>
      </c>
      <c r="U166">
        <v>9.06</v>
      </c>
      <c r="V166">
        <v>5.95</v>
      </c>
      <c r="W166">
        <v>13.73</v>
      </c>
      <c r="X166">
        <v>17.96</v>
      </c>
      <c r="Y166">
        <v>17.239999999999998</v>
      </c>
      <c r="Z166">
        <v>7.77</v>
      </c>
      <c r="AA166">
        <v>3966.6626000000001</v>
      </c>
      <c r="AB166">
        <v>3586.6628000000001</v>
      </c>
      <c r="AC166">
        <v>951.10913000000005</v>
      </c>
    </row>
    <row r="167" spans="1:29" x14ac:dyDescent="0.3">
      <c r="A167" s="9">
        <v>44918</v>
      </c>
      <c r="B167">
        <v>35400</v>
      </c>
      <c r="C167">
        <v>21150</v>
      </c>
      <c r="D167">
        <v>253.4</v>
      </c>
      <c r="E167">
        <v>17.12</v>
      </c>
      <c r="F167">
        <v>71.88</v>
      </c>
      <c r="G167">
        <v>331.25</v>
      </c>
      <c r="H167">
        <v>122</v>
      </c>
      <c r="I167">
        <v>133.47823</v>
      </c>
      <c r="J167">
        <v>7100</v>
      </c>
      <c r="K167">
        <v>3090</v>
      </c>
      <c r="L167">
        <v>28.27</v>
      </c>
      <c r="M167">
        <v>11.48</v>
      </c>
      <c r="N167">
        <v>20.6</v>
      </c>
      <c r="O167">
        <v>5</v>
      </c>
      <c r="P167">
        <v>4.2699999999999996</v>
      </c>
      <c r="Q167">
        <v>12500</v>
      </c>
      <c r="R167">
        <v>5.69</v>
      </c>
      <c r="S167">
        <v>14.29</v>
      </c>
      <c r="T167">
        <v>10.39</v>
      </c>
      <c r="U167">
        <v>9.44</v>
      </c>
      <c r="V167">
        <v>6.12</v>
      </c>
      <c r="W167">
        <v>14.06</v>
      </c>
      <c r="X167">
        <v>18.489999999999998</v>
      </c>
      <c r="Y167">
        <v>19.05</v>
      </c>
      <c r="Z167">
        <v>8.51</v>
      </c>
      <c r="AA167">
        <v>3936.6626000000001</v>
      </c>
      <c r="AB167">
        <v>3723.3292999999999</v>
      </c>
      <c r="AC167">
        <v>986.66454999999996</v>
      </c>
    </row>
    <row r="168" spans="1:29" x14ac:dyDescent="0.3">
      <c r="A168" s="9">
        <v>44911</v>
      </c>
      <c r="B168">
        <v>33000</v>
      </c>
      <c r="C168">
        <v>21580</v>
      </c>
      <c r="D168">
        <v>278.39999999999998</v>
      </c>
      <c r="E168">
        <v>15.1</v>
      </c>
      <c r="F168">
        <v>78.81</v>
      </c>
      <c r="G168">
        <v>346.25</v>
      </c>
      <c r="H168">
        <v>126.5</v>
      </c>
      <c r="I168">
        <v>139.13040000000001</v>
      </c>
      <c r="J168">
        <v>7490</v>
      </c>
      <c r="K168">
        <v>3090</v>
      </c>
      <c r="L168">
        <v>30.13</v>
      </c>
      <c r="M168">
        <v>12.03</v>
      </c>
      <c r="N168">
        <v>20.99</v>
      </c>
      <c r="O168">
        <v>4.93</v>
      </c>
      <c r="P168">
        <v>4.62</v>
      </c>
      <c r="Q168">
        <v>11850</v>
      </c>
      <c r="R168">
        <v>6.15</v>
      </c>
      <c r="S168">
        <v>13.98</v>
      </c>
      <c r="T168">
        <v>11.22</v>
      </c>
      <c r="U168">
        <v>8.2799999999999994</v>
      </c>
      <c r="V168">
        <v>5.51</v>
      </c>
      <c r="W168">
        <v>12.9</v>
      </c>
      <c r="X168">
        <v>17.13</v>
      </c>
      <c r="Y168">
        <v>18.079999999999998</v>
      </c>
      <c r="Z168">
        <v>7.75</v>
      </c>
      <c r="AA168">
        <v>4133.3289999999997</v>
      </c>
      <c r="AB168">
        <v>3823.3292999999999</v>
      </c>
      <c r="AC168">
        <v>978.88684000000001</v>
      </c>
    </row>
    <row r="169" spans="1:29" x14ac:dyDescent="0.3">
      <c r="A169" s="9">
        <v>44904</v>
      </c>
      <c r="B169">
        <v>33950</v>
      </c>
      <c r="C169">
        <v>22880</v>
      </c>
      <c r="D169">
        <v>349.8</v>
      </c>
      <c r="E169">
        <v>15.02</v>
      </c>
      <c r="F169">
        <v>84.5</v>
      </c>
      <c r="G169">
        <v>338.75</v>
      </c>
      <c r="H169">
        <v>124</v>
      </c>
      <c r="I169">
        <v>133.91301000000001</v>
      </c>
      <c r="J169">
        <v>7060</v>
      </c>
      <c r="K169">
        <v>2830</v>
      </c>
      <c r="L169">
        <v>29.29</v>
      </c>
      <c r="M169">
        <v>12</v>
      </c>
      <c r="N169">
        <v>20.74</v>
      </c>
      <c r="O169">
        <v>4.66</v>
      </c>
      <c r="P169">
        <v>4.5</v>
      </c>
      <c r="Q169">
        <v>11600</v>
      </c>
      <c r="R169">
        <v>6.1449999999999996</v>
      </c>
      <c r="S169">
        <v>13.64</v>
      </c>
      <c r="T169">
        <v>10.77</v>
      </c>
      <c r="U169">
        <v>8.68</v>
      </c>
      <c r="V169">
        <v>5.8</v>
      </c>
      <c r="W169">
        <v>13.27</v>
      </c>
      <c r="X169">
        <v>16.78</v>
      </c>
      <c r="Y169">
        <v>19.23</v>
      </c>
      <c r="Z169">
        <v>8.43</v>
      </c>
      <c r="AA169">
        <v>3689.9960000000001</v>
      </c>
      <c r="AB169">
        <v>3443.3298</v>
      </c>
      <c r="AC169">
        <v>865.55380000000002</v>
      </c>
    </row>
    <row r="170" spans="1:29" x14ac:dyDescent="0.3">
      <c r="A170" s="9">
        <v>44897</v>
      </c>
      <c r="B170">
        <v>30200</v>
      </c>
      <c r="C170">
        <v>20430</v>
      </c>
      <c r="D170">
        <v>342.4</v>
      </c>
      <c r="E170">
        <v>14.04</v>
      </c>
      <c r="F170">
        <v>68.400000000000006</v>
      </c>
      <c r="G170">
        <v>353.75</v>
      </c>
      <c r="H170">
        <v>124</v>
      </c>
      <c r="I170">
        <v>134.78258</v>
      </c>
      <c r="J170">
        <v>6780</v>
      </c>
      <c r="K170">
        <v>2745</v>
      </c>
      <c r="L170">
        <v>29.42</v>
      </c>
      <c r="M170">
        <v>12.2</v>
      </c>
      <c r="N170">
        <v>23.86</v>
      </c>
      <c r="O170">
        <v>5.23</v>
      </c>
      <c r="P170">
        <v>4.59</v>
      </c>
      <c r="Q170">
        <v>11350</v>
      </c>
      <c r="R170">
        <v>6.5</v>
      </c>
      <c r="S170">
        <v>14.86</v>
      </c>
      <c r="T170">
        <v>12.84</v>
      </c>
      <c r="U170">
        <v>8.7200000000000006</v>
      </c>
      <c r="V170">
        <v>5.66</v>
      </c>
      <c r="W170">
        <v>13.87</v>
      </c>
      <c r="X170">
        <v>17.64</v>
      </c>
      <c r="Y170">
        <v>20.64</v>
      </c>
      <c r="Z170">
        <v>8.67</v>
      </c>
      <c r="AA170">
        <v>3339.9965999999999</v>
      </c>
      <c r="AB170">
        <v>3250</v>
      </c>
      <c r="AC170">
        <v>846.66489999999999</v>
      </c>
    </row>
    <row r="171" spans="1:29" x14ac:dyDescent="0.3">
      <c r="A171" s="9">
        <v>44890</v>
      </c>
      <c r="B171">
        <v>28900</v>
      </c>
      <c r="C171">
        <v>20500</v>
      </c>
      <c r="D171">
        <v>323.8</v>
      </c>
      <c r="E171">
        <v>15</v>
      </c>
      <c r="F171">
        <v>71.38</v>
      </c>
      <c r="G171">
        <v>368.75</v>
      </c>
      <c r="H171">
        <v>126.5</v>
      </c>
      <c r="I171">
        <v>135.65215000000001</v>
      </c>
      <c r="J171">
        <v>6710</v>
      </c>
      <c r="K171">
        <v>2745</v>
      </c>
      <c r="L171">
        <v>30.36</v>
      </c>
      <c r="M171">
        <v>12.74</v>
      </c>
      <c r="N171">
        <v>23.72</v>
      </c>
      <c r="O171">
        <v>5.24</v>
      </c>
      <c r="P171">
        <v>4.7699999999999996</v>
      </c>
      <c r="Q171">
        <v>11700</v>
      </c>
      <c r="R171">
        <v>6.92</v>
      </c>
      <c r="S171">
        <v>14.74</v>
      </c>
      <c r="T171">
        <v>12.48</v>
      </c>
      <c r="U171">
        <v>9.18</v>
      </c>
      <c r="V171">
        <v>5.86</v>
      </c>
      <c r="W171">
        <v>14.45</v>
      </c>
      <c r="X171">
        <v>18.850000000000001</v>
      </c>
      <c r="Y171">
        <v>21.7</v>
      </c>
      <c r="Z171">
        <v>9</v>
      </c>
      <c r="AA171">
        <v>3053.33</v>
      </c>
      <c r="AB171">
        <v>2983</v>
      </c>
      <c r="AC171">
        <v>789.99834999999996</v>
      </c>
    </row>
    <row r="172" spans="1:29" x14ac:dyDescent="0.3">
      <c r="A172" s="9">
        <v>44883</v>
      </c>
      <c r="B172">
        <v>25950</v>
      </c>
      <c r="C172">
        <v>18055</v>
      </c>
      <c r="D172">
        <v>306</v>
      </c>
      <c r="E172">
        <v>12.94</v>
      </c>
      <c r="F172">
        <v>57.78</v>
      </c>
      <c r="G172">
        <v>362.5</v>
      </c>
      <c r="H172">
        <v>126</v>
      </c>
      <c r="I172">
        <v>126.95649</v>
      </c>
      <c r="J172">
        <v>6400</v>
      </c>
      <c r="K172">
        <v>2635</v>
      </c>
      <c r="L172">
        <v>28.3</v>
      </c>
      <c r="M172">
        <v>12.19</v>
      </c>
      <c r="N172">
        <v>22.1</v>
      </c>
      <c r="O172">
        <v>5.0599999999999996</v>
      </c>
      <c r="P172">
        <v>4.08</v>
      </c>
      <c r="Q172">
        <v>11400</v>
      </c>
      <c r="R172">
        <v>7.585</v>
      </c>
      <c r="S172">
        <v>15.37</v>
      </c>
      <c r="T172">
        <v>12.74</v>
      </c>
      <c r="U172">
        <v>9.81</v>
      </c>
      <c r="V172">
        <v>6.6</v>
      </c>
      <c r="W172">
        <v>16.739999999999998</v>
      </c>
      <c r="X172">
        <v>19.8</v>
      </c>
      <c r="Y172">
        <v>21.96</v>
      </c>
      <c r="Z172">
        <v>9.31</v>
      </c>
      <c r="AA172">
        <v>3126.6633000000002</v>
      </c>
      <c r="AB172">
        <v>3070</v>
      </c>
      <c r="AC172">
        <v>791.10943999999995</v>
      </c>
    </row>
    <row r="173" spans="1:29" x14ac:dyDescent="0.3">
      <c r="A173" s="9">
        <v>44876</v>
      </c>
      <c r="B173">
        <v>26700</v>
      </c>
      <c r="C173">
        <v>18260</v>
      </c>
      <c r="D173">
        <v>314.60000000000002</v>
      </c>
      <c r="E173">
        <v>12.96</v>
      </c>
      <c r="F173">
        <v>55.17</v>
      </c>
      <c r="G173">
        <v>385</v>
      </c>
      <c r="H173">
        <v>130.5</v>
      </c>
      <c r="I173">
        <v>131.73910000000001</v>
      </c>
      <c r="J173">
        <v>6610</v>
      </c>
      <c r="K173">
        <v>2755</v>
      </c>
      <c r="L173">
        <v>30.46</v>
      </c>
      <c r="M173">
        <v>13.64</v>
      </c>
      <c r="N173">
        <v>24.64</v>
      </c>
      <c r="O173">
        <v>5.26</v>
      </c>
      <c r="P173">
        <v>4.26</v>
      </c>
      <c r="Q173">
        <v>11500</v>
      </c>
      <c r="R173">
        <v>7.09</v>
      </c>
      <c r="S173">
        <v>15.77</v>
      </c>
      <c r="T173">
        <v>14.02</v>
      </c>
      <c r="U173">
        <v>9.4600000000000009</v>
      </c>
      <c r="V173">
        <v>6.31</v>
      </c>
      <c r="W173">
        <v>17.12</v>
      </c>
      <c r="X173">
        <v>20.67</v>
      </c>
      <c r="Y173">
        <v>22.7</v>
      </c>
      <c r="Z173">
        <v>9.68</v>
      </c>
      <c r="AA173">
        <v>3249.9965999999999</v>
      </c>
      <c r="AB173">
        <v>3175</v>
      </c>
      <c r="AC173">
        <v>811.10943999999995</v>
      </c>
    </row>
    <row r="174" spans="1:29" x14ac:dyDescent="0.3">
      <c r="A174" s="9">
        <v>44869</v>
      </c>
      <c r="B174">
        <v>27400</v>
      </c>
      <c r="C174">
        <v>18975</v>
      </c>
      <c r="D174">
        <v>337.2</v>
      </c>
      <c r="E174">
        <v>12.64</v>
      </c>
      <c r="F174">
        <v>54.52</v>
      </c>
      <c r="G174">
        <v>358.75</v>
      </c>
      <c r="H174">
        <v>123.5</v>
      </c>
      <c r="I174">
        <v>133.47823</v>
      </c>
      <c r="J174">
        <v>6650</v>
      </c>
      <c r="K174">
        <v>2730</v>
      </c>
      <c r="L174">
        <v>28.71</v>
      </c>
      <c r="M174">
        <v>13.09</v>
      </c>
      <c r="N174">
        <v>23.6</v>
      </c>
      <c r="O174">
        <v>5.07</v>
      </c>
      <c r="P174">
        <v>4.28</v>
      </c>
      <c r="Q174">
        <v>11500</v>
      </c>
      <c r="R174">
        <v>6.7350000000000003</v>
      </c>
      <c r="S174">
        <v>14.86</v>
      </c>
      <c r="T174">
        <v>12.8</v>
      </c>
      <c r="U174">
        <v>8.61</v>
      </c>
      <c r="V174">
        <v>5.89</v>
      </c>
      <c r="W174">
        <v>15.78</v>
      </c>
      <c r="X174">
        <v>20.36</v>
      </c>
      <c r="Y174">
        <v>21.49</v>
      </c>
      <c r="Z174">
        <v>8.73</v>
      </c>
      <c r="AA174">
        <v>3153.33</v>
      </c>
      <c r="AB174">
        <v>3070</v>
      </c>
      <c r="AC174">
        <v>761.10955999999999</v>
      </c>
    </row>
    <row r="175" spans="1:29" x14ac:dyDescent="0.3">
      <c r="A175" s="9">
        <v>44862</v>
      </c>
      <c r="B175">
        <v>28400</v>
      </c>
      <c r="C175">
        <v>20680</v>
      </c>
      <c r="D175">
        <v>383</v>
      </c>
      <c r="E175">
        <v>12.46</v>
      </c>
      <c r="F175">
        <v>55.63</v>
      </c>
      <c r="G175">
        <v>337.5</v>
      </c>
      <c r="H175">
        <v>117.5</v>
      </c>
      <c r="I175">
        <v>129.56519</v>
      </c>
      <c r="J175">
        <v>6660</v>
      </c>
      <c r="K175">
        <v>2675</v>
      </c>
      <c r="L175">
        <v>28.1</v>
      </c>
      <c r="M175">
        <v>12.53</v>
      </c>
      <c r="N175">
        <v>22.03</v>
      </c>
      <c r="O175">
        <v>4.66</v>
      </c>
      <c r="P175">
        <v>4.1100000000000003</v>
      </c>
      <c r="Q175">
        <v>12000</v>
      </c>
      <c r="R175">
        <v>6.41</v>
      </c>
      <c r="S175">
        <v>14.72</v>
      </c>
      <c r="T175">
        <v>13.02</v>
      </c>
      <c r="U175">
        <v>8.33</v>
      </c>
      <c r="V175">
        <v>5.62</v>
      </c>
      <c r="W175">
        <v>16.010000000000002</v>
      </c>
      <c r="X175">
        <v>21.13</v>
      </c>
      <c r="Y175">
        <v>24.73</v>
      </c>
      <c r="Z175">
        <v>9.77</v>
      </c>
      <c r="AA175">
        <v>3269.9965999999999</v>
      </c>
      <c r="AB175">
        <v>3275</v>
      </c>
      <c r="AC175">
        <v>795.55382999999995</v>
      </c>
    </row>
    <row r="176" spans="1:29" x14ac:dyDescent="0.3">
      <c r="A176" s="9">
        <v>44855</v>
      </c>
      <c r="B176">
        <v>29450</v>
      </c>
      <c r="C176">
        <v>21010</v>
      </c>
      <c r="D176">
        <v>419.4</v>
      </c>
      <c r="E176">
        <v>12.38</v>
      </c>
      <c r="F176">
        <v>66.16</v>
      </c>
      <c r="G176">
        <v>361.25</v>
      </c>
      <c r="H176">
        <v>128</v>
      </c>
      <c r="I176">
        <v>139.56519</v>
      </c>
      <c r="J176">
        <v>7110</v>
      </c>
      <c r="K176">
        <v>2785</v>
      </c>
      <c r="L176">
        <v>30.39</v>
      </c>
      <c r="M176">
        <v>13.83</v>
      </c>
      <c r="N176">
        <v>22.57</v>
      </c>
      <c r="O176">
        <v>5.17</v>
      </c>
      <c r="P176">
        <v>4.3</v>
      </c>
      <c r="Q176">
        <v>11650</v>
      </c>
      <c r="R176">
        <v>6.55</v>
      </c>
      <c r="S176">
        <v>17.32</v>
      </c>
      <c r="T176">
        <v>13.39</v>
      </c>
      <c r="U176">
        <v>8.76</v>
      </c>
      <c r="V176">
        <v>5.59</v>
      </c>
      <c r="W176">
        <v>16.440000000000001</v>
      </c>
      <c r="X176">
        <v>22.77</v>
      </c>
      <c r="Y176">
        <v>26.72</v>
      </c>
      <c r="Z176">
        <v>10.57</v>
      </c>
      <c r="AA176">
        <v>3233.33</v>
      </c>
      <c r="AB176">
        <v>3300</v>
      </c>
      <c r="AC176">
        <v>971.10910000000001</v>
      </c>
    </row>
    <row r="177" spans="1:29" x14ac:dyDescent="0.3">
      <c r="A177" s="9">
        <v>44848</v>
      </c>
      <c r="B177">
        <v>31100</v>
      </c>
      <c r="C177">
        <v>19675</v>
      </c>
      <c r="D177">
        <v>426</v>
      </c>
      <c r="E177">
        <v>12.18</v>
      </c>
      <c r="F177">
        <v>63.65</v>
      </c>
      <c r="G177">
        <v>361.25</v>
      </c>
      <c r="H177">
        <v>126.5</v>
      </c>
      <c r="I177">
        <v>137.82605000000001</v>
      </c>
      <c r="J177">
        <v>7860</v>
      </c>
      <c r="K177">
        <v>2940</v>
      </c>
      <c r="L177">
        <v>29.88</v>
      </c>
      <c r="M177">
        <v>13.83</v>
      </c>
      <c r="N177">
        <v>20.83</v>
      </c>
      <c r="O177">
        <v>5.17</v>
      </c>
      <c r="P177">
        <v>4.03</v>
      </c>
      <c r="Q177">
        <v>11600</v>
      </c>
      <c r="R177">
        <v>6.5650000000000004</v>
      </c>
      <c r="S177">
        <v>15.36</v>
      </c>
      <c r="T177">
        <v>12.74</v>
      </c>
      <c r="U177">
        <v>7.99</v>
      </c>
      <c r="V177">
        <v>5.45</v>
      </c>
      <c r="W177">
        <v>15.98</v>
      </c>
      <c r="X177">
        <v>21.94</v>
      </c>
      <c r="Y177">
        <v>28.35</v>
      </c>
      <c r="Z177">
        <v>12.2</v>
      </c>
      <c r="AA177">
        <v>3329.9965999999999</v>
      </c>
      <c r="AB177">
        <v>3375</v>
      </c>
      <c r="AC177">
        <v>1047.7755999999999</v>
      </c>
    </row>
    <row r="178" spans="1:29" x14ac:dyDescent="0.3">
      <c r="A178" s="9">
        <v>44841</v>
      </c>
      <c r="B178">
        <v>30150</v>
      </c>
      <c r="C178">
        <v>20700</v>
      </c>
      <c r="D178">
        <v>439</v>
      </c>
      <c r="E178">
        <v>13.1</v>
      </c>
      <c r="F178">
        <v>64.7</v>
      </c>
      <c r="G178">
        <v>347.5</v>
      </c>
      <c r="H178">
        <v>126</v>
      </c>
      <c r="I178">
        <v>130.43475000000001</v>
      </c>
      <c r="J178">
        <v>7930</v>
      </c>
      <c r="K178">
        <v>2965</v>
      </c>
      <c r="L178">
        <v>32.03</v>
      </c>
      <c r="M178">
        <v>15.56</v>
      </c>
      <c r="N178">
        <v>22.66</v>
      </c>
      <c r="O178">
        <v>5.64</v>
      </c>
      <c r="P178">
        <v>4.33</v>
      </c>
      <c r="Q178">
        <v>11750</v>
      </c>
      <c r="R178">
        <v>7.5933000000000002</v>
      </c>
      <c r="S178">
        <v>15.81</v>
      </c>
      <c r="T178">
        <v>14.02</v>
      </c>
      <c r="U178">
        <v>8.74</v>
      </c>
      <c r="V178">
        <v>5.73</v>
      </c>
      <c r="W178">
        <v>18.77</v>
      </c>
      <c r="X178">
        <v>23.47</v>
      </c>
      <c r="Y178">
        <v>29.13</v>
      </c>
      <c r="Z178">
        <v>13.06</v>
      </c>
      <c r="AA178">
        <v>3769.9960000000001</v>
      </c>
      <c r="AB178">
        <v>3680</v>
      </c>
      <c r="AC178">
        <v>1194.4419</v>
      </c>
    </row>
    <row r="179" spans="1:29" x14ac:dyDescent="0.3">
      <c r="A179" s="9">
        <v>44834</v>
      </c>
      <c r="B179">
        <v>33750</v>
      </c>
      <c r="C179">
        <v>20300</v>
      </c>
      <c r="D179">
        <v>369.4</v>
      </c>
      <c r="E179">
        <v>13.7</v>
      </c>
      <c r="F179">
        <v>68.03</v>
      </c>
      <c r="G179">
        <v>298.75</v>
      </c>
      <c r="H179">
        <v>119.5</v>
      </c>
      <c r="I179">
        <v>113.91302</v>
      </c>
      <c r="J179">
        <v>8080</v>
      </c>
      <c r="K179">
        <v>3205</v>
      </c>
      <c r="L179">
        <v>32.54</v>
      </c>
      <c r="M179">
        <v>15.85</v>
      </c>
      <c r="N179">
        <v>25.18</v>
      </c>
      <c r="O179">
        <v>6.42</v>
      </c>
      <c r="P179">
        <v>4.7699999999999996</v>
      </c>
      <c r="Q179">
        <v>11650</v>
      </c>
      <c r="R179">
        <v>7.8250000000000002</v>
      </c>
      <c r="S179">
        <v>16.86</v>
      </c>
      <c r="T179">
        <v>13.56</v>
      </c>
      <c r="U179">
        <v>11.43</v>
      </c>
      <c r="V179">
        <v>6.11</v>
      </c>
      <c r="W179">
        <v>21.23</v>
      </c>
      <c r="X179">
        <v>24.51</v>
      </c>
      <c r="Y179">
        <v>33.56</v>
      </c>
      <c r="Z179">
        <v>14.19</v>
      </c>
      <c r="AA179">
        <v>3613.3296</v>
      </c>
      <c r="AB179">
        <v>3550</v>
      </c>
      <c r="AC179">
        <v>1219.9974</v>
      </c>
    </row>
    <row r="180" spans="1:29" x14ac:dyDescent="0.3">
      <c r="A180" s="9">
        <v>44827</v>
      </c>
      <c r="B180">
        <v>31250</v>
      </c>
      <c r="C180">
        <v>21320</v>
      </c>
      <c r="D180">
        <v>357.6</v>
      </c>
      <c r="E180">
        <v>13.98</v>
      </c>
      <c r="F180">
        <v>67.7</v>
      </c>
      <c r="G180">
        <v>246.75</v>
      </c>
      <c r="H180">
        <v>98.3</v>
      </c>
      <c r="I180">
        <v>101.30432</v>
      </c>
      <c r="J180">
        <v>7620</v>
      </c>
      <c r="K180">
        <v>3115</v>
      </c>
      <c r="L180">
        <v>32.51</v>
      </c>
      <c r="M180">
        <v>15.72</v>
      </c>
      <c r="N180">
        <v>26.3</v>
      </c>
      <c r="O180">
        <v>6.35</v>
      </c>
      <c r="P180">
        <v>4.92</v>
      </c>
      <c r="Q180">
        <v>11550</v>
      </c>
      <c r="R180">
        <v>8.4700000000000006</v>
      </c>
      <c r="S180">
        <v>18.07</v>
      </c>
      <c r="T180">
        <v>14.37</v>
      </c>
      <c r="U180">
        <v>10.4</v>
      </c>
      <c r="V180">
        <v>6.09</v>
      </c>
      <c r="W180">
        <v>20.95</v>
      </c>
      <c r="X180">
        <v>24.45</v>
      </c>
      <c r="Y180">
        <v>35.6</v>
      </c>
      <c r="Z180">
        <v>14.02</v>
      </c>
      <c r="AA180">
        <v>3269.9965999999999</v>
      </c>
      <c r="AB180">
        <v>3230</v>
      </c>
      <c r="AC180">
        <v>1021.10895</v>
      </c>
    </row>
    <row r="181" spans="1:29" x14ac:dyDescent="0.3">
      <c r="A181" s="9">
        <v>44820</v>
      </c>
      <c r="B181">
        <v>29450</v>
      </c>
      <c r="C181">
        <v>18470</v>
      </c>
      <c r="D181">
        <v>293.60000000000002</v>
      </c>
      <c r="E181">
        <v>13.04</v>
      </c>
      <c r="F181">
        <v>52.13</v>
      </c>
      <c r="G181">
        <v>199.5</v>
      </c>
      <c r="H181">
        <v>77.8</v>
      </c>
      <c r="I181">
        <v>96.521709999999999</v>
      </c>
      <c r="J181">
        <v>6980</v>
      </c>
      <c r="K181">
        <v>3040</v>
      </c>
      <c r="L181">
        <v>26.96</v>
      </c>
      <c r="M181">
        <v>13.39</v>
      </c>
      <c r="N181">
        <v>22.33</v>
      </c>
      <c r="O181">
        <v>5.44</v>
      </c>
      <c r="P181">
        <v>4.42</v>
      </c>
      <c r="Q181">
        <v>11250</v>
      </c>
      <c r="R181">
        <v>7.85</v>
      </c>
      <c r="S181">
        <v>16.86</v>
      </c>
      <c r="T181">
        <v>12.81</v>
      </c>
      <c r="U181">
        <v>9.32</v>
      </c>
      <c r="V181">
        <v>5.76</v>
      </c>
      <c r="W181">
        <v>20.66</v>
      </c>
      <c r="X181">
        <v>23.98</v>
      </c>
      <c r="Y181">
        <v>37.03</v>
      </c>
      <c r="Z181">
        <v>13.46</v>
      </c>
      <c r="AA181">
        <v>3106.6633000000002</v>
      </c>
      <c r="AB181">
        <v>3090</v>
      </c>
      <c r="AC181">
        <v>947.77575999999999</v>
      </c>
    </row>
    <row r="182" spans="1:29" x14ac:dyDescent="0.3">
      <c r="A182" s="9">
        <v>44813</v>
      </c>
      <c r="B182">
        <v>26900</v>
      </c>
      <c r="C182">
        <v>16510</v>
      </c>
      <c r="D182">
        <v>256.8</v>
      </c>
      <c r="E182">
        <v>12.46</v>
      </c>
      <c r="F182">
        <v>50.41</v>
      </c>
      <c r="G182">
        <v>231.75</v>
      </c>
      <c r="H182">
        <v>86.5</v>
      </c>
      <c r="I182">
        <v>104.782585</v>
      </c>
      <c r="J182">
        <v>6650</v>
      </c>
      <c r="K182">
        <v>2695</v>
      </c>
      <c r="L182">
        <v>26.78</v>
      </c>
      <c r="M182">
        <v>12.7</v>
      </c>
      <c r="N182">
        <v>20.440000000000001</v>
      </c>
      <c r="O182">
        <v>5.0199999999999996</v>
      </c>
      <c r="P182">
        <v>4.07</v>
      </c>
      <c r="Q182">
        <v>10500</v>
      </c>
      <c r="R182">
        <v>7.1349999999999998</v>
      </c>
      <c r="S182">
        <v>14.43</v>
      </c>
      <c r="T182">
        <v>11.13</v>
      </c>
      <c r="U182">
        <v>8.34</v>
      </c>
      <c r="V182">
        <v>5.35</v>
      </c>
      <c r="W182">
        <v>17.96</v>
      </c>
      <c r="X182">
        <v>21</v>
      </c>
      <c r="Y182">
        <v>34.090000000000003</v>
      </c>
      <c r="Z182">
        <v>13.05</v>
      </c>
      <c r="AA182">
        <v>3046.6635999999999</v>
      </c>
      <c r="AB182">
        <v>3025</v>
      </c>
      <c r="AC182">
        <v>875.55370000000005</v>
      </c>
    </row>
    <row r="183" spans="1:29" x14ac:dyDescent="0.3">
      <c r="A183" s="9">
        <v>44806</v>
      </c>
      <c r="B183">
        <v>24100</v>
      </c>
      <c r="C183">
        <v>17105</v>
      </c>
      <c r="D183">
        <v>263.60000000000002</v>
      </c>
      <c r="E183">
        <v>10.88</v>
      </c>
      <c r="F183">
        <v>46.35</v>
      </c>
      <c r="G183">
        <v>223.25</v>
      </c>
      <c r="H183">
        <v>86</v>
      </c>
      <c r="I183">
        <v>101.739105</v>
      </c>
      <c r="J183">
        <v>5950</v>
      </c>
      <c r="K183">
        <v>2380</v>
      </c>
      <c r="L183">
        <v>24.26</v>
      </c>
      <c r="M183">
        <v>11.43</v>
      </c>
      <c r="N183">
        <v>18.37</v>
      </c>
      <c r="O183">
        <v>4.57</v>
      </c>
      <c r="P183">
        <v>3.81</v>
      </c>
      <c r="Q183">
        <v>9860</v>
      </c>
      <c r="R183">
        <v>7.44</v>
      </c>
      <c r="S183">
        <v>14.69</v>
      </c>
      <c r="T183">
        <v>10.93</v>
      </c>
      <c r="U183">
        <v>8.98</v>
      </c>
      <c r="V183">
        <v>6.21</v>
      </c>
      <c r="W183">
        <v>17.41</v>
      </c>
      <c r="X183">
        <v>20.329999999999998</v>
      </c>
      <c r="Y183">
        <v>34.82</v>
      </c>
      <c r="Z183">
        <v>13.64</v>
      </c>
      <c r="AA183">
        <v>3043.33</v>
      </c>
      <c r="AB183">
        <v>3060</v>
      </c>
      <c r="AC183">
        <v>884.44259999999997</v>
      </c>
    </row>
    <row r="184" spans="1:29" x14ac:dyDescent="0.3">
      <c r="A184" s="9">
        <v>44799</v>
      </c>
      <c r="B184">
        <v>24000</v>
      </c>
      <c r="C184">
        <v>16620</v>
      </c>
      <c r="D184">
        <v>244.6</v>
      </c>
      <c r="E184">
        <v>10.96</v>
      </c>
      <c r="F184">
        <v>43.28</v>
      </c>
      <c r="G184">
        <v>235.5</v>
      </c>
      <c r="H184">
        <v>89.5</v>
      </c>
      <c r="I184">
        <v>106.5</v>
      </c>
      <c r="J184">
        <v>5820</v>
      </c>
      <c r="K184">
        <v>2520</v>
      </c>
      <c r="L184">
        <v>23.4</v>
      </c>
      <c r="M184">
        <v>10.75</v>
      </c>
      <c r="N184">
        <v>18.100000000000001</v>
      </c>
      <c r="O184">
        <v>4.59</v>
      </c>
      <c r="P184">
        <v>3.65</v>
      </c>
      <c r="Q184">
        <v>9980</v>
      </c>
      <c r="R184">
        <v>7.0289999999999999</v>
      </c>
      <c r="S184">
        <v>14.96</v>
      </c>
      <c r="T184">
        <v>11.11</v>
      </c>
      <c r="U184">
        <v>9.02</v>
      </c>
      <c r="V184">
        <v>6.08</v>
      </c>
      <c r="W184">
        <v>17.48</v>
      </c>
      <c r="X184">
        <v>21.16</v>
      </c>
      <c r="Y184">
        <v>34.17</v>
      </c>
      <c r="Z184">
        <v>13.16</v>
      </c>
      <c r="AA184">
        <v>3113.33</v>
      </c>
      <c r="AB184">
        <v>3130</v>
      </c>
      <c r="AC184">
        <v>881.10924999999997</v>
      </c>
    </row>
    <row r="185" spans="1:29" x14ac:dyDescent="0.3">
      <c r="A185" s="9">
        <v>44792</v>
      </c>
      <c r="B185">
        <v>25100</v>
      </c>
      <c r="C185">
        <v>17710</v>
      </c>
      <c r="D185">
        <v>281.39999999999998</v>
      </c>
      <c r="E185">
        <v>11.58</v>
      </c>
      <c r="F185">
        <v>44.55</v>
      </c>
      <c r="G185">
        <v>238.75</v>
      </c>
      <c r="H185">
        <v>89.6</v>
      </c>
      <c r="I185">
        <v>107</v>
      </c>
      <c r="J185">
        <v>5590</v>
      </c>
      <c r="K185">
        <v>2440</v>
      </c>
      <c r="L185">
        <v>22.46</v>
      </c>
      <c r="M185">
        <v>10.42</v>
      </c>
      <c r="N185">
        <v>16.91</v>
      </c>
      <c r="O185">
        <v>4.53</v>
      </c>
      <c r="P185">
        <v>3.37</v>
      </c>
      <c r="Q185">
        <v>9650</v>
      </c>
      <c r="R185">
        <v>6.78</v>
      </c>
      <c r="S185">
        <v>14.65</v>
      </c>
      <c r="T185">
        <v>10.69</v>
      </c>
      <c r="U185">
        <v>8.34</v>
      </c>
      <c r="V185">
        <v>6.11</v>
      </c>
      <c r="W185">
        <v>16.489999999999998</v>
      </c>
      <c r="X185">
        <v>18.649999999999999</v>
      </c>
      <c r="Y185">
        <v>33.01</v>
      </c>
      <c r="Z185">
        <v>12.39</v>
      </c>
      <c r="AA185">
        <v>3176.6633000000002</v>
      </c>
      <c r="AB185">
        <v>3195</v>
      </c>
      <c r="AC185">
        <v>892.22033999999996</v>
      </c>
    </row>
    <row r="186" spans="1:29" x14ac:dyDescent="0.3">
      <c r="A186" s="9">
        <v>44785</v>
      </c>
      <c r="B186">
        <v>22500</v>
      </c>
      <c r="C186">
        <v>17555</v>
      </c>
      <c r="D186">
        <v>265.60000000000002</v>
      </c>
      <c r="E186">
        <v>11.28</v>
      </c>
      <c r="F186">
        <v>46.44</v>
      </c>
      <c r="G186">
        <v>248</v>
      </c>
      <c r="H186">
        <v>90.5</v>
      </c>
      <c r="I186">
        <v>107.5</v>
      </c>
      <c r="J186">
        <v>5170</v>
      </c>
      <c r="K186">
        <v>2255</v>
      </c>
      <c r="L186">
        <v>23.76</v>
      </c>
      <c r="M186">
        <v>10.67</v>
      </c>
      <c r="N186">
        <v>17.02</v>
      </c>
      <c r="O186">
        <v>4.58</v>
      </c>
      <c r="P186">
        <v>3.37</v>
      </c>
      <c r="Q186">
        <v>9390</v>
      </c>
      <c r="R186">
        <v>7.0449999999999999</v>
      </c>
      <c r="S186">
        <v>15.27</v>
      </c>
      <c r="T186">
        <v>10.45</v>
      </c>
      <c r="U186">
        <v>8.89</v>
      </c>
      <c r="V186">
        <v>6.4</v>
      </c>
      <c r="W186">
        <v>17.79</v>
      </c>
      <c r="X186">
        <v>20.32</v>
      </c>
      <c r="Y186">
        <v>35.03</v>
      </c>
      <c r="Z186">
        <v>13.67</v>
      </c>
      <c r="AA186">
        <v>3453.3298</v>
      </c>
      <c r="AB186">
        <v>3510</v>
      </c>
      <c r="AC186">
        <v>1093.3309999999999</v>
      </c>
    </row>
    <row r="187" spans="1:29" x14ac:dyDescent="0.3">
      <c r="A187" s="9">
        <v>44778</v>
      </c>
      <c r="B187">
        <v>24100</v>
      </c>
      <c r="C187">
        <v>18195</v>
      </c>
      <c r="D187">
        <v>283.39999999999998</v>
      </c>
      <c r="E187">
        <v>12.1</v>
      </c>
      <c r="F187">
        <v>45.39</v>
      </c>
      <c r="G187">
        <v>260</v>
      </c>
      <c r="H187">
        <v>91.1</v>
      </c>
      <c r="I187">
        <v>104.5</v>
      </c>
      <c r="J187">
        <v>5500</v>
      </c>
      <c r="K187">
        <v>2355</v>
      </c>
      <c r="L187">
        <v>25.44</v>
      </c>
      <c r="M187">
        <v>10.83</v>
      </c>
      <c r="N187">
        <v>18.489999999999998</v>
      </c>
      <c r="O187">
        <v>4.9000000000000004</v>
      </c>
      <c r="P187">
        <v>3.58</v>
      </c>
      <c r="Q187">
        <v>9750</v>
      </c>
      <c r="R187">
        <v>7.66</v>
      </c>
      <c r="S187">
        <v>15.72</v>
      </c>
      <c r="T187">
        <v>10.99</v>
      </c>
      <c r="U187">
        <v>9.17</v>
      </c>
      <c r="V187">
        <v>6.6</v>
      </c>
      <c r="W187">
        <v>19.89</v>
      </c>
      <c r="X187">
        <v>21.68</v>
      </c>
      <c r="Y187">
        <v>37.659999999999997</v>
      </c>
      <c r="Z187">
        <v>14.15</v>
      </c>
      <c r="AA187">
        <v>3466.663</v>
      </c>
      <c r="AB187">
        <v>3635</v>
      </c>
      <c r="AC187">
        <v>1085.5533</v>
      </c>
    </row>
    <row r="188" spans="1:29" x14ac:dyDescent="0.3">
      <c r="A188" s="9">
        <v>44771</v>
      </c>
      <c r="B188">
        <v>24850</v>
      </c>
      <c r="C188">
        <v>19790</v>
      </c>
      <c r="D188">
        <v>335</v>
      </c>
      <c r="E188">
        <v>11.74</v>
      </c>
      <c r="F188">
        <v>49.82</v>
      </c>
      <c r="G188">
        <v>245</v>
      </c>
      <c r="H188">
        <v>86.4</v>
      </c>
      <c r="I188">
        <v>100.5</v>
      </c>
      <c r="J188">
        <v>5650</v>
      </c>
      <c r="K188">
        <v>2385</v>
      </c>
      <c r="L188">
        <v>26.024999999999999</v>
      </c>
      <c r="M188">
        <v>10.92</v>
      </c>
      <c r="N188">
        <v>19.28</v>
      </c>
      <c r="O188">
        <v>5.65</v>
      </c>
      <c r="P188">
        <v>3.86</v>
      </c>
      <c r="Q188">
        <v>10250</v>
      </c>
      <c r="R188">
        <v>8.2550000000000008</v>
      </c>
      <c r="S188">
        <v>16.12</v>
      </c>
      <c r="T188">
        <v>11.65</v>
      </c>
      <c r="U188">
        <v>9.59</v>
      </c>
      <c r="V188">
        <v>6.57</v>
      </c>
      <c r="W188">
        <v>20.87</v>
      </c>
      <c r="X188">
        <v>23.65</v>
      </c>
      <c r="Y188">
        <v>38.61</v>
      </c>
      <c r="Z188">
        <v>16.29</v>
      </c>
      <c r="AA188">
        <v>3643.3296</v>
      </c>
      <c r="AB188">
        <v>3805</v>
      </c>
      <c r="AC188">
        <v>1148.8865000000001</v>
      </c>
    </row>
    <row r="189" spans="1:29" x14ac:dyDescent="0.3">
      <c r="A189" s="9">
        <v>44764</v>
      </c>
      <c r="B189">
        <v>26000</v>
      </c>
      <c r="C189">
        <v>20950</v>
      </c>
      <c r="D189">
        <v>343</v>
      </c>
      <c r="E189">
        <v>11.32</v>
      </c>
      <c r="F189">
        <v>49.94</v>
      </c>
      <c r="G189">
        <v>233.75</v>
      </c>
      <c r="H189">
        <v>83.4</v>
      </c>
      <c r="I189">
        <v>93.1</v>
      </c>
      <c r="J189">
        <v>5620</v>
      </c>
      <c r="K189">
        <v>2465</v>
      </c>
      <c r="L189">
        <v>25.58</v>
      </c>
      <c r="M189">
        <v>10.52</v>
      </c>
      <c r="N189">
        <v>17.45</v>
      </c>
      <c r="O189">
        <v>6</v>
      </c>
      <c r="P189">
        <v>3.69</v>
      </c>
      <c r="Q189">
        <v>10150</v>
      </c>
      <c r="R189">
        <v>8.2750000000000004</v>
      </c>
      <c r="S189">
        <v>15.7</v>
      </c>
      <c r="T189">
        <v>11.12</v>
      </c>
      <c r="U189">
        <v>10.49</v>
      </c>
      <c r="V189">
        <v>7.2</v>
      </c>
      <c r="W189">
        <v>22.79</v>
      </c>
      <c r="X189">
        <v>24.78</v>
      </c>
      <c r="Y189">
        <v>39.22</v>
      </c>
      <c r="Z189">
        <v>17.11</v>
      </c>
      <c r="AA189">
        <v>3679.9960000000001</v>
      </c>
      <c r="AB189">
        <v>3825</v>
      </c>
      <c r="AC189">
        <v>1098.8866</v>
      </c>
    </row>
    <row r="190" spans="1:29" x14ac:dyDescent="0.3">
      <c r="A190" s="9">
        <v>44757</v>
      </c>
      <c r="B190">
        <v>24400</v>
      </c>
      <c r="C190">
        <v>20030</v>
      </c>
      <c r="D190">
        <v>311.8</v>
      </c>
      <c r="E190">
        <v>11.76</v>
      </c>
      <c r="F190">
        <v>51.86</v>
      </c>
      <c r="G190">
        <v>199.25</v>
      </c>
      <c r="H190">
        <v>71.099999999999994</v>
      </c>
      <c r="I190">
        <v>78</v>
      </c>
      <c r="J190">
        <v>5780</v>
      </c>
      <c r="K190">
        <v>2540</v>
      </c>
      <c r="L190">
        <v>26.68</v>
      </c>
      <c r="M190">
        <v>11.58</v>
      </c>
      <c r="N190">
        <v>17.64</v>
      </c>
      <c r="O190">
        <v>5.79</v>
      </c>
      <c r="P190">
        <v>3.81</v>
      </c>
      <c r="Q190">
        <v>10800</v>
      </c>
      <c r="R190">
        <v>8.8450000000000006</v>
      </c>
      <c r="S190">
        <v>15.42</v>
      </c>
      <c r="T190">
        <v>11.51</v>
      </c>
      <c r="U190">
        <v>11.38</v>
      </c>
      <c r="V190">
        <v>7.83</v>
      </c>
      <c r="W190">
        <v>25.09</v>
      </c>
      <c r="X190">
        <v>28.48</v>
      </c>
      <c r="Y190">
        <v>42.24</v>
      </c>
      <c r="Z190">
        <v>18.7</v>
      </c>
      <c r="AA190">
        <v>3573.3296</v>
      </c>
      <c r="AB190">
        <v>3740</v>
      </c>
      <c r="AC190">
        <v>1041.1088999999999</v>
      </c>
    </row>
    <row r="191" spans="1:29" x14ac:dyDescent="0.3">
      <c r="A191" s="9">
        <v>44750</v>
      </c>
      <c r="B191">
        <v>23250</v>
      </c>
      <c r="C191">
        <v>19665</v>
      </c>
      <c r="D191">
        <v>296.60000000000002</v>
      </c>
      <c r="E191">
        <v>11.6</v>
      </c>
      <c r="F191">
        <v>49.12</v>
      </c>
      <c r="G191">
        <v>187</v>
      </c>
      <c r="H191">
        <v>67.8</v>
      </c>
      <c r="I191">
        <v>74.099999999999994</v>
      </c>
      <c r="J191">
        <v>5520</v>
      </c>
      <c r="K191">
        <v>2450</v>
      </c>
      <c r="L191">
        <v>24.99</v>
      </c>
      <c r="M191">
        <v>10.49</v>
      </c>
      <c r="N191">
        <v>15.59</v>
      </c>
      <c r="O191">
        <v>5.51</v>
      </c>
      <c r="P191">
        <v>3.6</v>
      </c>
      <c r="Q191">
        <v>10800</v>
      </c>
      <c r="R191">
        <v>8.48</v>
      </c>
      <c r="S191">
        <v>15.09</v>
      </c>
      <c r="T191">
        <v>11.29</v>
      </c>
      <c r="U191">
        <v>11.73</v>
      </c>
      <c r="V191">
        <v>7.87</v>
      </c>
      <c r="W191">
        <v>24.8</v>
      </c>
      <c r="X191">
        <v>29.83</v>
      </c>
      <c r="Y191">
        <v>39.42</v>
      </c>
      <c r="Z191">
        <v>20.57</v>
      </c>
      <c r="AA191">
        <v>3636.6628000000001</v>
      </c>
      <c r="AB191">
        <v>3770</v>
      </c>
      <c r="AC191">
        <v>1024.4422999999999</v>
      </c>
    </row>
    <row r="192" spans="1:29" x14ac:dyDescent="0.3">
      <c r="A192" s="9">
        <v>44743</v>
      </c>
      <c r="B192">
        <v>23200</v>
      </c>
      <c r="C192">
        <v>18375</v>
      </c>
      <c r="D192">
        <v>272</v>
      </c>
      <c r="E192">
        <v>11.48</v>
      </c>
      <c r="F192">
        <v>41.05</v>
      </c>
      <c r="G192">
        <v>187</v>
      </c>
      <c r="H192">
        <v>73.5</v>
      </c>
      <c r="I192">
        <v>80.7</v>
      </c>
      <c r="J192">
        <v>5470</v>
      </c>
      <c r="K192">
        <v>2365</v>
      </c>
      <c r="L192">
        <v>21.53</v>
      </c>
      <c r="M192">
        <v>10.44</v>
      </c>
      <c r="N192">
        <v>14.97</v>
      </c>
      <c r="O192">
        <v>5.08</v>
      </c>
      <c r="P192">
        <v>3.35</v>
      </c>
      <c r="Q192">
        <v>11100</v>
      </c>
      <c r="R192">
        <v>8.1549999999999994</v>
      </c>
      <c r="S192">
        <v>15.45</v>
      </c>
      <c r="T192">
        <v>12.58</v>
      </c>
      <c r="U192">
        <v>11.89</v>
      </c>
      <c r="V192">
        <v>7.74</v>
      </c>
      <c r="W192">
        <v>24.74</v>
      </c>
      <c r="X192">
        <v>29.68</v>
      </c>
      <c r="Y192">
        <v>41.2</v>
      </c>
      <c r="Z192">
        <v>20.34</v>
      </c>
      <c r="AA192">
        <v>3426.663</v>
      </c>
      <c r="AB192">
        <v>3520</v>
      </c>
      <c r="AC192">
        <v>938.88696000000004</v>
      </c>
    </row>
    <row r="193" spans="1:29" x14ac:dyDescent="0.3">
      <c r="A193" s="9">
        <v>44736</v>
      </c>
      <c r="B193">
        <v>21350</v>
      </c>
      <c r="C193">
        <v>17155</v>
      </c>
      <c r="D193">
        <v>227.8</v>
      </c>
      <c r="E193">
        <v>10.64</v>
      </c>
      <c r="F193">
        <v>34.33</v>
      </c>
      <c r="G193">
        <v>158</v>
      </c>
      <c r="H193">
        <v>67.400000000000006</v>
      </c>
      <c r="I193">
        <v>74.900000000000006</v>
      </c>
      <c r="J193">
        <v>5030</v>
      </c>
      <c r="K193">
        <v>2205</v>
      </c>
      <c r="L193">
        <v>19.89</v>
      </c>
      <c r="M193">
        <v>9.82</v>
      </c>
      <c r="N193">
        <v>14.01</v>
      </c>
      <c r="O193">
        <v>4.82</v>
      </c>
      <c r="P193">
        <v>3.21</v>
      </c>
      <c r="Q193">
        <v>10400</v>
      </c>
      <c r="R193">
        <v>6.3</v>
      </c>
      <c r="S193">
        <v>14.56</v>
      </c>
      <c r="T193">
        <v>11.92</v>
      </c>
      <c r="U193">
        <v>11.92</v>
      </c>
      <c r="V193">
        <v>7.7</v>
      </c>
      <c r="W193">
        <v>24.16</v>
      </c>
      <c r="X193">
        <v>30.64</v>
      </c>
      <c r="Y193">
        <v>42.77</v>
      </c>
      <c r="Z193">
        <v>20.329999999999998</v>
      </c>
      <c r="AA193">
        <v>3366.663</v>
      </c>
      <c r="AB193">
        <v>3385</v>
      </c>
      <c r="AC193">
        <v>903.33140000000003</v>
      </c>
    </row>
    <row r="194" spans="1:29" x14ac:dyDescent="0.3">
      <c r="A194" s="9">
        <v>44729</v>
      </c>
      <c r="B194">
        <v>20000</v>
      </c>
      <c r="C194">
        <v>16230</v>
      </c>
      <c r="D194">
        <v>218.8</v>
      </c>
      <c r="E194">
        <v>10.199999999999999</v>
      </c>
      <c r="F194">
        <v>32.06</v>
      </c>
      <c r="G194">
        <v>146</v>
      </c>
      <c r="H194">
        <v>61.5</v>
      </c>
      <c r="I194">
        <v>66.8</v>
      </c>
      <c r="J194">
        <v>4830</v>
      </c>
      <c r="K194">
        <v>2080</v>
      </c>
      <c r="L194">
        <v>20.47</v>
      </c>
      <c r="M194">
        <v>8.98</v>
      </c>
      <c r="N194">
        <v>14</v>
      </c>
      <c r="O194">
        <v>4.91</v>
      </c>
      <c r="P194">
        <v>3.26</v>
      </c>
      <c r="Q194">
        <v>9900</v>
      </c>
      <c r="R194">
        <v>6.89</v>
      </c>
      <c r="S194">
        <v>14.52</v>
      </c>
      <c r="T194">
        <v>11.85</v>
      </c>
      <c r="U194">
        <v>12.78</v>
      </c>
      <c r="V194">
        <v>8.49</v>
      </c>
      <c r="W194">
        <v>27.18</v>
      </c>
      <c r="X194">
        <v>32.53</v>
      </c>
      <c r="Y194">
        <v>44.23</v>
      </c>
      <c r="Z194">
        <v>21.57</v>
      </c>
      <c r="AA194">
        <v>3263.3298</v>
      </c>
      <c r="AB194">
        <v>3315</v>
      </c>
      <c r="AC194">
        <v>847.77599999999995</v>
      </c>
    </row>
    <row r="195" spans="1:29" x14ac:dyDescent="0.3">
      <c r="A195" s="9">
        <v>44722</v>
      </c>
      <c r="B195">
        <v>20600</v>
      </c>
      <c r="C195">
        <v>14635</v>
      </c>
      <c r="D195">
        <v>190.6</v>
      </c>
      <c r="E195">
        <v>9.9</v>
      </c>
      <c r="F195">
        <v>29.53</v>
      </c>
      <c r="G195">
        <v>155.5</v>
      </c>
      <c r="H195">
        <v>65.099999999999994</v>
      </c>
      <c r="I195">
        <v>73.2</v>
      </c>
      <c r="J195">
        <v>5470</v>
      </c>
      <c r="K195">
        <v>2255</v>
      </c>
      <c r="L195">
        <v>19.600000000000001</v>
      </c>
      <c r="M195">
        <v>8.84</v>
      </c>
      <c r="N195">
        <v>13.28</v>
      </c>
      <c r="O195">
        <v>4.7300000000000004</v>
      </c>
      <c r="P195">
        <v>3.05</v>
      </c>
      <c r="Q195">
        <v>9970</v>
      </c>
      <c r="R195">
        <v>6.8250000000000002</v>
      </c>
      <c r="S195">
        <v>13.96</v>
      </c>
      <c r="T195">
        <v>11.4</v>
      </c>
      <c r="U195">
        <v>12.79</v>
      </c>
      <c r="V195">
        <v>8.7100000000000009</v>
      </c>
      <c r="W195">
        <v>27.57</v>
      </c>
      <c r="X195">
        <v>33.590000000000003</v>
      </c>
      <c r="Y195">
        <v>43.1</v>
      </c>
      <c r="Z195">
        <v>21.66</v>
      </c>
      <c r="AA195">
        <v>3203.33</v>
      </c>
      <c r="AB195">
        <v>3285</v>
      </c>
      <c r="AC195">
        <v>813.33167000000003</v>
      </c>
    </row>
    <row r="196" spans="1:29" x14ac:dyDescent="0.3">
      <c r="A196" s="9">
        <v>44715</v>
      </c>
      <c r="B196">
        <v>18850</v>
      </c>
      <c r="C196">
        <v>13835</v>
      </c>
      <c r="D196">
        <v>165.5</v>
      </c>
      <c r="E196">
        <v>9.17</v>
      </c>
      <c r="F196">
        <v>24.87</v>
      </c>
      <c r="G196">
        <v>152.5</v>
      </c>
      <c r="H196">
        <v>62.8</v>
      </c>
      <c r="I196">
        <v>68.8</v>
      </c>
      <c r="J196">
        <v>5170</v>
      </c>
      <c r="K196">
        <v>2270</v>
      </c>
      <c r="L196">
        <v>19.059999999999999</v>
      </c>
      <c r="M196">
        <v>8.2799999999999994</v>
      </c>
      <c r="N196">
        <v>12.61</v>
      </c>
      <c r="O196">
        <v>4.22</v>
      </c>
      <c r="P196">
        <v>2.77</v>
      </c>
      <c r="Q196">
        <v>9900</v>
      </c>
      <c r="R196">
        <v>6.3</v>
      </c>
      <c r="S196">
        <v>13.07</v>
      </c>
      <c r="T196">
        <v>10.98</v>
      </c>
      <c r="U196">
        <v>12.11</v>
      </c>
      <c r="V196">
        <v>8.36</v>
      </c>
      <c r="W196">
        <v>28.25</v>
      </c>
      <c r="X196">
        <v>33.68</v>
      </c>
      <c r="Y196">
        <v>39.6</v>
      </c>
      <c r="Z196">
        <v>18.89</v>
      </c>
      <c r="AA196">
        <v>2467</v>
      </c>
      <c r="AB196">
        <v>2602</v>
      </c>
      <c r="AC196">
        <v>677.33263999999997</v>
      </c>
    </row>
    <row r="197" spans="1:29" x14ac:dyDescent="0.3">
      <c r="A197" s="9">
        <v>44708</v>
      </c>
      <c r="B197">
        <v>18500</v>
      </c>
      <c r="C197">
        <v>13865</v>
      </c>
      <c r="D197">
        <v>174.7</v>
      </c>
      <c r="E197">
        <v>9.2100000000000009</v>
      </c>
      <c r="F197">
        <v>23.5</v>
      </c>
      <c r="G197">
        <v>135.5</v>
      </c>
      <c r="H197">
        <v>61</v>
      </c>
      <c r="I197">
        <v>66.5</v>
      </c>
      <c r="J197">
        <v>4500</v>
      </c>
      <c r="K197">
        <v>1945</v>
      </c>
      <c r="L197">
        <v>17.48</v>
      </c>
      <c r="M197">
        <v>7.47</v>
      </c>
      <c r="N197">
        <v>12.53</v>
      </c>
      <c r="O197">
        <v>3.61</v>
      </c>
      <c r="P197">
        <v>2.4700000000000002</v>
      </c>
      <c r="Q197">
        <v>8840</v>
      </c>
      <c r="R197">
        <v>7.3049999999999997</v>
      </c>
      <c r="S197">
        <v>13.57</v>
      </c>
      <c r="T197">
        <v>11.45</v>
      </c>
      <c r="U197">
        <v>10.93</v>
      </c>
      <c r="V197">
        <v>7.56</v>
      </c>
      <c r="W197">
        <v>27.54</v>
      </c>
      <c r="X197">
        <v>35.130000000000003</v>
      </c>
      <c r="Y197">
        <v>42.04</v>
      </c>
      <c r="Z197">
        <v>20.29</v>
      </c>
      <c r="AA197">
        <v>2563</v>
      </c>
      <c r="AB197">
        <v>2775</v>
      </c>
      <c r="AC197">
        <v>707.99927000000002</v>
      </c>
    </row>
    <row r="198" spans="1:29" x14ac:dyDescent="0.3">
      <c r="A198" s="9">
        <v>44701</v>
      </c>
      <c r="B198">
        <v>18200</v>
      </c>
      <c r="C198">
        <v>14050</v>
      </c>
      <c r="D198">
        <v>175</v>
      </c>
      <c r="E198">
        <v>9.26</v>
      </c>
      <c r="F198">
        <v>24</v>
      </c>
      <c r="G198">
        <v>137.5</v>
      </c>
      <c r="H198">
        <v>60.6</v>
      </c>
      <c r="I198">
        <v>68.5</v>
      </c>
      <c r="J198">
        <v>4775</v>
      </c>
      <c r="K198">
        <v>2120</v>
      </c>
      <c r="L198">
        <v>19.920000000000002</v>
      </c>
      <c r="M198">
        <v>8.48</v>
      </c>
      <c r="N198">
        <v>13.91</v>
      </c>
      <c r="O198">
        <v>4.17</v>
      </c>
      <c r="P198">
        <v>2.63</v>
      </c>
      <c r="Q198">
        <v>9160</v>
      </c>
      <c r="R198">
        <v>7.77</v>
      </c>
      <c r="S198">
        <v>14.51</v>
      </c>
      <c r="T198">
        <v>11.84</v>
      </c>
      <c r="U198">
        <v>10.89</v>
      </c>
      <c r="V198">
        <v>7.53</v>
      </c>
      <c r="W198">
        <v>27.84</v>
      </c>
      <c r="X198">
        <v>34.26</v>
      </c>
      <c r="Y198">
        <v>42.15</v>
      </c>
      <c r="Z198">
        <v>19.98</v>
      </c>
      <c r="AA198">
        <v>2650</v>
      </c>
      <c r="AB198">
        <v>2847</v>
      </c>
      <c r="AC198">
        <v>731.66589999999997</v>
      </c>
    </row>
    <row r="199" spans="1:29" x14ac:dyDescent="0.3">
      <c r="A199" s="9">
        <v>44694</v>
      </c>
      <c r="B199">
        <v>18650</v>
      </c>
      <c r="C199">
        <v>15155</v>
      </c>
      <c r="D199">
        <v>181.2</v>
      </c>
      <c r="E199">
        <v>9.1300000000000008</v>
      </c>
      <c r="F199">
        <v>25.68</v>
      </c>
      <c r="G199">
        <v>139</v>
      </c>
      <c r="H199">
        <v>61.2</v>
      </c>
      <c r="I199">
        <v>66.599999999999994</v>
      </c>
      <c r="J199">
        <v>4585</v>
      </c>
      <c r="K199">
        <v>2005</v>
      </c>
      <c r="L199">
        <v>20.43</v>
      </c>
      <c r="M199">
        <v>8.74</v>
      </c>
      <c r="N199">
        <v>14.03</v>
      </c>
      <c r="O199">
        <v>4.18</v>
      </c>
      <c r="P199">
        <v>2.7</v>
      </c>
      <c r="Q199">
        <v>9040</v>
      </c>
      <c r="R199">
        <v>7.56</v>
      </c>
      <c r="S199">
        <v>14.96</v>
      </c>
      <c r="T199">
        <v>11.74</v>
      </c>
      <c r="U199">
        <v>11.92</v>
      </c>
      <c r="V199">
        <v>8.02</v>
      </c>
      <c r="W199">
        <v>30.33</v>
      </c>
      <c r="X199">
        <v>38.4</v>
      </c>
      <c r="Y199">
        <v>46.38</v>
      </c>
      <c r="Z199">
        <v>21.86</v>
      </c>
      <c r="AA199">
        <v>2679</v>
      </c>
      <c r="AB199">
        <v>2912</v>
      </c>
      <c r="AC199">
        <v>762.33249999999998</v>
      </c>
    </row>
    <row r="200" spans="1:29" x14ac:dyDescent="0.3">
      <c r="A200" s="9">
        <v>44687</v>
      </c>
      <c r="B200">
        <v>19000</v>
      </c>
      <c r="C200">
        <v>15745</v>
      </c>
      <c r="D200">
        <v>190.1</v>
      </c>
      <c r="E200">
        <v>9.16</v>
      </c>
      <c r="F200">
        <v>23.59</v>
      </c>
      <c r="G200">
        <v>150</v>
      </c>
      <c r="H200">
        <v>65.2</v>
      </c>
      <c r="I200">
        <v>73.5</v>
      </c>
      <c r="J200">
        <v>4545</v>
      </c>
      <c r="K200">
        <v>1995</v>
      </c>
      <c r="L200">
        <v>19.25</v>
      </c>
      <c r="M200">
        <v>8.61</v>
      </c>
      <c r="N200">
        <v>13.85</v>
      </c>
      <c r="O200">
        <v>4.17</v>
      </c>
      <c r="P200">
        <v>2.7</v>
      </c>
      <c r="Q200">
        <v>8870</v>
      </c>
      <c r="R200">
        <v>8.14</v>
      </c>
      <c r="S200">
        <v>15.76</v>
      </c>
      <c r="T200">
        <v>12.26</v>
      </c>
      <c r="U200">
        <v>12.44</v>
      </c>
      <c r="V200">
        <v>8.76</v>
      </c>
      <c r="W200">
        <v>32.590000000000003</v>
      </c>
      <c r="X200">
        <v>40.369999999999997</v>
      </c>
      <c r="Y200">
        <v>47.66</v>
      </c>
      <c r="Z200">
        <v>25.13</v>
      </c>
      <c r="AA200">
        <v>2643</v>
      </c>
      <c r="AB200">
        <v>2902</v>
      </c>
      <c r="AC200">
        <v>720.66589999999997</v>
      </c>
    </row>
    <row r="201" spans="1:29" x14ac:dyDescent="0.3">
      <c r="A201" s="9">
        <v>44680</v>
      </c>
      <c r="B201">
        <v>18600</v>
      </c>
      <c r="C201">
        <v>15225</v>
      </c>
      <c r="D201">
        <v>179.1</v>
      </c>
      <c r="E201">
        <v>8.7899999999999991</v>
      </c>
      <c r="F201">
        <v>23.08</v>
      </c>
      <c r="G201">
        <v>150.5</v>
      </c>
      <c r="H201">
        <v>63</v>
      </c>
      <c r="I201">
        <v>71.8</v>
      </c>
      <c r="J201">
        <v>4330</v>
      </c>
      <c r="K201">
        <v>1955</v>
      </c>
      <c r="L201">
        <v>17.670000000000002</v>
      </c>
      <c r="M201">
        <v>8.52</v>
      </c>
      <c r="N201">
        <v>13.43</v>
      </c>
      <c r="O201">
        <v>4.3</v>
      </c>
      <c r="P201">
        <v>2.65</v>
      </c>
      <c r="Q201">
        <v>9040</v>
      </c>
      <c r="R201">
        <v>8.18</v>
      </c>
      <c r="S201">
        <v>17.57</v>
      </c>
      <c r="T201">
        <v>12.3</v>
      </c>
      <c r="U201">
        <v>12.47</v>
      </c>
      <c r="V201">
        <v>8.86</v>
      </c>
      <c r="W201">
        <v>30.79</v>
      </c>
      <c r="X201">
        <v>41.15</v>
      </c>
      <c r="Y201">
        <v>46.86</v>
      </c>
      <c r="Z201">
        <v>26.32</v>
      </c>
      <c r="AA201">
        <v>2563</v>
      </c>
      <c r="AB201">
        <v>2897</v>
      </c>
      <c r="AC201">
        <v>728.99927000000002</v>
      </c>
    </row>
    <row r="202" spans="1:29" x14ac:dyDescent="0.3">
      <c r="A202" s="9">
        <v>44673</v>
      </c>
      <c r="B202">
        <v>18900</v>
      </c>
      <c r="C202">
        <v>14585</v>
      </c>
      <c r="D202">
        <v>165.9</v>
      </c>
      <c r="E202">
        <v>8.7799999999999994</v>
      </c>
      <c r="F202">
        <v>23.17</v>
      </c>
      <c r="G202">
        <v>160.5</v>
      </c>
      <c r="H202">
        <v>64.900000000000006</v>
      </c>
      <c r="I202">
        <v>74.900000000000006</v>
      </c>
      <c r="J202">
        <v>4250</v>
      </c>
      <c r="K202">
        <v>1980</v>
      </c>
      <c r="L202">
        <v>19.440000000000001</v>
      </c>
      <c r="M202">
        <v>9.4499999999999993</v>
      </c>
      <c r="N202">
        <v>14.81</v>
      </c>
      <c r="O202">
        <v>4.3</v>
      </c>
      <c r="P202">
        <v>2.71</v>
      </c>
      <c r="Q202">
        <v>9060</v>
      </c>
      <c r="R202">
        <v>8.6199999999999992</v>
      </c>
      <c r="S202">
        <v>18.850000000000001</v>
      </c>
      <c r="T202">
        <v>12.85</v>
      </c>
      <c r="U202">
        <v>13.67</v>
      </c>
      <c r="V202">
        <v>9.4499999999999993</v>
      </c>
      <c r="W202">
        <v>34.42</v>
      </c>
      <c r="X202">
        <v>44.95</v>
      </c>
      <c r="Y202">
        <v>51.36</v>
      </c>
      <c r="Z202">
        <v>29.9</v>
      </c>
      <c r="AA202">
        <v>2728.5</v>
      </c>
      <c r="AB202">
        <v>3120</v>
      </c>
      <c r="AC202">
        <v>863.33245999999997</v>
      </c>
    </row>
    <row r="203" spans="1:29" x14ac:dyDescent="0.3">
      <c r="A203" s="9">
        <v>44666</v>
      </c>
      <c r="B203">
        <v>20850</v>
      </c>
      <c r="C203">
        <v>15450</v>
      </c>
      <c r="D203">
        <v>185.8</v>
      </c>
      <c r="E203">
        <v>9.7100000000000009</v>
      </c>
      <c r="F203">
        <v>27.08</v>
      </c>
      <c r="G203">
        <v>158.5</v>
      </c>
      <c r="H203">
        <v>64.8</v>
      </c>
      <c r="I203">
        <v>74.5</v>
      </c>
      <c r="J203">
        <v>5120</v>
      </c>
      <c r="K203">
        <v>2090</v>
      </c>
      <c r="L203">
        <v>21</v>
      </c>
      <c r="M203">
        <v>9.69</v>
      </c>
      <c r="N203">
        <v>16.12</v>
      </c>
      <c r="O203">
        <v>4.45</v>
      </c>
      <c r="P203">
        <v>3</v>
      </c>
      <c r="Q203">
        <v>9330</v>
      </c>
      <c r="R203">
        <v>8.875</v>
      </c>
      <c r="S203">
        <v>18.62</v>
      </c>
      <c r="T203">
        <v>12.7</v>
      </c>
      <c r="U203">
        <v>13.4</v>
      </c>
      <c r="V203">
        <v>9.59</v>
      </c>
      <c r="W203">
        <v>31.34</v>
      </c>
      <c r="X203">
        <v>43.3</v>
      </c>
      <c r="Y203">
        <v>48.86</v>
      </c>
      <c r="Z203">
        <v>27.31</v>
      </c>
      <c r="AA203">
        <v>2716</v>
      </c>
      <c r="AB203">
        <v>3035</v>
      </c>
      <c r="AC203">
        <v>831.99914999999999</v>
      </c>
    </row>
    <row r="204" spans="1:29" x14ac:dyDescent="0.3">
      <c r="A204" s="9">
        <v>44659</v>
      </c>
      <c r="B204">
        <v>20400</v>
      </c>
      <c r="C204">
        <v>15020</v>
      </c>
      <c r="D204">
        <v>187</v>
      </c>
      <c r="E204">
        <v>9.3000000000000007</v>
      </c>
      <c r="F204">
        <v>24.78</v>
      </c>
      <c r="G204">
        <v>154.5</v>
      </c>
      <c r="H204">
        <v>62.8</v>
      </c>
      <c r="I204">
        <v>70.099999999999994</v>
      </c>
      <c r="J204">
        <v>5220</v>
      </c>
      <c r="K204">
        <v>2170</v>
      </c>
      <c r="L204">
        <v>19.53</v>
      </c>
      <c r="M204">
        <v>8.42</v>
      </c>
      <c r="N204">
        <v>14.28</v>
      </c>
      <c r="O204">
        <v>4.3</v>
      </c>
      <c r="P204">
        <v>2.94</v>
      </c>
      <c r="Q204">
        <v>9690</v>
      </c>
      <c r="R204">
        <v>8.67</v>
      </c>
      <c r="S204">
        <v>19.13</v>
      </c>
      <c r="T204">
        <v>12.46</v>
      </c>
      <c r="U204">
        <v>14.3</v>
      </c>
      <c r="V204">
        <v>10.46</v>
      </c>
      <c r="W204">
        <v>34.86</v>
      </c>
      <c r="X204">
        <v>45.9</v>
      </c>
      <c r="Y204">
        <v>51.69</v>
      </c>
      <c r="Z204">
        <v>29.43</v>
      </c>
      <c r="AA204">
        <v>2947.5</v>
      </c>
      <c r="AB204">
        <v>3250</v>
      </c>
      <c r="AC204">
        <v>872.66579999999999</v>
      </c>
    </row>
    <row r="205" spans="1:29" x14ac:dyDescent="0.3">
      <c r="A205" s="9">
        <v>44652</v>
      </c>
      <c r="B205">
        <v>21650</v>
      </c>
      <c r="C205">
        <v>15495</v>
      </c>
      <c r="D205">
        <v>194.7</v>
      </c>
      <c r="E205">
        <v>7.89</v>
      </c>
      <c r="F205">
        <v>25.67</v>
      </c>
      <c r="G205">
        <v>164</v>
      </c>
      <c r="H205">
        <v>65.3</v>
      </c>
      <c r="I205">
        <v>78.8</v>
      </c>
      <c r="J205">
        <v>5190</v>
      </c>
      <c r="K205">
        <v>2130</v>
      </c>
      <c r="L205">
        <v>21.5</v>
      </c>
      <c r="M205">
        <v>8.82</v>
      </c>
      <c r="N205">
        <v>14.85</v>
      </c>
      <c r="O205">
        <v>3.97</v>
      </c>
      <c r="P205">
        <v>2.94</v>
      </c>
      <c r="Q205">
        <v>9490</v>
      </c>
      <c r="R205">
        <v>8.7850000000000001</v>
      </c>
      <c r="S205">
        <v>19.36</v>
      </c>
      <c r="T205">
        <v>12.35</v>
      </c>
      <c r="U205">
        <v>13.76</v>
      </c>
      <c r="V205">
        <v>10.24</v>
      </c>
      <c r="W205">
        <v>33.29</v>
      </c>
      <c r="X205">
        <v>44.74</v>
      </c>
      <c r="Y205">
        <v>52.57</v>
      </c>
      <c r="Z205">
        <v>27.76</v>
      </c>
      <c r="AA205">
        <v>3041</v>
      </c>
      <c r="AB205">
        <v>3340</v>
      </c>
      <c r="AC205">
        <v>849.33245999999997</v>
      </c>
    </row>
    <row r="206" spans="1:29" x14ac:dyDescent="0.3">
      <c r="A206" s="9">
        <v>44645</v>
      </c>
      <c r="B206">
        <v>21400</v>
      </c>
      <c r="C206">
        <v>15025</v>
      </c>
      <c r="D206">
        <v>194.3</v>
      </c>
      <c r="E206">
        <v>8.11</v>
      </c>
      <c r="F206">
        <v>19.399999999999999</v>
      </c>
      <c r="G206">
        <v>167.5</v>
      </c>
      <c r="H206">
        <v>67.3</v>
      </c>
      <c r="I206">
        <v>86.2</v>
      </c>
      <c r="J206">
        <v>5450</v>
      </c>
      <c r="K206">
        <v>2170</v>
      </c>
      <c r="L206">
        <v>18.760000000000002</v>
      </c>
      <c r="M206">
        <v>8.25</v>
      </c>
      <c r="N206">
        <v>14.69</v>
      </c>
      <c r="O206">
        <v>3.59</v>
      </c>
      <c r="P206">
        <v>2.73</v>
      </c>
      <c r="Q206">
        <v>9670</v>
      </c>
      <c r="R206">
        <v>8.91</v>
      </c>
      <c r="S206">
        <v>20.49</v>
      </c>
      <c r="T206">
        <v>12.4</v>
      </c>
      <c r="U206">
        <v>14.42</v>
      </c>
      <c r="V206">
        <v>10.220000000000001</v>
      </c>
      <c r="W206">
        <v>35.020000000000003</v>
      </c>
      <c r="X206">
        <v>43.56</v>
      </c>
      <c r="Y206">
        <v>53.9</v>
      </c>
      <c r="Z206">
        <v>29.34</v>
      </c>
      <c r="AA206">
        <v>3041</v>
      </c>
      <c r="AB206">
        <v>3265</v>
      </c>
      <c r="AC206">
        <v>840.33245999999997</v>
      </c>
    </row>
    <row r="207" spans="1:29" x14ac:dyDescent="0.3">
      <c r="A207" s="9">
        <v>44638</v>
      </c>
      <c r="B207">
        <v>22050</v>
      </c>
      <c r="C207">
        <v>14920</v>
      </c>
      <c r="D207">
        <v>190.3</v>
      </c>
      <c r="E207">
        <v>8.31</v>
      </c>
      <c r="F207">
        <v>18.57</v>
      </c>
      <c r="G207">
        <v>163</v>
      </c>
      <c r="H207">
        <v>65.5</v>
      </c>
      <c r="I207">
        <v>80.099999999999994</v>
      </c>
      <c r="J207">
        <v>5950</v>
      </c>
      <c r="K207">
        <v>2190</v>
      </c>
      <c r="L207">
        <v>19.510000000000002</v>
      </c>
      <c r="M207">
        <v>8.44</v>
      </c>
      <c r="N207">
        <v>14.7</v>
      </c>
      <c r="O207">
        <v>3.54</v>
      </c>
      <c r="P207">
        <v>2.73</v>
      </c>
      <c r="Q207">
        <v>9480</v>
      </c>
      <c r="R207">
        <v>8.15</v>
      </c>
      <c r="S207">
        <v>18.489999999999998</v>
      </c>
      <c r="T207">
        <v>11.67</v>
      </c>
      <c r="U207">
        <v>12.83</v>
      </c>
      <c r="V207">
        <v>9.18</v>
      </c>
      <c r="W207">
        <v>30.54</v>
      </c>
      <c r="X207">
        <v>38.36</v>
      </c>
      <c r="Y207">
        <v>52.08</v>
      </c>
      <c r="Z207">
        <v>27.88</v>
      </c>
      <c r="AA207">
        <v>3214</v>
      </c>
      <c r="AB207">
        <v>3420</v>
      </c>
      <c r="AC207">
        <v>899.9991</v>
      </c>
    </row>
    <row r="208" spans="1:29" x14ac:dyDescent="0.3">
      <c r="A208" s="9">
        <v>44631</v>
      </c>
      <c r="B208">
        <v>21800</v>
      </c>
      <c r="C208">
        <v>14760</v>
      </c>
      <c r="D208">
        <v>185.1</v>
      </c>
      <c r="E208">
        <v>8.35</v>
      </c>
      <c r="F208">
        <v>17.55</v>
      </c>
      <c r="G208">
        <v>159</v>
      </c>
      <c r="H208">
        <v>63.6</v>
      </c>
      <c r="I208">
        <v>77.8</v>
      </c>
      <c r="J208">
        <v>5880</v>
      </c>
      <c r="K208">
        <v>2130</v>
      </c>
      <c r="L208">
        <v>19.54</v>
      </c>
      <c r="M208">
        <v>8.81</v>
      </c>
      <c r="N208">
        <v>14.64</v>
      </c>
      <c r="O208">
        <v>3.78</v>
      </c>
      <c r="P208">
        <v>2.8</v>
      </c>
      <c r="Q208">
        <v>9400</v>
      </c>
      <c r="R208">
        <v>8.59</v>
      </c>
      <c r="S208">
        <v>19.170000000000002</v>
      </c>
      <c r="T208">
        <v>11.95</v>
      </c>
      <c r="U208">
        <v>13.53</v>
      </c>
      <c r="V208">
        <v>9.43</v>
      </c>
      <c r="W208">
        <v>32.950000000000003</v>
      </c>
      <c r="X208">
        <v>38.67</v>
      </c>
      <c r="Y208">
        <v>55.91</v>
      </c>
      <c r="Z208">
        <v>30.72</v>
      </c>
      <c r="AA208">
        <v>3169</v>
      </c>
      <c r="AB208">
        <v>3365</v>
      </c>
      <c r="AC208">
        <v>958.66565000000003</v>
      </c>
    </row>
    <row r="209" spans="1:29" x14ac:dyDescent="0.3">
      <c r="A209" s="9">
        <v>44624</v>
      </c>
      <c r="B209">
        <v>21700</v>
      </c>
      <c r="C209">
        <v>15895</v>
      </c>
      <c r="D209">
        <v>192.8</v>
      </c>
      <c r="E209">
        <v>8.15</v>
      </c>
      <c r="F209">
        <v>17.510000000000002</v>
      </c>
      <c r="G209">
        <v>152.5</v>
      </c>
      <c r="H209">
        <v>61.9</v>
      </c>
      <c r="I209">
        <v>74.5</v>
      </c>
      <c r="J209">
        <v>6030</v>
      </c>
      <c r="K209">
        <v>2170</v>
      </c>
      <c r="L209">
        <v>20.36</v>
      </c>
      <c r="M209">
        <v>9.2200000000000006</v>
      </c>
      <c r="N209">
        <v>15.55</v>
      </c>
      <c r="O209">
        <v>3.99</v>
      </c>
      <c r="P209">
        <v>2.95</v>
      </c>
      <c r="Q209">
        <v>9470</v>
      </c>
      <c r="R209">
        <v>8.3000000000000007</v>
      </c>
      <c r="S209">
        <v>19.52</v>
      </c>
      <c r="T209">
        <v>11.93</v>
      </c>
      <c r="U209">
        <v>12.49</v>
      </c>
      <c r="V209">
        <v>9.01</v>
      </c>
      <c r="W209">
        <v>31.53</v>
      </c>
      <c r="X209">
        <v>37.92</v>
      </c>
      <c r="Y209">
        <v>54.72</v>
      </c>
      <c r="Z209">
        <v>30.67</v>
      </c>
      <c r="AA209">
        <v>3110</v>
      </c>
      <c r="AB209">
        <v>3290</v>
      </c>
      <c r="AC209">
        <v>928.99900000000002</v>
      </c>
    </row>
    <row r="210" spans="1:29" x14ac:dyDescent="0.3">
      <c r="A210" s="9">
        <v>44617</v>
      </c>
      <c r="B210">
        <v>19550</v>
      </c>
      <c r="C210">
        <v>15620</v>
      </c>
      <c r="D210">
        <v>177.6</v>
      </c>
      <c r="E210">
        <v>7.96</v>
      </c>
      <c r="F210">
        <v>17.190000000000001</v>
      </c>
      <c r="G210">
        <v>152.5</v>
      </c>
      <c r="H210">
        <v>62</v>
      </c>
      <c r="I210">
        <v>73.599999999999994</v>
      </c>
      <c r="J210">
        <v>5730</v>
      </c>
      <c r="K210">
        <v>2175</v>
      </c>
      <c r="L210">
        <v>19.23</v>
      </c>
      <c r="M210">
        <v>8.69</v>
      </c>
      <c r="N210">
        <v>15.36</v>
      </c>
      <c r="O210">
        <v>3.9</v>
      </c>
      <c r="P210">
        <v>2.91</v>
      </c>
      <c r="Q210">
        <v>9250</v>
      </c>
      <c r="R210">
        <v>7.7350000000000003</v>
      </c>
      <c r="S210">
        <v>18.95</v>
      </c>
      <c r="T210">
        <v>11.96</v>
      </c>
      <c r="U210">
        <v>12.14</v>
      </c>
      <c r="V210">
        <v>8.8800000000000008</v>
      </c>
      <c r="W210">
        <v>30.81</v>
      </c>
      <c r="X210">
        <v>37.020000000000003</v>
      </c>
      <c r="Y210">
        <v>53.77</v>
      </c>
      <c r="Z210">
        <v>29.17</v>
      </c>
      <c r="AA210">
        <v>2969.5</v>
      </c>
      <c r="AB210">
        <v>3165</v>
      </c>
      <c r="AC210">
        <v>893.9991</v>
      </c>
    </row>
    <row r="211" spans="1:29" x14ac:dyDescent="0.3">
      <c r="A211" s="9">
        <v>44610</v>
      </c>
      <c r="B211">
        <v>19900</v>
      </c>
      <c r="C211">
        <v>15655</v>
      </c>
      <c r="D211">
        <v>176.3</v>
      </c>
      <c r="E211">
        <v>7.81</v>
      </c>
      <c r="F211">
        <v>17.13</v>
      </c>
      <c r="G211">
        <v>157</v>
      </c>
      <c r="H211">
        <v>63.6</v>
      </c>
      <c r="I211">
        <v>79.5</v>
      </c>
      <c r="J211">
        <v>5440</v>
      </c>
      <c r="K211">
        <v>2060</v>
      </c>
      <c r="L211">
        <v>19.600000000000001</v>
      </c>
      <c r="M211">
        <v>8.3800000000000008</v>
      </c>
      <c r="N211">
        <v>15.47</v>
      </c>
      <c r="O211">
        <v>3.8</v>
      </c>
      <c r="P211">
        <v>2.97</v>
      </c>
      <c r="Q211">
        <v>9060</v>
      </c>
      <c r="R211">
        <v>6.98</v>
      </c>
      <c r="S211">
        <v>16.36</v>
      </c>
      <c r="T211">
        <v>11.48</v>
      </c>
      <c r="U211">
        <v>11.13</v>
      </c>
      <c r="V211">
        <v>8.49</v>
      </c>
      <c r="W211">
        <v>27.23</v>
      </c>
      <c r="X211">
        <v>34.5</v>
      </c>
      <c r="Y211">
        <v>49.46</v>
      </c>
      <c r="Z211">
        <v>26.23</v>
      </c>
      <c r="AA211">
        <v>3056</v>
      </c>
      <c r="AB211">
        <v>3230</v>
      </c>
      <c r="AC211">
        <v>911.33240000000001</v>
      </c>
    </row>
    <row r="212" spans="1:29" x14ac:dyDescent="0.3">
      <c r="A212" s="9">
        <v>44603</v>
      </c>
      <c r="B212">
        <v>21350</v>
      </c>
      <c r="C212">
        <v>14655</v>
      </c>
      <c r="D212">
        <v>192.1</v>
      </c>
      <c r="E212">
        <v>7.95</v>
      </c>
      <c r="F212">
        <v>17.010000000000002</v>
      </c>
      <c r="G212">
        <v>147</v>
      </c>
      <c r="H212">
        <v>60.6</v>
      </c>
      <c r="I212">
        <v>75.5</v>
      </c>
      <c r="J212">
        <v>5900</v>
      </c>
      <c r="K212">
        <v>2180</v>
      </c>
      <c r="L212">
        <v>20.8</v>
      </c>
      <c r="M212">
        <v>9.06</v>
      </c>
      <c r="N212">
        <v>16.13</v>
      </c>
      <c r="O212">
        <v>3.65</v>
      </c>
      <c r="P212">
        <v>3.02</v>
      </c>
      <c r="Q212">
        <v>9220</v>
      </c>
      <c r="R212">
        <v>7.2549999999999999</v>
      </c>
      <c r="S212">
        <v>17.829999999999998</v>
      </c>
      <c r="T212">
        <v>12.09</v>
      </c>
      <c r="U212">
        <v>14.12</v>
      </c>
      <c r="V212">
        <v>8.7200000000000006</v>
      </c>
      <c r="W212">
        <v>29.03</v>
      </c>
      <c r="X212">
        <v>37.97</v>
      </c>
      <c r="Y212">
        <v>51.23</v>
      </c>
      <c r="Z212">
        <v>27.18</v>
      </c>
      <c r="AA212">
        <v>3180</v>
      </c>
      <c r="AB212">
        <v>3345</v>
      </c>
      <c r="AC212">
        <v>928.99900000000002</v>
      </c>
    </row>
    <row r="213" spans="1:29" x14ac:dyDescent="0.3">
      <c r="A213" s="9">
        <v>44596</v>
      </c>
      <c r="B213">
        <v>21350</v>
      </c>
      <c r="C213">
        <v>14865</v>
      </c>
      <c r="D213">
        <v>210.2</v>
      </c>
      <c r="E213">
        <v>8.1</v>
      </c>
      <c r="F213">
        <v>18.399999999999999</v>
      </c>
      <c r="G213">
        <v>146</v>
      </c>
      <c r="H213">
        <v>59.8</v>
      </c>
      <c r="I213">
        <v>73.3</v>
      </c>
      <c r="J213">
        <v>5950</v>
      </c>
      <c r="K213">
        <v>2170</v>
      </c>
      <c r="L213">
        <v>22.45</v>
      </c>
      <c r="M213">
        <v>9.43</v>
      </c>
      <c r="N213">
        <v>17.48</v>
      </c>
      <c r="O213">
        <v>3.86</v>
      </c>
      <c r="P213">
        <v>3.19</v>
      </c>
      <c r="Q213">
        <v>9500</v>
      </c>
      <c r="R213">
        <v>7.48</v>
      </c>
      <c r="S213">
        <v>18.440000000000001</v>
      </c>
      <c r="T213">
        <v>12.31</v>
      </c>
      <c r="U213">
        <v>14.06</v>
      </c>
      <c r="V213">
        <v>8.5500000000000007</v>
      </c>
      <c r="W213">
        <v>29.97</v>
      </c>
      <c r="X213">
        <v>39</v>
      </c>
      <c r="Y213">
        <v>49.05</v>
      </c>
      <c r="Z213">
        <v>27.62</v>
      </c>
      <c r="AA213">
        <v>3040</v>
      </c>
      <c r="AB213">
        <v>3165</v>
      </c>
      <c r="AC213">
        <v>889.9991</v>
      </c>
    </row>
    <row r="214" spans="1:29" x14ac:dyDescent="0.3">
      <c r="A214" s="9">
        <v>44589</v>
      </c>
      <c r="B214">
        <v>23300</v>
      </c>
      <c r="C214">
        <v>14440</v>
      </c>
      <c r="D214">
        <v>199.7</v>
      </c>
      <c r="E214">
        <v>7.93</v>
      </c>
      <c r="F214">
        <v>18.61</v>
      </c>
      <c r="G214">
        <v>157</v>
      </c>
      <c r="H214">
        <v>64.599999999999994</v>
      </c>
      <c r="I214">
        <v>79.599999999999994</v>
      </c>
      <c r="J214">
        <v>6120</v>
      </c>
      <c r="K214">
        <v>2280</v>
      </c>
      <c r="L214">
        <v>23.39</v>
      </c>
      <c r="M214">
        <v>9.33</v>
      </c>
      <c r="N214">
        <v>17.899999999999999</v>
      </c>
      <c r="O214">
        <v>3.8</v>
      </c>
      <c r="P214">
        <v>3.23</v>
      </c>
      <c r="Q214">
        <v>9400</v>
      </c>
      <c r="R214">
        <v>7.74</v>
      </c>
      <c r="S214">
        <v>18.64</v>
      </c>
      <c r="T214">
        <v>12.97</v>
      </c>
      <c r="U214">
        <v>13.94</v>
      </c>
      <c r="V214">
        <v>8.4499999999999993</v>
      </c>
      <c r="W214">
        <v>29.71</v>
      </c>
      <c r="X214">
        <v>37.86</v>
      </c>
      <c r="Y214">
        <v>47.48</v>
      </c>
      <c r="Z214">
        <v>24.38</v>
      </c>
      <c r="AA214">
        <v>3104</v>
      </c>
      <c r="AB214">
        <v>3295</v>
      </c>
      <c r="AC214">
        <v>969.66565000000003</v>
      </c>
    </row>
    <row r="215" spans="1:29" x14ac:dyDescent="0.3">
      <c r="A215" s="9">
        <v>44582</v>
      </c>
      <c r="B215">
        <v>22600</v>
      </c>
      <c r="C215">
        <v>15960</v>
      </c>
      <c r="D215">
        <v>217.8</v>
      </c>
      <c r="E215">
        <v>8.48</v>
      </c>
      <c r="F215">
        <v>22.85</v>
      </c>
      <c r="G215">
        <v>163</v>
      </c>
      <c r="H215">
        <v>67.099999999999994</v>
      </c>
      <c r="I215">
        <v>81.099999999999994</v>
      </c>
      <c r="J215">
        <v>6130</v>
      </c>
      <c r="K215">
        <v>2305</v>
      </c>
      <c r="L215">
        <v>22.18</v>
      </c>
      <c r="M215">
        <v>9.2799999999999994</v>
      </c>
      <c r="N215">
        <v>17.579999999999998</v>
      </c>
      <c r="O215">
        <v>4.17</v>
      </c>
      <c r="P215">
        <v>3.32</v>
      </c>
      <c r="Q215">
        <v>9220</v>
      </c>
      <c r="R215">
        <v>8.1</v>
      </c>
      <c r="S215">
        <v>22.26</v>
      </c>
      <c r="T215">
        <v>13.01</v>
      </c>
      <c r="U215">
        <v>14.58</v>
      </c>
      <c r="V215">
        <v>8.4700000000000006</v>
      </c>
      <c r="W215">
        <v>32.380000000000003</v>
      </c>
      <c r="X215">
        <v>40.200000000000003</v>
      </c>
      <c r="Y215">
        <v>50.15</v>
      </c>
      <c r="Z215">
        <v>27.42</v>
      </c>
      <c r="AA215">
        <v>3201</v>
      </c>
      <c r="AB215">
        <v>3300</v>
      </c>
      <c r="AC215">
        <v>1051.6655000000001</v>
      </c>
    </row>
    <row r="216" spans="1:29" x14ac:dyDescent="0.3">
      <c r="A216" s="9">
        <v>44575</v>
      </c>
      <c r="B216">
        <v>21950</v>
      </c>
      <c r="C216">
        <v>15300</v>
      </c>
      <c r="D216">
        <v>265.39999999999998</v>
      </c>
      <c r="E216">
        <v>8.58</v>
      </c>
      <c r="F216">
        <v>22.46</v>
      </c>
      <c r="G216">
        <v>165</v>
      </c>
      <c r="H216">
        <v>68.7</v>
      </c>
      <c r="I216">
        <v>79.099999999999994</v>
      </c>
      <c r="J216">
        <v>5940</v>
      </c>
      <c r="K216">
        <v>2290</v>
      </c>
      <c r="L216">
        <v>22.91</v>
      </c>
      <c r="M216">
        <v>9.73</v>
      </c>
      <c r="N216">
        <v>18.309999999999999</v>
      </c>
      <c r="O216">
        <v>4.07</v>
      </c>
      <c r="P216">
        <v>3.27</v>
      </c>
      <c r="Q216">
        <v>9210</v>
      </c>
      <c r="R216">
        <v>8.01</v>
      </c>
      <c r="S216">
        <v>22.51</v>
      </c>
      <c r="T216">
        <v>13.35</v>
      </c>
      <c r="U216">
        <v>16.2</v>
      </c>
      <c r="V216">
        <v>10.38</v>
      </c>
      <c r="W216">
        <v>35.9</v>
      </c>
      <c r="X216">
        <v>43.34</v>
      </c>
      <c r="Y216">
        <v>57.59</v>
      </c>
      <c r="Z216">
        <v>29.82</v>
      </c>
      <c r="AA216">
        <v>3355</v>
      </c>
      <c r="AB216">
        <v>3435</v>
      </c>
      <c r="AC216">
        <v>1111.6655000000001</v>
      </c>
    </row>
    <row r="217" spans="1:29" x14ac:dyDescent="0.3">
      <c r="A217" s="9">
        <v>44568</v>
      </c>
      <c r="B217">
        <v>22150</v>
      </c>
      <c r="C217">
        <v>15590</v>
      </c>
      <c r="D217">
        <v>269</v>
      </c>
      <c r="E217">
        <v>8.31</v>
      </c>
      <c r="F217">
        <v>22.16</v>
      </c>
      <c r="G217">
        <v>162</v>
      </c>
      <c r="H217">
        <v>65.400000000000006</v>
      </c>
      <c r="I217">
        <v>69</v>
      </c>
      <c r="J217">
        <v>6070</v>
      </c>
      <c r="K217">
        <v>2230</v>
      </c>
      <c r="L217">
        <v>21.62</v>
      </c>
      <c r="M217">
        <v>9.3699999999999992</v>
      </c>
      <c r="N217">
        <v>18.059999999999999</v>
      </c>
      <c r="O217">
        <v>4.21</v>
      </c>
      <c r="P217">
        <v>3.25</v>
      </c>
      <c r="Q217">
        <v>9190</v>
      </c>
      <c r="R217">
        <v>8.4</v>
      </c>
      <c r="S217">
        <v>21.69</v>
      </c>
      <c r="T217">
        <v>13.34</v>
      </c>
      <c r="U217">
        <v>17.170000000000002</v>
      </c>
      <c r="V217">
        <v>10.96</v>
      </c>
      <c r="W217">
        <v>37.6</v>
      </c>
      <c r="X217">
        <v>44.71</v>
      </c>
      <c r="Y217">
        <v>62.16</v>
      </c>
      <c r="Z217">
        <v>32.06</v>
      </c>
      <c r="AA217">
        <v>3595</v>
      </c>
      <c r="AB217">
        <v>3620</v>
      </c>
      <c r="AC217">
        <v>1136.6655000000001</v>
      </c>
    </row>
    <row r="218" spans="1:29" x14ac:dyDescent="0.3">
      <c r="A218" s="9">
        <v>44561</v>
      </c>
      <c r="B218">
        <v>23050</v>
      </c>
      <c r="C218">
        <v>15960</v>
      </c>
      <c r="D218">
        <v>266.2</v>
      </c>
      <c r="E218">
        <v>8.31</v>
      </c>
      <c r="F218">
        <v>23.98</v>
      </c>
      <c r="G218">
        <v>160.5</v>
      </c>
      <c r="H218">
        <v>64.2</v>
      </c>
      <c r="I218">
        <v>70.5</v>
      </c>
      <c r="J218">
        <v>6620</v>
      </c>
      <c r="K218">
        <v>2445</v>
      </c>
      <c r="L218">
        <v>24.58</v>
      </c>
      <c r="M218">
        <v>10.34</v>
      </c>
      <c r="N218">
        <v>19.13</v>
      </c>
      <c r="O218">
        <v>4.67</v>
      </c>
      <c r="P218">
        <v>3.64</v>
      </c>
      <c r="Q218">
        <v>9060</v>
      </c>
      <c r="R218">
        <v>8.6950000000000003</v>
      </c>
      <c r="S218">
        <v>21.89</v>
      </c>
      <c r="T218">
        <v>13.69</v>
      </c>
      <c r="U218">
        <v>18.04</v>
      </c>
      <c r="V218">
        <v>11.46</v>
      </c>
      <c r="W218">
        <v>43.32</v>
      </c>
      <c r="X218">
        <v>47.09</v>
      </c>
      <c r="Y218">
        <v>61.26</v>
      </c>
      <c r="Z218">
        <v>34.69</v>
      </c>
      <c r="AA218">
        <v>3506</v>
      </c>
      <c r="AB218">
        <v>3555</v>
      </c>
      <c r="AC218">
        <v>1093.3322000000001</v>
      </c>
    </row>
    <row r="219" spans="1:29" x14ac:dyDescent="0.3">
      <c r="A219" s="9">
        <v>44554</v>
      </c>
      <c r="B219">
        <v>22450</v>
      </c>
      <c r="C219">
        <v>16965</v>
      </c>
      <c r="D219">
        <v>290</v>
      </c>
      <c r="E219">
        <v>8.92</v>
      </c>
      <c r="F219">
        <v>22.41</v>
      </c>
      <c r="G219">
        <v>158.5</v>
      </c>
      <c r="H219">
        <v>64.3</v>
      </c>
      <c r="I219">
        <v>68.5</v>
      </c>
      <c r="J219">
        <v>6580</v>
      </c>
      <c r="K219">
        <v>2450</v>
      </c>
      <c r="L219">
        <v>23.73</v>
      </c>
      <c r="M219">
        <v>10.47</v>
      </c>
      <c r="N219">
        <v>19.579999999999998</v>
      </c>
      <c r="O219">
        <v>4.7</v>
      </c>
      <c r="P219">
        <v>3.77</v>
      </c>
      <c r="Q219">
        <v>9190</v>
      </c>
      <c r="R219">
        <v>8.91</v>
      </c>
      <c r="S219">
        <v>22.49</v>
      </c>
      <c r="T219">
        <v>14.04</v>
      </c>
      <c r="U219">
        <v>18.98</v>
      </c>
      <c r="V219">
        <v>12.05</v>
      </c>
      <c r="W219">
        <v>47.55</v>
      </c>
      <c r="X219">
        <v>52.88</v>
      </c>
      <c r="Y219">
        <v>59.1</v>
      </c>
      <c r="Z219">
        <v>36.35</v>
      </c>
      <c r="AA219">
        <v>3395</v>
      </c>
      <c r="AB219">
        <v>3520</v>
      </c>
      <c r="AC219">
        <v>1116.6655000000001</v>
      </c>
    </row>
    <row r="220" spans="1:29" x14ac:dyDescent="0.3">
      <c r="A220" s="9">
        <v>44547</v>
      </c>
      <c r="B220">
        <v>20650</v>
      </c>
      <c r="C220">
        <v>15855</v>
      </c>
      <c r="D220">
        <v>303</v>
      </c>
      <c r="E220">
        <v>8.5399999999999991</v>
      </c>
      <c r="F220">
        <v>19.57</v>
      </c>
      <c r="G220">
        <v>163.5</v>
      </c>
      <c r="H220">
        <v>65.599999999999994</v>
      </c>
      <c r="I220">
        <v>69.400000000000006</v>
      </c>
      <c r="J220">
        <v>6000</v>
      </c>
      <c r="K220">
        <v>2270</v>
      </c>
      <c r="L220">
        <v>21.68</v>
      </c>
      <c r="M220">
        <v>9.6300000000000008</v>
      </c>
      <c r="N220">
        <v>16.96</v>
      </c>
      <c r="O220">
        <v>4.08</v>
      </c>
      <c r="P220">
        <v>3.58</v>
      </c>
      <c r="Q220">
        <v>8740</v>
      </c>
      <c r="R220">
        <v>8.5389999999999997</v>
      </c>
      <c r="S220">
        <v>21.24</v>
      </c>
      <c r="T220">
        <v>12.81</v>
      </c>
      <c r="U220">
        <v>17.93</v>
      </c>
      <c r="V220">
        <v>11.52</v>
      </c>
      <c r="W220">
        <v>44.64</v>
      </c>
      <c r="X220">
        <v>47.46</v>
      </c>
      <c r="Y220">
        <v>59.27</v>
      </c>
      <c r="Z220">
        <v>32.49</v>
      </c>
      <c r="AA220">
        <v>3314</v>
      </c>
      <c r="AB220">
        <v>3530</v>
      </c>
      <c r="AC220">
        <v>1084.9989</v>
      </c>
    </row>
    <row r="221" spans="1:29" x14ac:dyDescent="0.3">
      <c r="A221" s="9">
        <v>44540</v>
      </c>
      <c r="B221">
        <v>20400</v>
      </c>
      <c r="C221">
        <v>16035</v>
      </c>
      <c r="D221">
        <v>302</v>
      </c>
      <c r="E221">
        <v>8.92</v>
      </c>
      <c r="F221">
        <v>23.98</v>
      </c>
      <c r="G221">
        <v>170</v>
      </c>
      <c r="H221">
        <v>66.8</v>
      </c>
      <c r="I221">
        <v>69.900000000000006</v>
      </c>
      <c r="J221">
        <v>5710</v>
      </c>
      <c r="K221">
        <v>2205</v>
      </c>
      <c r="L221">
        <v>20.46</v>
      </c>
      <c r="M221">
        <v>9.24</v>
      </c>
      <c r="N221">
        <v>15.09</v>
      </c>
      <c r="O221">
        <v>3.71</v>
      </c>
      <c r="P221">
        <v>3.33</v>
      </c>
      <c r="Q221">
        <v>8380</v>
      </c>
      <c r="R221">
        <v>7.86</v>
      </c>
      <c r="S221">
        <v>19.52</v>
      </c>
      <c r="T221">
        <v>12.06</v>
      </c>
      <c r="U221">
        <v>15.9</v>
      </c>
      <c r="V221">
        <v>10.32</v>
      </c>
      <c r="W221">
        <v>40.94</v>
      </c>
      <c r="X221">
        <v>40.72</v>
      </c>
      <c r="Y221">
        <v>54</v>
      </c>
      <c r="Z221">
        <v>33.880000000000003</v>
      </c>
      <c r="AA221">
        <v>3305</v>
      </c>
      <c r="AB221">
        <v>3505</v>
      </c>
      <c r="AC221">
        <v>1086.6655000000001</v>
      </c>
    </row>
    <row r="222" spans="1:29" x14ac:dyDescent="0.3">
      <c r="A222" s="9">
        <v>44533</v>
      </c>
      <c r="B222">
        <v>20200</v>
      </c>
      <c r="C222">
        <v>15785</v>
      </c>
      <c r="D222">
        <v>292</v>
      </c>
      <c r="E222">
        <v>9.1999999999999993</v>
      </c>
      <c r="F222">
        <v>23.16</v>
      </c>
      <c r="G222">
        <v>166</v>
      </c>
      <c r="H222">
        <v>64.900000000000006</v>
      </c>
      <c r="I222">
        <v>65</v>
      </c>
      <c r="J222">
        <v>5540</v>
      </c>
      <c r="K222">
        <v>2225</v>
      </c>
      <c r="L222">
        <v>21.31</v>
      </c>
      <c r="M222">
        <v>9.5</v>
      </c>
      <c r="N222">
        <v>15.63</v>
      </c>
      <c r="O222">
        <v>4.03</v>
      </c>
      <c r="P222">
        <v>3.64</v>
      </c>
      <c r="Q222">
        <v>7880</v>
      </c>
      <c r="R222">
        <v>7.6</v>
      </c>
      <c r="S222">
        <v>20.66</v>
      </c>
      <c r="T222">
        <v>13.34</v>
      </c>
      <c r="U222">
        <v>16.309999999999999</v>
      </c>
      <c r="V222">
        <v>10.71</v>
      </c>
      <c r="W222">
        <v>43.4</v>
      </c>
      <c r="X222">
        <v>42.16</v>
      </c>
      <c r="Y222">
        <v>54.53</v>
      </c>
      <c r="Z222">
        <v>33.04</v>
      </c>
      <c r="AA222">
        <v>3089</v>
      </c>
      <c r="AB222">
        <v>3310</v>
      </c>
      <c r="AC222">
        <v>1008.3323</v>
      </c>
    </row>
    <row r="223" spans="1:29" x14ac:dyDescent="0.3">
      <c r="A223" s="9">
        <v>44526</v>
      </c>
      <c r="B223">
        <v>20350</v>
      </c>
      <c r="C223">
        <v>12445</v>
      </c>
      <c r="D223">
        <v>302</v>
      </c>
      <c r="E223">
        <v>8.83</v>
      </c>
      <c r="F223">
        <v>23.58</v>
      </c>
      <c r="G223">
        <v>161.5</v>
      </c>
      <c r="H223">
        <v>63.1</v>
      </c>
      <c r="I223">
        <v>65</v>
      </c>
      <c r="J223">
        <v>5810</v>
      </c>
      <c r="K223">
        <v>2180</v>
      </c>
      <c r="L223">
        <v>21.12</v>
      </c>
      <c r="M223">
        <v>9.52</v>
      </c>
      <c r="N223">
        <v>15.66</v>
      </c>
      <c r="O223">
        <v>3.9</v>
      </c>
      <c r="P223">
        <v>3.69</v>
      </c>
      <c r="Q223">
        <v>8060</v>
      </c>
      <c r="R223">
        <v>7.56</v>
      </c>
      <c r="S223">
        <v>19.940000000000001</v>
      </c>
      <c r="T223">
        <v>14</v>
      </c>
      <c r="U223">
        <v>16.559999999999999</v>
      </c>
      <c r="V223">
        <v>10.81</v>
      </c>
      <c r="W223">
        <v>42.93</v>
      </c>
      <c r="X223">
        <v>41.68</v>
      </c>
      <c r="Y223">
        <v>56.31</v>
      </c>
      <c r="Z223">
        <v>31.13</v>
      </c>
      <c r="AA223">
        <v>3166</v>
      </c>
      <c r="AB223">
        <v>3365</v>
      </c>
      <c r="AC223">
        <v>1033.3323</v>
      </c>
    </row>
    <row r="224" spans="1:29" x14ac:dyDescent="0.3">
      <c r="A224" s="9">
        <v>44519</v>
      </c>
      <c r="B224">
        <v>19710</v>
      </c>
      <c r="C224">
        <v>11470</v>
      </c>
      <c r="D224">
        <v>289.60000000000002</v>
      </c>
      <c r="E224">
        <v>8.61</v>
      </c>
      <c r="F224">
        <v>17.39</v>
      </c>
      <c r="G224">
        <v>151.5</v>
      </c>
      <c r="H224">
        <v>61.2</v>
      </c>
      <c r="I224">
        <v>59.5</v>
      </c>
      <c r="J224">
        <v>5530</v>
      </c>
      <c r="K224">
        <v>2090</v>
      </c>
      <c r="L224">
        <v>20.66</v>
      </c>
      <c r="M224">
        <v>8.83</v>
      </c>
      <c r="N224">
        <v>14.77</v>
      </c>
      <c r="O224">
        <v>3.81</v>
      </c>
      <c r="P224">
        <v>3.6</v>
      </c>
      <c r="Q224">
        <v>8010</v>
      </c>
      <c r="R224">
        <v>7.5250000000000004</v>
      </c>
      <c r="S224">
        <v>19.649999999999999</v>
      </c>
      <c r="T224">
        <v>13.54</v>
      </c>
      <c r="U224">
        <v>14.91</v>
      </c>
      <c r="V224">
        <v>9.43</v>
      </c>
      <c r="W224">
        <v>38.78</v>
      </c>
      <c r="X224">
        <v>37.950000000000003</v>
      </c>
      <c r="Y224">
        <v>54.99</v>
      </c>
      <c r="Z224">
        <v>28.86</v>
      </c>
      <c r="AA224">
        <v>3378</v>
      </c>
      <c r="AB224">
        <v>3500</v>
      </c>
      <c r="AC224">
        <v>1098.3322000000001</v>
      </c>
    </row>
    <row r="225" spans="1:29" x14ac:dyDescent="0.3">
      <c r="A225" s="9">
        <v>44512</v>
      </c>
      <c r="B225">
        <v>20600</v>
      </c>
      <c r="C225">
        <v>13375</v>
      </c>
      <c r="D225">
        <v>326</v>
      </c>
      <c r="E225">
        <v>9.3800000000000008</v>
      </c>
      <c r="F225">
        <v>21.65</v>
      </c>
      <c r="G225">
        <v>152.5</v>
      </c>
      <c r="H225">
        <v>60.2</v>
      </c>
      <c r="I225">
        <v>59.2</v>
      </c>
      <c r="J225">
        <v>6010</v>
      </c>
      <c r="K225">
        <v>2160</v>
      </c>
      <c r="L225">
        <v>22.18</v>
      </c>
      <c r="M225">
        <v>9.4700000000000006</v>
      </c>
      <c r="N225">
        <v>16.3</v>
      </c>
      <c r="O225">
        <v>4.17</v>
      </c>
      <c r="P225">
        <v>3.84</v>
      </c>
      <c r="Q225">
        <v>8000</v>
      </c>
      <c r="R225">
        <v>8.1300000000000008</v>
      </c>
      <c r="S225">
        <v>21.66</v>
      </c>
      <c r="T225">
        <v>14</v>
      </c>
      <c r="U225">
        <v>16.02</v>
      </c>
      <c r="V225">
        <v>10.07</v>
      </c>
      <c r="W225">
        <v>40.39</v>
      </c>
      <c r="X225">
        <v>40.21</v>
      </c>
      <c r="Y225">
        <v>56.77</v>
      </c>
      <c r="Z225">
        <v>33.14</v>
      </c>
      <c r="AA225">
        <v>3389</v>
      </c>
      <c r="AB225">
        <v>3495</v>
      </c>
      <c r="AC225">
        <v>1146.6655000000001</v>
      </c>
    </row>
    <row r="226" spans="1:29" x14ac:dyDescent="0.3">
      <c r="A226" s="9">
        <v>44505</v>
      </c>
      <c r="B226">
        <v>21700</v>
      </c>
      <c r="C226">
        <v>12815</v>
      </c>
      <c r="D226">
        <v>310</v>
      </c>
      <c r="E226">
        <v>9.5500000000000007</v>
      </c>
      <c r="F226">
        <v>19.25</v>
      </c>
      <c r="G226">
        <v>150.5</v>
      </c>
      <c r="H226">
        <v>61.3</v>
      </c>
      <c r="I226">
        <v>60.3</v>
      </c>
      <c r="J226">
        <v>5980</v>
      </c>
      <c r="K226">
        <v>2110</v>
      </c>
      <c r="L226">
        <v>20.72</v>
      </c>
      <c r="M226">
        <v>9.17</v>
      </c>
      <c r="N226">
        <v>15.59</v>
      </c>
      <c r="O226">
        <v>4.03</v>
      </c>
      <c r="P226">
        <v>3.66</v>
      </c>
      <c r="Q226">
        <v>8630</v>
      </c>
      <c r="R226">
        <v>7.9550000000000001</v>
      </c>
      <c r="S226">
        <v>21.88</v>
      </c>
      <c r="T226">
        <v>13.96</v>
      </c>
      <c r="U226">
        <v>15.41</v>
      </c>
      <c r="V226">
        <v>9.65</v>
      </c>
      <c r="W226">
        <v>39.450000000000003</v>
      </c>
      <c r="X226">
        <v>40.03</v>
      </c>
      <c r="Y226">
        <v>56.07</v>
      </c>
      <c r="Z226">
        <v>32.549999999999997</v>
      </c>
      <c r="AA226">
        <v>3203</v>
      </c>
      <c r="AB226">
        <v>3360</v>
      </c>
      <c r="AC226">
        <v>1074.9989</v>
      </c>
    </row>
    <row r="227" spans="1:29" x14ac:dyDescent="0.3">
      <c r="A227" s="9">
        <v>44498</v>
      </c>
      <c r="B227">
        <v>20400</v>
      </c>
      <c r="C227">
        <v>12195</v>
      </c>
      <c r="D227">
        <v>281.2</v>
      </c>
      <c r="E227">
        <v>9.08</v>
      </c>
      <c r="F227">
        <v>17.07</v>
      </c>
      <c r="G227">
        <v>152.5</v>
      </c>
      <c r="H227">
        <v>61.3</v>
      </c>
      <c r="I227">
        <v>58.9</v>
      </c>
      <c r="J227">
        <v>5440</v>
      </c>
      <c r="K227">
        <v>2060</v>
      </c>
      <c r="L227">
        <v>21.11</v>
      </c>
      <c r="M227">
        <v>9.15</v>
      </c>
      <c r="N227">
        <v>15.41</v>
      </c>
      <c r="O227">
        <v>3.96</v>
      </c>
      <c r="P227">
        <v>3.66</v>
      </c>
      <c r="Q227">
        <v>8170</v>
      </c>
      <c r="R227">
        <v>8.0549999999999997</v>
      </c>
      <c r="S227">
        <v>22.22</v>
      </c>
      <c r="T227">
        <v>13.81</v>
      </c>
      <c r="U227">
        <v>15.47</v>
      </c>
      <c r="V227">
        <v>9.49</v>
      </c>
      <c r="W227">
        <v>40.49</v>
      </c>
      <c r="X227">
        <v>39.82</v>
      </c>
      <c r="Y227">
        <v>52.25</v>
      </c>
      <c r="Z227">
        <v>31.35</v>
      </c>
      <c r="AA227">
        <v>3104</v>
      </c>
      <c r="AB227">
        <v>3175</v>
      </c>
      <c r="AC227">
        <v>1041.6655000000001</v>
      </c>
    </row>
    <row r="228" spans="1:29" x14ac:dyDescent="0.3">
      <c r="A228" s="9">
        <v>44491</v>
      </c>
      <c r="B228">
        <v>20050</v>
      </c>
      <c r="C228">
        <v>11820</v>
      </c>
      <c r="D228">
        <v>197.8</v>
      </c>
      <c r="E228">
        <v>9.02</v>
      </c>
      <c r="F228">
        <v>17.47</v>
      </c>
      <c r="G228">
        <v>152.5</v>
      </c>
      <c r="H228">
        <v>61.5</v>
      </c>
      <c r="I228">
        <v>58.1</v>
      </c>
      <c r="J228">
        <v>5150</v>
      </c>
      <c r="K228">
        <v>2005</v>
      </c>
      <c r="L228">
        <v>18.809999999999999</v>
      </c>
      <c r="M228">
        <v>8.5399999999999991</v>
      </c>
      <c r="N228">
        <v>13.9</v>
      </c>
      <c r="O228">
        <v>3.75</v>
      </c>
      <c r="P228">
        <v>3.61</v>
      </c>
      <c r="Q228">
        <v>8070</v>
      </c>
      <c r="R228">
        <v>7.8949999999999996</v>
      </c>
      <c r="S228">
        <v>21.11</v>
      </c>
      <c r="T228">
        <v>12.78</v>
      </c>
      <c r="U228">
        <v>15.1</v>
      </c>
      <c r="V228">
        <v>8.4499999999999993</v>
      </c>
      <c r="W228">
        <v>37.67</v>
      </c>
      <c r="X228">
        <v>37.75</v>
      </c>
      <c r="Y228">
        <v>46.99</v>
      </c>
      <c r="Z228">
        <v>29.66</v>
      </c>
      <c r="AA228">
        <v>3114</v>
      </c>
      <c r="AB228">
        <v>3190</v>
      </c>
      <c r="AC228">
        <v>1111.6655000000001</v>
      </c>
    </row>
    <row r="229" spans="1:29" x14ac:dyDescent="0.3">
      <c r="A229" s="9">
        <v>44484</v>
      </c>
      <c r="B229">
        <v>19680</v>
      </c>
      <c r="C229">
        <v>12110</v>
      </c>
      <c r="D229">
        <v>193.6</v>
      </c>
      <c r="E229">
        <v>9.69</v>
      </c>
      <c r="F229">
        <v>17.100000000000001</v>
      </c>
      <c r="G229">
        <v>155</v>
      </c>
      <c r="H229">
        <v>62.9</v>
      </c>
      <c r="I229">
        <v>61.8</v>
      </c>
      <c r="J229">
        <v>5230</v>
      </c>
      <c r="K229">
        <v>2010</v>
      </c>
      <c r="L229">
        <v>18.64</v>
      </c>
      <c r="M229">
        <v>8.56</v>
      </c>
      <c r="N229">
        <v>13.99</v>
      </c>
      <c r="O229">
        <v>3.64</v>
      </c>
      <c r="P229">
        <v>3.53</v>
      </c>
      <c r="Q229">
        <v>7940</v>
      </c>
      <c r="R229">
        <v>8.2850000000000001</v>
      </c>
      <c r="S229">
        <v>21.79</v>
      </c>
      <c r="T229">
        <v>13.01</v>
      </c>
      <c r="U229">
        <v>14.81</v>
      </c>
      <c r="V229">
        <v>8.35</v>
      </c>
      <c r="W229">
        <v>41.73</v>
      </c>
      <c r="X229">
        <v>39.15</v>
      </c>
      <c r="Y229">
        <v>48.29</v>
      </c>
      <c r="Z229">
        <v>27.73</v>
      </c>
      <c r="AA229">
        <v>3030</v>
      </c>
      <c r="AB229">
        <v>3135</v>
      </c>
      <c r="AC229">
        <v>1086.6655000000001</v>
      </c>
    </row>
    <row r="230" spans="1:29" x14ac:dyDescent="0.3">
      <c r="A230" s="9">
        <v>44477</v>
      </c>
      <c r="B230">
        <v>18360</v>
      </c>
      <c r="C230">
        <v>11860</v>
      </c>
      <c r="D230">
        <v>184.3</v>
      </c>
      <c r="E230">
        <v>9.41</v>
      </c>
      <c r="F230">
        <v>17.510000000000002</v>
      </c>
      <c r="G230">
        <v>166</v>
      </c>
      <c r="H230">
        <v>64.8</v>
      </c>
      <c r="I230">
        <v>62.6</v>
      </c>
      <c r="J230">
        <v>5210</v>
      </c>
      <c r="K230">
        <v>1999</v>
      </c>
      <c r="L230">
        <v>18.899999999999999</v>
      </c>
      <c r="M230">
        <v>8.26</v>
      </c>
      <c r="N230">
        <v>13.7</v>
      </c>
      <c r="O230">
        <v>3.71</v>
      </c>
      <c r="P230">
        <v>3.57</v>
      </c>
      <c r="Q230">
        <v>8410</v>
      </c>
      <c r="R230">
        <v>8.5399999999999991</v>
      </c>
      <c r="S230">
        <v>23.79</v>
      </c>
      <c r="T230">
        <v>13.04</v>
      </c>
      <c r="U230">
        <v>14.78</v>
      </c>
      <c r="V230">
        <v>8.15</v>
      </c>
      <c r="W230">
        <v>40.020000000000003</v>
      </c>
      <c r="X230">
        <v>38.82</v>
      </c>
      <c r="Y230">
        <v>50.01</v>
      </c>
      <c r="Z230">
        <v>28.39</v>
      </c>
      <c r="AA230">
        <v>2929.5</v>
      </c>
      <c r="AB230">
        <v>3140</v>
      </c>
      <c r="AC230">
        <v>1061.6655000000001</v>
      </c>
    </row>
    <row r="231" spans="1:29" x14ac:dyDescent="0.3">
      <c r="A231" s="9">
        <v>44470</v>
      </c>
      <c r="B231">
        <v>17620</v>
      </c>
      <c r="C231">
        <v>11670</v>
      </c>
      <c r="D231">
        <v>186.8</v>
      </c>
      <c r="E231">
        <v>9.01</v>
      </c>
      <c r="F231">
        <v>13.78</v>
      </c>
      <c r="G231">
        <v>158</v>
      </c>
      <c r="H231">
        <v>61.5</v>
      </c>
      <c r="I231">
        <v>60.2</v>
      </c>
      <c r="J231">
        <v>4710</v>
      </c>
      <c r="K231">
        <v>1911</v>
      </c>
      <c r="L231">
        <v>17.8</v>
      </c>
      <c r="M231">
        <v>7.46</v>
      </c>
      <c r="N231">
        <v>12.59</v>
      </c>
      <c r="O231">
        <v>3.78</v>
      </c>
      <c r="P231">
        <v>3.34</v>
      </c>
      <c r="Q231">
        <v>8150</v>
      </c>
      <c r="R231">
        <v>8.93</v>
      </c>
      <c r="S231">
        <v>24.28</v>
      </c>
      <c r="T231">
        <v>13.17</v>
      </c>
      <c r="U231">
        <v>15.14</v>
      </c>
      <c r="V231">
        <v>8.2200000000000006</v>
      </c>
      <c r="W231">
        <v>39.19</v>
      </c>
      <c r="X231">
        <v>37.81</v>
      </c>
      <c r="Y231">
        <v>48.39</v>
      </c>
      <c r="Z231">
        <v>25.99</v>
      </c>
      <c r="AA231">
        <v>3009</v>
      </c>
      <c r="AB231">
        <v>3150</v>
      </c>
      <c r="AC231">
        <v>1058.3323</v>
      </c>
    </row>
    <row r="232" spans="1:29" x14ac:dyDescent="0.3">
      <c r="A232" s="9">
        <v>44463</v>
      </c>
      <c r="B232">
        <v>17560</v>
      </c>
      <c r="C232">
        <v>12270</v>
      </c>
      <c r="D232">
        <v>185.5</v>
      </c>
      <c r="E232">
        <v>7.09</v>
      </c>
      <c r="F232">
        <v>14.19</v>
      </c>
      <c r="G232">
        <v>93.5</v>
      </c>
      <c r="H232">
        <v>63</v>
      </c>
      <c r="I232">
        <v>59</v>
      </c>
      <c r="J232">
        <v>4720</v>
      </c>
      <c r="K232">
        <v>1853</v>
      </c>
      <c r="L232">
        <v>18.64</v>
      </c>
      <c r="M232">
        <v>7.65</v>
      </c>
      <c r="N232">
        <v>13.6</v>
      </c>
      <c r="O232">
        <v>3.9</v>
      </c>
      <c r="P232">
        <v>3.42</v>
      </c>
      <c r="Q232">
        <v>8350</v>
      </c>
      <c r="R232">
        <v>9.2149999999999999</v>
      </c>
      <c r="S232">
        <v>24.08</v>
      </c>
      <c r="T232">
        <v>13.28</v>
      </c>
      <c r="U232">
        <v>14.77</v>
      </c>
      <c r="V232">
        <v>8.11</v>
      </c>
      <c r="W232">
        <v>37.79</v>
      </c>
      <c r="X232">
        <v>37.82</v>
      </c>
      <c r="Y232">
        <v>48.53</v>
      </c>
      <c r="Z232">
        <v>25.8</v>
      </c>
      <c r="AA232">
        <v>3076</v>
      </c>
      <c r="AB232">
        <v>3278</v>
      </c>
      <c r="AC232">
        <v>1104.9989</v>
      </c>
    </row>
    <row r="233" spans="1:29" x14ac:dyDescent="0.3">
      <c r="A233" s="9">
        <v>44456</v>
      </c>
      <c r="B233">
        <v>19730</v>
      </c>
      <c r="C233">
        <v>12315</v>
      </c>
      <c r="D233">
        <v>185.2</v>
      </c>
      <c r="E233">
        <v>7.29</v>
      </c>
      <c r="F233">
        <v>12.92</v>
      </c>
      <c r="G233">
        <v>108</v>
      </c>
      <c r="H233">
        <v>50.6</v>
      </c>
      <c r="I233">
        <v>56.7</v>
      </c>
      <c r="J233">
        <v>5250</v>
      </c>
      <c r="K233">
        <v>1896</v>
      </c>
      <c r="L233">
        <v>18.12</v>
      </c>
      <c r="M233">
        <v>7.73</v>
      </c>
      <c r="N233">
        <v>13.97</v>
      </c>
      <c r="O233">
        <v>3.78</v>
      </c>
      <c r="P233">
        <v>3.3</v>
      </c>
      <c r="Q233">
        <v>8300</v>
      </c>
      <c r="R233">
        <v>9.25</v>
      </c>
      <c r="S233">
        <v>23.64</v>
      </c>
      <c r="T233">
        <v>13.01</v>
      </c>
      <c r="U233">
        <v>14.67</v>
      </c>
      <c r="V233">
        <v>8.1300000000000008</v>
      </c>
      <c r="W233">
        <v>36.909999999999997</v>
      </c>
      <c r="X233">
        <v>36.83</v>
      </c>
      <c r="Y233">
        <v>44.84</v>
      </c>
      <c r="Z233">
        <v>24.98</v>
      </c>
      <c r="AA233">
        <v>3038</v>
      </c>
      <c r="AB233">
        <v>3269</v>
      </c>
      <c r="AC233">
        <v>1069.6655000000001</v>
      </c>
    </row>
    <row r="234" spans="1:29" x14ac:dyDescent="0.3">
      <c r="A234" s="9">
        <v>44449</v>
      </c>
      <c r="B234">
        <v>19250</v>
      </c>
      <c r="C234">
        <v>12185</v>
      </c>
      <c r="D234">
        <v>187.9</v>
      </c>
      <c r="E234">
        <v>7.18</v>
      </c>
      <c r="F234">
        <v>13</v>
      </c>
      <c r="G234">
        <v>96.5</v>
      </c>
      <c r="H234">
        <v>44.6</v>
      </c>
      <c r="I234">
        <v>50.4</v>
      </c>
      <c r="J234">
        <v>5340</v>
      </c>
      <c r="K234">
        <v>1977</v>
      </c>
      <c r="L234">
        <v>18.41</v>
      </c>
      <c r="M234">
        <v>7.84</v>
      </c>
      <c r="N234">
        <v>14.36</v>
      </c>
      <c r="O234">
        <v>3.9</v>
      </c>
      <c r="P234">
        <v>3.35</v>
      </c>
      <c r="Q234">
        <v>8330</v>
      </c>
      <c r="R234">
        <v>10.18</v>
      </c>
      <c r="S234">
        <v>24.47</v>
      </c>
      <c r="T234">
        <v>12.81</v>
      </c>
      <c r="U234">
        <v>15.24</v>
      </c>
      <c r="V234">
        <v>8.74</v>
      </c>
      <c r="W234">
        <v>37.880000000000003</v>
      </c>
      <c r="X234">
        <v>37.65</v>
      </c>
      <c r="Y234">
        <v>46.1</v>
      </c>
      <c r="Z234">
        <v>25.56</v>
      </c>
      <c r="AA234">
        <v>3040</v>
      </c>
      <c r="AB234">
        <v>3319</v>
      </c>
      <c r="AC234">
        <v>1074.3322000000001</v>
      </c>
    </row>
    <row r="235" spans="1:29" x14ac:dyDescent="0.3">
      <c r="A235" s="9">
        <v>44442</v>
      </c>
      <c r="B235">
        <v>18570</v>
      </c>
      <c r="C235">
        <v>11805</v>
      </c>
      <c r="D235">
        <v>184.2</v>
      </c>
      <c r="E235">
        <v>6.87</v>
      </c>
      <c r="F235">
        <v>12.18</v>
      </c>
      <c r="G235">
        <v>101</v>
      </c>
      <c r="H235">
        <v>47.35</v>
      </c>
      <c r="I235">
        <v>50.9</v>
      </c>
      <c r="J235">
        <v>5110</v>
      </c>
      <c r="K235">
        <v>1996</v>
      </c>
      <c r="L235">
        <v>18.03</v>
      </c>
      <c r="M235">
        <v>7.7</v>
      </c>
      <c r="N235">
        <v>13.98</v>
      </c>
      <c r="O235">
        <v>3.76</v>
      </c>
      <c r="P235">
        <v>3.25</v>
      </c>
      <c r="Q235">
        <v>8540</v>
      </c>
      <c r="R235">
        <v>10.199999999999999</v>
      </c>
      <c r="S235">
        <v>24.17</v>
      </c>
      <c r="T235">
        <v>12.82</v>
      </c>
      <c r="U235">
        <v>14.35</v>
      </c>
      <c r="V235">
        <v>8.35</v>
      </c>
      <c r="W235">
        <v>37.79</v>
      </c>
      <c r="X235">
        <v>37.46</v>
      </c>
      <c r="Y235">
        <v>44.06</v>
      </c>
      <c r="Z235">
        <v>23.61</v>
      </c>
      <c r="AA235">
        <v>3190</v>
      </c>
      <c r="AB235">
        <v>3456</v>
      </c>
      <c r="AC235">
        <v>1172.9988000000001</v>
      </c>
    </row>
    <row r="236" spans="1:29" x14ac:dyDescent="0.3">
      <c r="A236" s="9">
        <v>44435</v>
      </c>
      <c r="B236">
        <v>18850</v>
      </c>
      <c r="C236">
        <v>11975</v>
      </c>
      <c r="D236">
        <v>185.9</v>
      </c>
      <c r="E236">
        <v>7.06</v>
      </c>
      <c r="F236">
        <v>12.39</v>
      </c>
      <c r="G236">
        <v>107.5</v>
      </c>
      <c r="H236">
        <v>47.75</v>
      </c>
      <c r="I236">
        <v>51.8</v>
      </c>
      <c r="J236">
        <v>5180</v>
      </c>
      <c r="K236">
        <v>2025</v>
      </c>
      <c r="L236">
        <v>17.7</v>
      </c>
      <c r="M236">
        <v>7.55</v>
      </c>
      <c r="N236">
        <v>14.03</v>
      </c>
      <c r="O236">
        <v>3.69</v>
      </c>
      <c r="P236">
        <v>3.26</v>
      </c>
      <c r="Q236">
        <v>9620</v>
      </c>
      <c r="R236">
        <v>10.074999999999999</v>
      </c>
      <c r="S236">
        <v>25.65</v>
      </c>
      <c r="T236">
        <v>13.01</v>
      </c>
      <c r="U236">
        <v>14.53</v>
      </c>
      <c r="V236">
        <v>8.5299999999999994</v>
      </c>
      <c r="W236">
        <v>38.229999999999997</v>
      </c>
      <c r="X236">
        <v>38.24</v>
      </c>
      <c r="Y236">
        <v>47.23</v>
      </c>
      <c r="Z236">
        <v>24.16</v>
      </c>
      <c r="AA236">
        <v>3352</v>
      </c>
      <c r="AB236">
        <v>3678</v>
      </c>
      <c r="AC236">
        <v>1292.3320000000001</v>
      </c>
    </row>
    <row r="237" spans="1:29" x14ac:dyDescent="0.3">
      <c r="A237" s="9">
        <v>44428</v>
      </c>
      <c r="B237">
        <v>18500</v>
      </c>
      <c r="C237">
        <v>12485</v>
      </c>
      <c r="D237">
        <v>197.8</v>
      </c>
      <c r="E237">
        <v>7.81</v>
      </c>
      <c r="F237">
        <v>12.71</v>
      </c>
      <c r="G237">
        <v>109</v>
      </c>
      <c r="H237">
        <v>47.15</v>
      </c>
      <c r="I237">
        <v>51.6</v>
      </c>
      <c r="J237">
        <v>4855</v>
      </c>
      <c r="K237">
        <v>1960</v>
      </c>
      <c r="L237">
        <v>17.21</v>
      </c>
      <c r="M237">
        <v>7.53</v>
      </c>
      <c r="N237">
        <v>13.73</v>
      </c>
      <c r="O237">
        <v>3.79</v>
      </c>
      <c r="P237">
        <v>3.31</v>
      </c>
      <c r="Q237">
        <v>9020</v>
      </c>
      <c r="R237">
        <v>9.76</v>
      </c>
      <c r="S237">
        <v>26.22</v>
      </c>
      <c r="T237">
        <v>13.14</v>
      </c>
      <c r="U237">
        <v>15.34</v>
      </c>
      <c r="V237">
        <v>8.65</v>
      </c>
      <c r="W237">
        <v>39.130000000000003</v>
      </c>
      <c r="X237">
        <v>38.28</v>
      </c>
      <c r="Y237">
        <v>45.62</v>
      </c>
      <c r="Z237">
        <v>24.74</v>
      </c>
      <c r="AA237">
        <v>3343</v>
      </c>
      <c r="AB237">
        <v>3576</v>
      </c>
      <c r="AC237">
        <v>1319.9987000000001</v>
      </c>
    </row>
    <row r="238" spans="1:29" x14ac:dyDescent="0.3">
      <c r="A238" s="9">
        <v>44421</v>
      </c>
      <c r="B238">
        <v>19400</v>
      </c>
      <c r="C238">
        <v>13555</v>
      </c>
      <c r="D238">
        <v>230.6</v>
      </c>
      <c r="E238">
        <v>7.87</v>
      </c>
      <c r="F238">
        <v>12.74</v>
      </c>
      <c r="G238">
        <v>108</v>
      </c>
      <c r="H238">
        <v>45.3</v>
      </c>
      <c r="I238">
        <v>50.6</v>
      </c>
      <c r="J238">
        <v>5160</v>
      </c>
      <c r="K238">
        <v>2000</v>
      </c>
      <c r="L238">
        <v>17.79</v>
      </c>
      <c r="M238">
        <v>7.61</v>
      </c>
      <c r="N238">
        <v>13.54</v>
      </c>
      <c r="O238">
        <v>3.77</v>
      </c>
      <c r="P238">
        <v>3.29</v>
      </c>
      <c r="Q238">
        <v>9380</v>
      </c>
      <c r="R238">
        <v>10</v>
      </c>
      <c r="S238">
        <v>24.53</v>
      </c>
      <c r="T238">
        <v>13.42</v>
      </c>
      <c r="U238">
        <v>15.26</v>
      </c>
      <c r="V238">
        <v>8.65</v>
      </c>
      <c r="W238">
        <v>37.630000000000003</v>
      </c>
      <c r="X238">
        <v>35.909999999999997</v>
      </c>
      <c r="Y238">
        <v>42.13</v>
      </c>
      <c r="Z238">
        <v>23.63</v>
      </c>
      <c r="AA238">
        <v>3417</v>
      </c>
      <c r="AB238">
        <v>3713</v>
      </c>
      <c r="AC238">
        <v>1395.9984999999999</v>
      </c>
    </row>
    <row r="239" spans="1:29" x14ac:dyDescent="0.3">
      <c r="A239" s="9">
        <v>44414</v>
      </c>
      <c r="B239">
        <v>19100</v>
      </c>
      <c r="C239">
        <v>13675</v>
      </c>
      <c r="D239">
        <v>204</v>
      </c>
      <c r="E239">
        <v>8.11</v>
      </c>
      <c r="F239">
        <v>13.77</v>
      </c>
      <c r="G239">
        <v>107</v>
      </c>
      <c r="H239">
        <v>43.9</v>
      </c>
      <c r="I239">
        <v>50.5</v>
      </c>
      <c r="J239">
        <v>4910</v>
      </c>
      <c r="K239">
        <v>1916</v>
      </c>
      <c r="L239">
        <v>17.059999999999999</v>
      </c>
      <c r="M239">
        <v>7.18</v>
      </c>
      <c r="N239">
        <v>13.41</v>
      </c>
      <c r="O239">
        <v>3.69</v>
      </c>
      <c r="P239">
        <v>3.24</v>
      </c>
      <c r="Q239">
        <v>8910</v>
      </c>
      <c r="R239">
        <v>10.5463</v>
      </c>
      <c r="S239">
        <v>25.68</v>
      </c>
      <c r="T239">
        <v>13.5</v>
      </c>
      <c r="U239">
        <v>14.81</v>
      </c>
      <c r="V239">
        <v>8.74</v>
      </c>
      <c r="W239">
        <v>37.46</v>
      </c>
      <c r="X239">
        <v>36.72</v>
      </c>
      <c r="Y239">
        <v>41.01</v>
      </c>
      <c r="Z239">
        <v>22.81</v>
      </c>
      <c r="AA239">
        <v>3496</v>
      </c>
      <c r="AB239">
        <v>3748</v>
      </c>
      <c r="AC239">
        <v>1429.9984999999999</v>
      </c>
    </row>
    <row r="240" spans="1:29" x14ac:dyDescent="0.3">
      <c r="A240" s="9">
        <v>44407</v>
      </c>
      <c r="B240">
        <v>17610</v>
      </c>
      <c r="C240">
        <v>13740</v>
      </c>
      <c r="D240">
        <v>204.2</v>
      </c>
      <c r="E240">
        <v>8.2100000000000009</v>
      </c>
      <c r="F240">
        <v>15.22</v>
      </c>
      <c r="G240">
        <v>105.5</v>
      </c>
      <c r="H240">
        <v>42.05</v>
      </c>
      <c r="I240">
        <v>45.9</v>
      </c>
      <c r="J240">
        <v>4810</v>
      </c>
      <c r="K240">
        <v>1873</v>
      </c>
      <c r="L240">
        <v>18.170000000000002</v>
      </c>
      <c r="M240">
        <v>7.73</v>
      </c>
      <c r="N240">
        <v>14.5</v>
      </c>
      <c r="O240">
        <v>3.91</v>
      </c>
      <c r="P240">
        <v>3.34</v>
      </c>
      <c r="Q240">
        <v>8350</v>
      </c>
      <c r="R240">
        <v>10.465</v>
      </c>
      <c r="S240">
        <v>29.19</v>
      </c>
      <c r="T240">
        <v>13.76</v>
      </c>
      <c r="U240">
        <v>16.079999999999998</v>
      </c>
      <c r="V240">
        <v>9.65</v>
      </c>
      <c r="W240">
        <v>42.4</v>
      </c>
      <c r="X240">
        <v>41.66</v>
      </c>
      <c r="Y240">
        <v>45.92</v>
      </c>
      <c r="Z240">
        <v>23.93</v>
      </c>
      <c r="AA240">
        <v>3819</v>
      </c>
      <c r="AB240">
        <v>3999</v>
      </c>
      <c r="AC240">
        <v>1543.3317</v>
      </c>
    </row>
    <row r="241" spans="1:29" x14ac:dyDescent="0.3">
      <c r="A241" s="9">
        <v>44400</v>
      </c>
      <c r="B241">
        <v>17940</v>
      </c>
      <c r="C241">
        <v>12855</v>
      </c>
      <c r="D241">
        <v>199.5</v>
      </c>
      <c r="E241">
        <v>7.96</v>
      </c>
      <c r="F241">
        <v>15.04</v>
      </c>
      <c r="G241">
        <v>105.5</v>
      </c>
      <c r="H241">
        <v>42.1</v>
      </c>
      <c r="I241">
        <v>44.9</v>
      </c>
      <c r="J241">
        <v>4815</v>
      </c>
      <c r="K241">
        <v>1950</v>
      </c>
      <c r="L241">
        <v>18.28</v>
      </c>
      <c r="M241">
        <v>7.65</v>
      </c>
      <c r="N241">
        <v>13.94</v>
      </c>
      <c r="O241">
        <v>3.92</v>
      </c>
      <c r="P241">
        <v>3.29</v>
      </c>
      <c r="Q241">
        <v>8690</v>
      </c>
      <c r="R241">
        <v>10.85</v>
      </c>
      <c r="S241">
        <v>28.33</v>
      </c>
      <c r="T241">
        <v>13.6</v>
      </c>
      <c r="U241">
        <v>17.239999999999998</v>
      </c>
      <c r="V241">
        <v>9.85</v>
      </c>
      <c r="W241">
        <v>43.88</v>
      </c>
      <c r="X241">
        <v>43.96</v>
      </c>
      <c r="Y241">
        <v>49.64</v>
      </c>
      <c r="Z241">
        <v>25.88</v>
      </c>
      <c r="AA241">
        <v>3839</v>
      </c>
      <c r="AB241">
        <v>4027</v>
      </c>
      <c r="AC241">
        <v>1666.6649</v>
      </c>
    </row>
    <row r="242" spans="1:29" x14ac:dyDescent="0.3">
      <c r="A242" s="9">
        <v>44393</v>
      </c>
      <c r="B242">
        <v>17600</v>
      </c>
      <c r="C242">
        <v>13230</v>
      </c>
      <c r="D242">
        <v>180</v>
      </c>
      <c r="E242">
        <v>7.89</v>
      </c>
      <c r="F242">
        <v>14.26</v>
      </c>
      <c r="G242">
        <v>107</v>
      </c>
      <c r="H242">
        <v>42.65</v>
      </c>
      <c r="I242">
        <v>46.3</v>
      </c>
      <c r="J242">
        <v>4805</v>
      </c>
      <c r="K242">
        <v>1911</v>
      </c>
      <c r="L242">
        <v>18.62</v>
      </c>
      <c r="M242">
        <v>7.67</v>
      </c>
      <c r="N242">
        <v>14.28</v>
      </c>
      <c r="O242">
        <v>3.77</v>
      </c>
      <c r="P242">
        <v>3.38</v>
      </c>
      <c r="Q242">
        <v>8580</v>
      </c>
      <c r="R242">
        <v>11.2034</v>
      </c>
      <c r="S242">
        <v>25.44</v>
      </c>
      <c r="T242">
        <v>13.94</v>
      </c>
      <c r="U242">
        <v>17.55</v>
      </c>
      <c r="V242">
        <v>9.58</v>
      </c>
      <c r="W242">
        <v>43.31</v>
      </c>
      <c r="X242">
        <v>45.23</v>
      </c>
      <c r="Y242">
        <v>50.59</v>
      </c>
      <c r="Z242">
        <v>26.26</v>
      </c>
      <c r="AA242">
        <v>3768</v>
      </c>
      <c r="AB242">
        <v>3965</v>
      </c>
      <c r="AC242">
        <v>1602.9983</v>
      </c>
    </row>
    <row r="243" spans="1:29" x14ac:dyDescent="0.3">
      <c r="A243" s="9">
        <v>44386</v>
      </c>
      <c r="B243">
        <v>17560</v>
      </c>
      <c r="C243">
        <v>13355</v>
      </c>
      <c r="D243">
        <v>184</v>
      </c>
      <c r="E243">
        <v>7.51</v>
      </c>
      <c r="F243">
        <v>12.4</v>
      </c>
      <c r="G243">
        <v>118.5</v>
      </c>
      <c r="H243">
        <v>46.45</v>
      </c>
      <c r="I243">
        <v>50.6</v>
      </c>
      <c r="J243">
        <v>4400</v>
      </c>
      <c r="K243">
        <v>1836</v>
      </c>
      <c r="L243">
        <v>18.36</v>
      </c>
      <c r="M243">
        <v>7.46</v>
      </c>
      <c r="N243">
        <v>14.07</v>
      </c>
      <c r="O243">
        <v>3.75</v>
      </c>
      <c r="P243">
        <v>3.21</v>
      </c>
      <c r="Q243">
        <v>8200</v>
      </c>
      <c r="R243">
        <v>11.25</v>
      </c>
      <c r="S243">
        <v>24.61</v>
      </c>
      <c r="T243">
        <v>13.63</v>
      </c>
      <c r="U243">
        <v>18.07</v>
      </c>
      <c r="V243">
        <v>10.029999999999999</v>
      </c>
      <c r="W243">
        <v>43.72</v>
      </c>
      <c r="X243">
        <v>46.71</v>
      </c>
      <c r="Y243">
        <v>52.35</v>
      </c>
      <c r="Z243">
        <v>26.94</v>
      </c>
      <c r="AA243">
        <v>3852</v>
      </c>
      <c r="AB243">
        <v>3999</v>
      </c>
      <c r="AC243">
        <v>1598.665</v>
      </c>
    </row>
    <row r="244" spans="1:29" x14ac:dyDescent="0.3">
      <c r="A244" s="9">
        <v>44379</v>
      </c>
      <c r="B244">
        <v>17000</v>
      </c>
      <c r="C244">
        <v>12960</v>
      </c>
      <c r="D244">
        <v>179.1</v>
      </c>
      <c r="E244">
        <v>7.48</v>
      </c>
      <c r="F244">
        <v>11.86</v>
      </c>
      <c r="G244">
        <v>114.5</v>
      </c>
      <c r="H244">
        <v>45.8</v>
      </c>
      <c r="I244">
        <v>49.5</v>
      </c>
      <c r="J244">
        <v>4335</v>
      </c>
      <c r="K244">
        <v>1782</v>
      </c>
      <c r="L244">
        <v>16.91</v>
      </c>
      <c r="M244">
        <v>6.94</v>
      </c>
      <c r="N244">
        <v>13.37</v>
      </c>
      <c r="O244">
        <v>3.6</v>
      </c>
      <c r="P244">
        <v>3.08</v>
      </c>
      <c r="Q244">
        <v>8000</v>
      </c>
      <c r="R244">
        <v>11.71</v>
      </c>
      <c r="S244">
        <v>24.96</v>
      </c>
      <c r="T244">
        <v>13.27</v>
      </c>
      <c r="U244">
        <v>18.38</v>
      </c>
      <c r="V244">
        <v>9.57</v>
      </c>
      <c r="W244">
        <v>41.13</v>
      </c>
      <c r="X244">
        <v>44.4</v>
      </c>
      <c r="Y244">
        <v>50.27</v>
      </c>
      <c r="Z244">
        <v>26.56</v>
      </c>
      <c r="AA244">
        <v>3958</v>
      </c>
      <c r="AB244">
        <v>4124</v>
      </c>
      <c r="AC244">
        <v>1694.9983</v>
      </c>
    </row>
    <row r="245" spans="1:29" x14ac:dyDescent="0.3">
      <c r="A245" s="9">
        <v>44372</v>
      </c>
      <c r="B245">
        <v>16600</v>
      </c>
      <c r="C245">
        <v>12715</v>
      </c>
      <c r="D245">
        <v>186.4</v>
      </c>
      <c r="E245">
        <v>8.0500000000000007</v>
      </c>
      <c r="F245">
        <v>12.24</v>
      </c>
      <c r="G245">
        <v>116</v>
      </c>
      <c r="H245">
        <v>45.45</v>
      </c>
      <c r="I245">
        <v>48.3</v>
      </c>
      <c r="J245">
        <v>4440</v>
      </c>
      <c r="K245">
        <v>1785</v>
      </c>
      <c r="L245">
        <v>17.62</v>
      </c>
      <c r="M245">
        <v>7.33</v>
      </c>
      <c r="N245">
        <v>13.81</v>
      </c>
      <c r="O245">
        <v>3.62</v>
      </c>
      <c r="P245">
        <v>3.2</v>
      </c>
      <c r="Q245">
        <v>8170</v>
      </c>
      <c r="R245">
        <v>12.098000000000001</v>
      </c>
      <c r="S245">
        <v>27.09</v>
      </c>
      <c r="T245">
        <v>14.1</v>
      </c>
      <c r="U245">
        <v>17.48</v>
      </c>
      <c r="V245">
        <v>9.16</v>
      </c>
      <c r="W245">
        <v>41.23</v>
      </c>
      <c r="X245">
        <v>43.15</v>
      </c>
      <c r="Y245">
        <v>50.27</v>
      </c>
      <c r="Z245">
        <v>25.84</v>
      </c>
      <c r="AA245">
        <v>3921</v>
      </c>
      <c r="AB245">
        <v>4204</v>
      </c>
      <c r="AC245">
        <v>1770.9982</v>
      </c>
    </row>
    <row r="246" spans="1:29" x14ac:dyDescent="0.3">
      <c r="A246" s="9">
        <v>44365</v>
      </c>
      <c r="B246">
        <v>16810</v>
      </c>
      <c r="C246">
        <v>12300</v>
      </c>
      <c r="D246">
        <v>184.3</v>
      </c>
      <c r="E246">
        <v>8.0399999999999991</v>
      </c>
      <c r="F246">
        <v>11.44</v>
      </c>
      <c r="G246">
        <v>111</v>
      </c>
      <c r="H246">
        <v>45</v>
      </c>
      <c r="I246">
        <v>46.95</v>
      </c>
      <c r="J246">
        <v>4285</v>
      </c>
      <c r="K246">
        <v>1762</v>
      </c>
      <c r="L246">
        <v>17.64</v>
      </c>
      <c r="M246">
        <v>7.39</v>
      </c>
      <c r="N246">
        <v>13.82</v>
      </c>
      <c r="O246">
        <v>3.56</v>
      </c>
      <c r="P246">
        <v>3.07</v>
      </c>
      <c r="Q246">
        <v>8060</v>
      </c>
      <c r="R246">
        <v>12.5</v>
      </c>
      <c r="S246">
        <v>27.96</v>
      </c>
      <c r="T246">
        <v>13.88</v>
      </c>
      <c r="U246">
        <v>17.2</v>
      </c>
      <c r="V246">
        <v>9.0399999999999991</v>
      </c>
      <c r="W246">
        <v>40.61</v>
      </c>
      <c r="X246">
        <v>43.47</v>
      </c>
      <c r="Y246">
        <v>51.48</v>
      </c>
      <c r="Z246">
        <v>25.45</v>
      </c>
      <c r="AA246">
        <v>4160</v>
      </c>
      <c r="AB246">
        <v>4380</v>
      </c>
      <c r="AC246">
        <v>1801.9982</v>
      </c>
    </row>
    <row r="247" spans="1:29" x14ac:dyDescent="0.3">
      <c r="A247" s="9">
        <v>44358</v>
      </c>
      <c r="B247">
        <v>16830</v>
      </c>
      <c r="C247">
        <v>12570</v>
      </c>
      <c r="D247">
        <v>182.2</v>
      </c>
      <c r="E247">
        <v>8.27</v>
      </c>
      <c r="F247">
        <v>11</v>
      </c>
      <c r="G247">
        <v>105</v>
      </c>
      <c r="H247">
        <v>42.55</v>
      </c>
      <c r="I247">
        <v>44.25</v>
      </c>
      <c r="J247">
        <v>4820</v>
      </c>
      <c r="K247">
        <v>1850</v>
      </c>
      <c r="L247">
        <v>18.04</v>
      </c>
      <c r="M247">
        <v>7.65</v>
      </c>
      <c r="N247">
        <v>13.71</v>
      </c>
      <c r="O247">
        <v>3.58</v>
      </c>
      <c r="P247">
        <v>3.15</v>
      </c>
      <c r="Q247">
        <v>8240</v>
      </c>
      <c r="R247">
        <v>12.7</v>
      </c>
      <c r="S247">
        <v>27.28</v>
      </c>
      <c r="T247">
        <v>14</v>
      </c>
      <c r="U247">
        <v>16.34</v>
      </c>
      <c r="V247">
        <v>9</v>
      </c>
      <c r="W247">
        <v>38.479999999999997</v>
      </c>
      <c r="X247">
        <v>40.97</v>
      </c>
      <c r="Y247">
        <v>52.45</v>
      </c>
      <c r="Z247">
        <v>25.24</v>
      </c>
      <c r="AA247">
        <v>4195</v>
      </c>
      <c r="AB247">
        <v>4511</v>
      </c>
      <c r="AC247">
        <v>1804.6648</v>
      </c>
    </row>
    <row r="248" spans="1:29" x14ac:dyDescent="0.3">
      <c r="A248" s="9">
        <v>44351</v>
      </c>
      <c r="B248">
        <v>16580</v>
      </c>
      <c r="C248">
        <v>12620</v>
      </c>
      <c r="D248">
        <v>171.8</v>
      </c>
      <c r="E248">
        <v>8.19</v>
      </c>
      <c r="F248">
        <v>11.42</v>
      </c>
      <c r="G248">
        <v>103.5</v>
      </c>
      <c r="H248">
        <v>42.35</v>
      </c>
      <c r="I248">
        <v>44.9</v>
      </c>
      <c r="J248">
        <v>4950</v>
      </c>
      <c r="K248">
        <v>1872</v>
      </c>
      <c r="L248">
        <v>18.48</v>
      </c>
      <c r="M248">
        <v>7.69</v>
      </c>
      <c r="N248">
        <v>13.48</v>
      </c>
      <c r="O248">
        <v>3.47</v>
      </c>
      <c r="P248">
        <v>3.25</v>
      </c>
      <c r="Q248">
        <v>8430</v>
      </c>
      <c r="R248">
        <v>13.038600000000001</v>
      </c>
      <c r="S248">
        <v>29.38</v>
      </c>
      <c r="T248">
        <v>14.66</v>
      </c>
      <c r="U248">
        <v>18</v>
      </c>
      <c r="V248">
        <v>10</v>
      </c>
      <c r="W248">
        <v>40.28</v>
      </c>
      <c r="X248">
        <v>42.57</v>
      </c>
      <c r="Y248">
        <v>52.46</v>
      </c>
      <c r="Z248">
        <v>27.46</v>
      </c>
      <c r="AA248">
        <v>3886</v>
      </c>
      <c r="AB248">
        <v>4110</v>
      </c>
      <c r="AC248">
        <v>1701.3315</v>
      </c>
    </row>
    <row r="249" spans="1:29" x14ac:dyDescent="0.3">
      <c r="A249" s="9">
        <v>44344</v>
      </c>
      <c r="B249">
        <v>16260</v>
      </c>
      <c r="C249">
        <v>12735</v>
      </c>
      <c r="D249">
        <v>172.2</v>
      </c>
      <c r="E249">
        <v>8.0299999999999994</v>
      </c>
      <c r="F249">
        <v>10.45</v>
      </c>
      <c r="G249">
        <v>108</v>
      </c>
      <c r="H249">
        <v>43</v>
      </c>
      <c r="I249">
        <v>45.5</v>
      </c>
      <c r="J249">
        <v>4960</v>
      </c>
      <c r="K249">
        <v>1779</v>
      </c>
      <c r="L249">
        <v>19.28</v>
      </c>
      <c r="M249">
        <v>7.88</v>
      </c>
      <c r="N249">
        <v>13.99</v>
      </c>
      <c r="O249">
        <v>3.47</v>
      </c>
      <c r="P249">
        <v>3.24</v>
      </c>
      <c r="Q249">
        <v>8670</v>
      </c>
      <c r="R249">
        <v>12.69</v>
      </c>
      <c r="S249">
        <v>28.73</v>
      </c>
      <c r="T249">
        <v>14.77</v>
      </c>
      <c r="U249">
        <v>18.78</v>
      </c>
      <c r="V249">
        <v>10.3</v>
      </c>
      <c r="W249">
        <v>41.63</v>
      </c>
      <c r="X249">
        <v>45</v>
      </c>
      <c r="Y249">
        <v>54.12</v>
      </c>
      <c r="Z249">
        <v>27.52</v>
      </c>
      <c r="AA249">
        <v>3951</v>
      </c>
      <c r="AB249">
        <v>4016</v>
      </c>
      <c r="AC249">
        <v>1814.998</v>
      </c>
    </row>
    <row r="250" spans="1:29" x14ac:dyDescent="0.3">
      <c r="A250" s="9">
        <v>44337</v>
      </c>
      <c r="B250">
        <v>15430</v>
      </c>
      <c r="C250">
        <v>13200</v>
      </c>
      <c r="D250">
        <v>174.1</v>
      </c>
      <c r="E250">
        <v>7.85</v>
      </c>
      <c r="F250">
        <v>9.77</v>
      </c>
      <c r="G250">
        <v>113</v>
      </c>
      <c r="H250">
        <v>43.25</v>
      </c>
      <c r="I250">
        <v>47.7</v>
      </c>
      <c r="J250">
        <v>4725</v>
      </c>
      <c r="K250">
        <v>1730</v>
      </c>
      <c r="L250">
        <v>19.82</v>
      </c>
      <c r="M250">
        <v>8.0299999999999994</v>
      </c>
      <c r="N250">
        <v>14.58</v>
      </c>
      <c r="O250">
        <v>3.44</v>
      </c>
      <c r="P250">
        <v>3.31</v>
      </c>
      <c r="Q250">
        <v>8280</v>
      </c>
      <c r="R250">
        <v>11.1</v>
      </c>
      <c r="S250">
        <v>29.06</v>
      </c>
      <c r="T250">
        <v>14.24</v>
      </c>
      <c r="U250">
        <v>18.27</v>
      </c>
      <c r="V250">
        <v>9.7100000000000009</v>
      </c>
      <c r="W250">
        <v>39.72</v>
      </c>
      <c r="X250">
        <v>42.71</v>
      </c>
      <c r="Y250">
        <v>51.37</v>
      </c>
      <c r="Z250">
        <v>26.88</v>
      </c>
      <c r="AA250">
        <v>3964</v>
      </c>
      <c r="AB250">
        <v>4138</v>
      </c>
      <c r="AC250">
        <v>1814.6648</v>
      </c>
    </row>
    <row r="251" spans="1:29" x14ac:dyDescent="0.3">
      <c r="A251" s="9">
        <v>44330</v>
      </c>
      <c r="B251">
        <v>14390</v>
      </c>
      <c r="C251">
        <v>12825</v>
      </c>
      <c r="D251">
        <v>166.4</v>
      </c>
      <c r="E251">
        <v>7.66</v>
      </c>
      <c r="F251">
        <v>9.76</v>
      </c>
      <c r="G251">
        <v>109</v>
      </c>
      <c r="H251">
        <v>41.3</v>
      </c>
      <c r="I251">
        <v>45</v>
      </c>
      <c r="J251">
        <v>4120</v>
      </c>
      <c r="K251">
        <v>1660</v>
      </c>
      <c r="L251">
        <v>19.71</v>
      </c>
      <c r="M251">
        <v>7.98</v>
      </c>
      <c r="N251">
        <v>14.42</v>
      </c>
      <c r="O251">
        <v>3.39</v>
      </c>
      <c r="P251">
        <v>3.31</v>
      </c>
      <c r="Q251">
        <v>8330</v>
      </c>
      <c r="R251">
        <v>11.74</v>
      </c>
      <c r="S251">
        <v>30.49</v>
      </c>
      <c r="T251">
        <v>14.23</v>
      </c>
      <c r="U251">
        <v>20.61</v>
      </c>
      <c r="V251">
        <v>10.7</v>
      </c>
      <c r="W251">
        <v>43.13</v>
      </c>
      <c r="X251">
        <v>45.89</v>
      </c>
      <c r="Y251">
        <v>56</v>
      </c>
      <c r="Z251">
        <v>28.695</v>
      </c>
      <c r="AA251">
        <v>3863</v>
      </c>
      <c r="AB251">
        <v>4088</v>
      </c>
      <c r="AC251">
        <v>1741.6648</v>
      </c>
    </row>
    <row r="252" spans="1:29" x14ac:dyDescent="0.3">
      <c r="A252" s="9">
        <v>44323</v>
      </c>
      <c r="B252">
        <v>14060</v>
      </c>
      <c r="C252">
        <v>11430</v>
      </c>
      <c r="D252">
        <v>156.19999999999999</v>
      </c>
      <c r="E252">
        <v>7.7</v>
      </c>
      <c r="F252">
        <v>8.4700000000000006</v>
      </c>
      <c r="G252">
        <v>115</v>
      </c>
      <c r="H252">
        <v>41.8</v>
      </c>
      <c r="I252">
        <v>47.25</v>
      </c>
      <c r="J252">
        <v>4205</v>
      </c>
      <c r="K252">
        <v>1693</v>
      </c>
      <c r="L252">
        <v>19.329999999999998</v>
      </c>
      <c r="M252">
        <v>7.94</v>
      </c>
      <c r="N252">
        <v>14.2</v>
      </c>
      <c r="O252">
        <v>3.35</v>
      </c>
      <c r="P252">
        <v>3.3</v>
      </c>
      <c r="Q252">
        <v>7830</v>
      </c>
      <c r="R252">
        <v>12.22</v>
      </c>
      <c r="S252">
        <v>30.05</v>
      </c>
      <c r="T252">
        <v>14.21</v>
      </c>
      <c r="U252">
        <v>21.07</v>
      </c>
      <c r="V252">
        <v>10.48</v>
      </c>
      <c r="W252">
        <v>42.72</v>
      </c>
      <c r="X252">
        <v>45.1</v>
      </c>
      <c r="Y252">
        <v>54.9</v>
      </c>
      <c r="Z252">
        <v>28.71</v>
      </c>
      <c r="AA252">
        <v>3876</v>
      </c>
      <c r="AB252">
        <v>4090</v>
      </c>
      <c r="AC252">
        <v>1755.3315</v>
      </c>
    </row>
    <row r="253" spans="1:29" x14ac:dyDescent="0.3">
      <c r="A253" s="9">
        <v>44316</v>
      </c>
      <c r="B253">
        <v>14810</v>
      </c>
      <c r="C253">
        <v>11860</v>
      </c>
      <c r="D253">
        <v>147.1</v>
      </c>
      <c r="E253">
        <v>7.94</v>
      </c>
      <c r="F253">
        <v>8.14</v>
      </c>
      <c r="G253">
        <v>113</v>
      </c>
      <c r="H253">
        <v>41.75</v>
      </c>
      <c r="I253">
        <v>45.5</v>
      </c>
      <c r="J253">
        <v>4255</v>
      </c>
      <c r="K253">
        <v>1655</v>
      </c>
      <c r="L253">
        <v>18.48</v>
      </c>
      <c r="M253">
        <v>7.43</v>
      </c>
      <c r="N253">
        <v>13.15</v>
      </c>
      <c r="O253">
        <v>3.3</v>
      </c>
      <c r="P253">
        <v>3.18</v>
      </c>
      <c r="Q253">
        <v>7880</v>
      </c>
      <c r="R253">
        <v>13.2</v>
      </c>
      <c r="S253">
        <v>31.52</v>
      </c>
      <c r="T253">
        <v>14.14</v>
      </c>
      <c r="U253">
        <v>22.27</v>
      </c>
      <c r="V253">
        <v>11.09</v>
      </c>
      <c r="W253">
        <v>48.89</v>
      </c>
      <c r="X253">
        <v>49.22</v>
      </c>
      <c r="Y253">
        <v>57.72</v>
      </c>
      <c r="Z253">
        <v>30.41</v>
      </c>
      <c r="AA253">
        <v>3783</v>
      </c>
      <c r="AB253">
        <v>3913</v>
      </c>
      <c r="AC253">
        <v>1790.3314</v>
      </c>
    </row>
    <row r="254" spans="1:29" x14ac:dyDescent="0.3">
      <c r="A254" s="9">
        <v>44309</v>
      </c>
      <c r="B254">
        <v>15030</v>
      </c>
      <c r="C254">
        <v>10130</v>
      </c>
      <c r="D254">
        <v>122.6</v>
      </c>
      <c r="E254">
        <v>8.0399999999999991</v>
      </c>
      <c r="F254">
        <v>7.89</v>
      </c>
      <c r="G254">
        <v>114.5</v>
      </c>
      <c r="H254">
        <v>43.3</v>
      </c>
      <c r="I254">
        <v>48.65</v>
      </c>
      <c r="J254">
        <v>4275</v>
      </c>
      <c r="K254">
        <v>1715</v>
      </c>
      <c r="L254">
        <v>18.79</v>
      </c>
      <c r="M254">
        <v>7.53</v>
      </c>
      <c r="N254">
        <v>13.42</v>
      </c>
      <c r="O254">
        <v>3.29</v>
      </c>
      <c r="P254">
        <v>3.23</v>
      </c>
      <c r="Q254">
        <v>8090</v>
      </c>
      <c r="R254">
        <v>14.95</v>
      </c>
      <c r="S254">
        <v>38.07</v>
      </c>
      <c r="T254">
        <v>14.33</v>
      </c>
      <c r="U254">
        <v>22.67</v>
      </c>
      <c r="V254">
        <v>11.28</v>
      </c>
      <c r="W254">
        <v>52.99</v>
      </c>
      <c r="X254">
        <v>49.5</v>
      </c>
      <c r="Y254">
        <v>58.55</v>
      </c>
      <c r="Z254">
        <v>31.41</v>
      </c>
      <c r="AA254">
        <v>3693</v>
      </c>
      <c r="AB254">
        <v>3864</v>
      </c>
      <c r="AC254">
        <v>1582.9983</v>
      </c>
    </row>
    <row r="255" spans="1:29" x14ac:dyDescent="0.3">
      <c r="A255" s="9">
        <v>44302</v>
      </c>
      <c r="B255">
        <v>16550</v>
      </c>
      <c r="C255">
        <v>9988</v>
      </c>
      <c r="D255">
        <v>122</v>
      </c>
      <c r="E255">
        <v>7.7799997000000003</v>
      </c>
      <c r="F255">
        <v>7.39</v>
      </c>
      <c r="G255">
        <v>118.5</v>
      </c>
      <c r="H255">
        <v>44</v>
      </c>
      <c r="I255">
        <v>51.1</v>
      </c>
      <c r="J255">
        <v>4525</v>
      </c>
      <c r="K255">
        <v>1692</v>
      </c>
      <c r="L255">
        <v>18.399999999999999</v>
      </c>
      <c r="M255">
        <v>7.39</v>
      </c>
      <c r="N255">
        <v>13.48</v>
      </c>
      <c r="O255">
        <v>3.06</v>
      </c>
      <c r="P255">
        <v>3.24</v>
      </c>
      <c r="Q255">
        <v>8200</v>
      </c>
      <c r="R255">
        <v>15.2476</v>
      </c>
      <c r="S255">
        <v>36.19</v>
      </c>
      <c r="T255">
        <v>14.28</v>
      </c>
      <c r="U255">
        <v>21.45</v>
      </c>
      <c r="V255">
        <v>10.11</v>
      </c>
      <c r="W255">
        <v>53.39</v>
      </c>
      <c r="X255">
        <v>47.6</v>
      </c>
      <c r="Y255">
        <v>58.58</v>
      </c>
      <c r="Z255">
        <v>31.17</v>
      </c>
      <c r="AA255">
        <v>3798</v>
      </c>
      <c r="AB255">
        <v>3881</v>
      </c>
      <c r="AC255">
        <v>1596.665</v>
      </c>
    </row>
    <row r="256" spans="1:29" x14ac:dyDescent="0.3">
      <c r="A256" s="9">
        <v>44295</v>
      </c>
      <c r="B256">
        <v>15500</v>
      </c>
      <c r="C256">
        <v>10310</v>
      </c>
      <c r="D256">
        <v>120.3</v>
      </c>
      <c r="E256">
        <v>7.7799997000000003</v>
      </c>
      <c r="F256">
        <v>7.62</v>
      </c>
      <c r="G256">
        <v>134</v>
      </c>
      <c r="H256">
        <v>44.25</v>
      </c>
      <c r="I256">
        <v>50.6</v>
      </c>
      <c r="J256">
        <v>4110</v>
      </c>
      <c r="K256">
        <v>1695</v>
      </c>
      <c r="L256">
        <v>19.010000000000002</v>
      </c>
      <c r="M256">
        <v>7.72</v>
      </c>
      <c r="N256">
        <v>14.36</v>
      </c>
      <c r="O256">
        <v>3.49</v>
      </c>
      <c r="P256">
        <v>3.56</v>
      </c>
      <c r="Q256">
        <v>8430</v>
      </c>
      <c r="R256">
        <v>14.98</v>
      </c>
      <c r="S256">
        <v>39.090000000000003</v>
      </c>
      <c r="T256">
        <v>14.31</v>
      </c>
      <c r="U256">
        <v>21.82</v>
      </c>
      <c r="V256">
        <v>10.36</v>
      </c>
      <c r="W256">
        <v>50.89</v>
      </c>
      <c r="X256">
        <v>46.59</v>
      </c>
      <c r="Y256">
        <v>56.19</v>
      </c>
      <c r="Z256">
        <v>33.11</v>
      </c>
      <c r="AA256">
        <v>3957</v>
      </c>
      <c r="AB256">
        <v>4077</v>
      </c>
      <c r="AC256">
        <v>1731.6649</v>
      </c>
    </row>
    <row r="257" spans="1:29" x14ac:dyDescent="0.3">
      <c r="A257" s="9">
        <v>44288</v>
      </c>
      <c r="B257">
        <v>15670</v>
      </c>
      <c r="C257">
        <v>10560</v>
      </c>
      <c r="D257">
        <v>118.3</v>
      </c>
      <c r="E257">
        <v>7.25</v>
      </c>
      <c r="F257">
        <v>6.9</v>
      </c>
      <c r="G257">
        <v>153</v>
      </c>
      <c r="H257">
        <v>57.5</v>
      </c>
      <c r="I257">
        <v>60.1</v>
      </c>
      <c r="J257">
        <v>4220</v>
      </c>
      <c r="K257">
        <v>1730</v>
      </c>
      <c r="L257">
        <v>20.239999999999998</v>
      </c>
      <c r="M257">
        <v>9.14</v>
      </c>
      <c r="N257">
        <v>15.39</v>
      </c>
      <c r="O257">
        <v>3.39</v>
      </c>
      <c r="P257">
        <v>3.71</v>
      </c>
      <c r="Q257">
        <v>8320</v>
      </c>
      <c r="R257">
        <v>15.375</v>
      </c>
      <c r="S257">
        <v>44.05</v>
      </c>
      <c r="T257">
        <v>15.08</v>
      </c>
      <c r="U257">
        <v>22.55</v>
      </c>
      <c r="V257">
        <v>10.43</v>
      </c>
      <c r="W257">
        <v>51.99</v>
      </c>
      <c r="X257">
        <v>47.18</v>
      </c>
      <c r="Y257">
        <v>56.85</v>
      </c>
      <c r="Z257">
        <v>32.340000000000003</v>
      </c>
      <c r="AA257">
        <v>3992</v>
      </c>
      <c r="AB257">
        <v>4085</v>
      </c>
      <c r="AC257">
        <v>1763.3315</v>
      </c>
    </row>
    <row r="258" spans="1:29" x14ac:dyDescent="0.3">
      <c r="A258" s="9">
        <v>44281</v>
      </c>
      <c r="B258">
        <v>15870</v>
      </c>
      <c r="C258">
        <v>10925</v>
      </c>
      <c r="D258">
        <v>114.4</v>
      </c>
      <c r="E258">
        <v>7.23</v>
      </c>
      <c r="F258">
        <v>7.62</v>
      </c>
      <c r="G258">
        <v>143.5</v>
      </c>
      <c r="H258">
        <v>51.3</v>
      </c>
      <c r="I258">
        <v>55</v>
      </c>
      <c r="J258">
        <v>4845</v>
      </c>
      <c r="K258">
        <v>2020</v>
      </c>
      <c r="L258">
        <v>21.9</v>
      </c>
      <c r="M258">
        <v>9.69</v>
      </c>
      <c r="N258">
        <v>16.13</v>
      </c>
      <c r="O258">
        <v>3.45</v>
      </c>
      <c r="P258">
        <v>3.98</v>
      </c>
      <c r="Q258">
        <v>8950</v>
      </c>
      <c r="R258">
        <v>15.45</v>
      </c>
      <c r="S258">
        <v>43.74</v>
      </c>
      <c r="T258">
        <v>14.94</v>
      </c>
      <c r="U258">
        <v>20.11</v>
      </c>
      <c r="V258">
        <v>10.24</v>
      </c>
      <c r="W258">
        <v>50.79</v>
      </c>
      <c r="X258">
        <v>46.76</v>
      </c>
      <c r="Y258">
        <v>55.71</v>
      </c>
      <c r="Z258">
        <v>28.41</v>
      </c>
      <c r="AA258">
        <v>3863</v>
      </c>
      <c r="AB258">
        <v>3970</v>
      </c>
      <c r="AC258">
        <v>1670.6649</v>
      </c>
    </row>
    <row r="259" spans="1:29" x14ac:dyDescent="0.3">
      <c r="A259" s="9">
        <v>44274</v>
      </c>
      <c r="B259">
        <v>15750</v>
      </c>
      <c r="C259">
        <v>10500</v>
      </c>
      <c r="D259">
        <v>110.5</v>
      </c>
      <c r="E259">
        <v>6.98</v>
      </c>
      <c r="F259">
        <v>7.36</v>
      </c>
      <c r="G259">
        <v>162.5</v>
      </c>
      <c r="H259">
        <v>58</v>
      </c>
      <c r="I259">
        <v>57.9</v>
      </c>
      <c r="J259">
        <v>4315</v>
      </c>
      <c r="K259">
        <v>2050</v>
      </c>
      <c r="L259">
        <v>20.07</v>
      </c>
      <c r="M259">
        <v>8.77</v>
      </c>
      <c r="N259">
        <v>14.31</v>
      </c>
      <c r="O259">
        <v>2.95</v>
      </c>
      <c r="P259">
        <v>3.68</v>
      </c>
      <c r="Q259">
        <v>8610</v>
      </c>
      <c r="R259">
        <v>14.1</v>
      </c>
      <c r="S259">
        <v>39.36</v>
      </c>
      <c r="T259">
        <v>14.14</v>
      </c>
      <c r="U259">
        <v>19.34</v>
      </c>
      <c r="V259">
        <v>9.7899999999999991</v>
      </c>
      <c r="W259">
        <v>47.8</v>
      </c>
      <c r="X259">
        <v>44.48</v>
      </c>
      <c r="Y259">
        <v>53.99</v>
      </c>
      <c r="Z259">
        <v>27.16</v>
      </c>
      <c r="AA259">
        <v>3911</v>
      </c>
      <c r="AB259">
        <v>4196</v>
      </c>
      <c r="AC259">
        <v>1712.6649</v>
      </c>
    </row>
    <row r="260" spans="1:29" x14ac:dyDescent="0.3">
      <c r="A260" s="9">
        <v>44267</v>
      </c>
      <c r="B260">
        <v>15370</v>
      </c>
      <c r="C260">
        <v>11820</v>
      </c>
      <c r="D260">
        <v>125.8</v>
      </c>
      <c r="E260">
        <v>7.18</v>
      </c>
      <c r="F260">
        <v>9.64</v>
      </c>
      <c r="G260">
        <v>156.5</v>
      </c>
      <c r="H260">
        <v>51.8</v>
      </c>
      <c r="I260">
        <v>52.5</v>
      </c>
      <c r="J260">
        <v>4375</v>
      </c>
      <c r="K260">
        <v>2120</v>
      </c>
      <c r="L260">
        <v>21.18</v>
      </c>
      <c r="M260">
        <v>9.16</v>
      </c>
      <c r="N260">
        <v>15.7</v>
      </c>
      <c r="O260">
        <v>2.96</v>
      </c>
      <c r="P260">
        <v>3.88</v>
      </c>
      <c r="Q260">
        <v>9020</v>
      </c>
      <c r="R260">
        <v>13.9472</v>
      </c>
      <c r="S260">
        <v>42.78</v>
      </c>
      <c r="T260">
        <v>14.47</v>
      </c>
      <c r="U260">
        <v>20.09</v>
      </c>
      <c r="V260">
        <v>10.11</v>
      </c>
      <c r="W260">
        <v>50.23</v>
      </c>
      <c r="X260">
        <v>44.63</v>
      </c>
      <c r="Y260">
        <v>58.71</v>
      </c>
      <c r="Z260">
        <v>28.38</v>
      </c>
      <c r="AA260">
        <v>4590</v>
      </c>
      <c r="AB260">
        <v>4712</v>
      </c>
      <c r="AC260">
        <v>2205.3310000000001</v>
      </c>
    </row>
    <row r="261" spans="1:29" x14ac:dyDescent="0.3">
      <c r="A261" s="9">
        <v>44260</v>
      </c>
      <c r="B261">
        <v>20200</v>
      </c>
      <c r="C261">
        <v>12785</v>
      </c>
      <c r="D261">
        <v>147.5</v>
      </c>
      <c r="E261">
        <v>8.06</v>
      </c>
      <c r="F261">
        <v>11.58</v>
      </c>
      <c r="G261">
        <v>155</v>
      </c>
      <c r="H261">
        <v>50.9</v>
      </c>
      <c r="I261">
        <v>51.2</v>
      </c>
      <c r="J261">
        <v>3730</v>
      </c>
      <c r="K261">
        <v>2130</v>
      </c>
      <c r="L261">
        <v>21.3</v>
      </c>
      <c r="M261">
        <v>9.74</v>
      </c>
      <c r="N261">
        <v>16.46</v>
      </c>
      <c r="O261">
        <v>3.06</v>
      </c>
      <c r="P261">
        <v>4.08</v>
      </c>
      <c r="Q261">
        <v>9610</v>
      </c>
      <c r="R261">
        <v>15.5</v>
      </c>
      <c r="S261">
        <v>46.44</v>
      </c>
      <c r="T261">
        <v>14.88</v>
      </c>
      <c r="U261">
        <v>21.47</v>
      </c>
      <c r="V261">
        <v>10.49</v>
      </c>
      <c r="W261">
        <v>54.43</v>
      </c>
      <c r="X261">
        <v>48.25</v>
      </c>
      <c r="Y261">
        <v>64.569999999999993</v>
      </c>
      <c r="Z261">
        <v>32.18</v>
      </c>
      <c r="AA261">
        <v>4371</v>
      </c>
      <c r="AB261">
        <v>4517</v>
      </c>
      <c r="AC261">
        <v>2016.6646000000001</v>
      </c>
    </row>
    <row r="262" spans="1:29" x14ac:dyDescent="0.3">
      <c r="A262" s="9">
        <v>44253</v>
      </c>
      <c r="B262">
        <v>19580</v>
      </c>
      <c r="C262">
        <v>12140</v>
      </c>
      <c r="D262">
        <v>135</v>
      </c>
      <c r="E262">
        <v>7.85</v>
      </c>
      <c r="F262">
        <v>9.8699999999999992</v>
      </c>
      <c r="G262">
        <v>151</v>
      </c>
      <c r="H262">
        <v>48.9</v>
      </c>
      <c r="I262">
        <v>49.75</v>
      </c>
      <c r="J262">
        <v>3735</v>
      </c>
      <c r="K262">
        <v>2155</v>
      </c>
      <c r="L262">
        <v>21.26</v>
      </c>
      <c r="M262">
        <v>9.76</v>
      </c>
      <c r="N262">
        <v>16.59</v>
      </c>
      <c r="O262">
        <v>2.97</v>
      </c>
      <c r="P262">
        <v>3.93</v>
      </c>
      <c r="Q262">
        <v>9250</v>
      </c>
      <c r="R262">
        <v>15.05</v>
      </c>
      <c r="S262">
        <v>43.87</v>
      </c>
      <c r="T262">
        <v>14.55</v>
      </c>
      <c r="U262">
        <v>20.05</v>
      </c>
      <c r="V262">
        <v>9.81</v>
      </c>
      <c r="W262">
        <v>49.97</v>
      </c>
      <c r="X262">
        <v>45.48</v>
      </c>
      <c r="Y262">
        <v>60.8</v>
      </c>
      <c r="Z262">
        <v>30.41</v>
      </c>
      <c r="AA262">
        <v>4758</v>
      </c>
      <c r="AB262">
        <v>4908</v>
      </c>
      <c r="AC262">
        <v>2202.3310000000001</v>
      </c>
    </row>
    <row r="263" spans="1:29" x14ac:dyDescent="0.3">
      <c r="A263" s="9">
        <v>44246</v>
      </c>
      <c r="B263">
        <v>20550</v>
      </c>
      <c r="C263">
        <v>13975</v>
      </c>
      <c r="D263">
        <v>170</v>
      </c>
      <c r="E263">
        <v>8.27</v>
      </c>
      <c r="F263">
        <v>14.59</v>
      </c>
      <c r="G263">
        <v>150</v>
      </c>
      <c r="H263">
        <v>47.75</v>
      </c>
      <c r="I263">
        <v>48.2</v>
      </c>
      <c r="J263">
        <v>3645</v>
      </c>
      <c r="K263">
        <v>2165</v>
      </c>
      <c r="L263">
        <v>21.71</v>
      </c>
      <c r="M263">
        <v>10.18</v>
      </c>
      <c r="N263">
        <v>16.899999999999999</v>
      </c>
      <c r="O263">
        <v>3.2</v>
      </c>
      <c r="P263">
        <v>4.16</v>
      </c>
      <c r="Q263">
        <v>9100</v>
      </c>
      <c r="R263">
        <v>15.81</v>
      </c>
      <c r="S263">
        <v>47.8</v>
      </c>
      <c r="T263">
        <v>15.68</v>
      </c>
      <c r="U263">
        <v>22.24</v>
      </c>
      <c r="V263">
        <v>10.94</v>
      </c>
      <c r="W263">
        <v>56.2</v>
      </c>
      <c r="X263">
        <v>48.84</v>
      </c>
      <c r="Y263">
        <v>64.67</v>
      </c>
      <c r="Z263">
        <v>33.78</v>
      </c>
      <c r="AA263">
        <v>4708</v>
      </c>
      <c r="AB263">
        <v>4844</v>
      </c>
      <c r="AC263">
        <v>2165.6642999999999</v>
      </c>
    </row>
    <row r="264" spans="1:29" x14ac:dyDescent="0.3">
      <c r="A264" s="9">
        <v>44239</v>
      </c>
      <c r="B264">
        <v>20650</v>
      </c>
      <c r="C264">
        <v>13045</v>
      </c>
      <c r="D264">
        <v>156.4</v>
      </c>
      <c r="E264">
        <v>7.87</v>
      </c>
      <c r="F264">
        <v>13.46</v>
      </c>
      <c r="G264">
        <v>152</v>
      </c>
      <c r="H264">
        <v>47.3</v>
      </c>
      <c r="I264">
        <v>47.75</v>
      </c>
      <c r="J264">
        <v>3595</v>
      </c>
      <c r="K264">
        <v>2565</v>
      </c>
      <c r="L264">
        <v>20.48</v>
      </c>
      <c r="M264">
        <v>9.82</v>
      </c>
      <c r="N264">
        <v>15.95</v>
      </c>
      <c r="O264">
        <v>3.01</v>
      </c>
      <c r="P264">
        <v>3.87</v>
      </c>
      <c r="Q264">
        <v>9700</v>
      </c>
      <c r="R264">
        <v>14.4</v>
      </c>
      <c r="S264">
        <v>42.53</v>
      </c>
      <c r="T264">
        <v>15.41</v>
      </c>
      <c r="U264">
        <v>22.14</v>
      </c>
      <c r="V264">
        <v>10.96</v>
      </c>
      <c r="W264">
        <v>56.34</v>
      </c>
      <c r="X264">
        <v>51.11</v>
      </c>
      <c r="Y264">
        <v>64.7</v>
      </c>
      <c r="Z264">
        <v>32.54</v>
      </c>
      <c r="AA264">
        <v>4978</v>
      </c>
      <c r="AB264">
        <v>5157</v>
      </c>
      <c r="AC264">
        <v>2414.3308000000002</v>
      </c>
    </row>
    <row r="265" spans="1:29" x14ac:dyDescent="0.3">
      <c r="A265" s="9">
        <v>44232</v>
      </c>
      <c r="B265">
        <v>19220</v>
      </c>
      <c r="C265">
        <v>12895</v>
      </c>
      <c r="D265">
        <v>151.9</v>
      </c>
      <c r="E265">
        <v>7.85</v>
      </c>
      <c r="F265">
        <v>12.87</v>
      </c>
      <c r="G265">
        <v>148</v>
      </c>
      <c r="H265">
        <v>46.9</v>
      </c>
      <c r="I265">
        <v>47.3</v>
      </c>
      <c r="J265">
        <v>3625</v>
      </c>
      <c r="K265">
        <v>2495</v>
      </c>
      <c r="L265">
        <v>21.25</v>
      </c>
      <c r="M265">
        <v>10.43</v>
      </c>
      <c r="N265">
        <v>17.100000000000001</v>
      </c>
      <c r="O265">
        <v>3.02</v>
      </c>
      <c r="P265">
        <v>4.0199999999999996</v>
      </c>
      <c r="Q265">
        <v>9210</v>
      </c>
      <c r="R265">
        <v>13.7</v>
      </c>
      <c r="S265">
        <v>41.92</v>
      </c>
      <c r="T265">
        <v>15.96</v>
      </c>
      <c r="U265">
        <v>22.24</v>
      </c>
      <c r="V265">
        <v>10.98</v>
      </c>
      <c r="W265">
        <v>59.05</v>
      </c>
      <c r="X265">
        <v>52.48</v>
      </c>
      <c r="Y265">
        <v>65.11</v>
      </c>
      <c r="Z265">
        <v>34.68</v>
      </c>
      <c r="AA265">
        <v>4970</v>
      </c>
      <c r="AB265">
        <v>5113</v>
      </c>
      <c r="AC265">
        <v>2335.3308000000002</v>
      </c>
    </row>
    <row r="266" spans="1:29" x14ac:dyDescent="0.3">
      <c r="A266" s="9">
        <v>44225</v>
      </c>
      <c r="B266">
        <v>19680</v>
      </c>
      <c r="C266">
        <v>12680</v>
      </c>
      <c r="D266">
        <v>151.4</v>
      </c>
      <c r="E266">
        <v>8.4</v>
      </c>
      <c r="F266">
        <v>13.44</v>
      </c>
      <c r="G266">
        <v>159.5</v>
      </c>
      <c r="H266">
        <v>49.1</v>
      </c>
      <c r="I266">
        <v>49.65</v>
      </c>
      <c r="J266">
        <v>3620</v>
      </c>
      <c r="K266">
        <v>2140</v>
      </c>
      <c r="L266">
        <v>22.04</v>
      </c>
      <c r="M266">
        <v>10.74</v>
      </c>
      <c r="N266">
        <v>17.809999999999999</v>
      </c>
      <c r="O266">
        <v>3.09</v>
      </c>
      <c r="P266">
        <v>4.1399999999999997</v>
      </c>
      <c r="Q266">
        <v>9430</v>
      </c>
      <c r="R266">
        <v>13.613</v>
      </c>
      <c r="S266">
        <v>39.33</v>
      </c>
      <c r="T266">
        <v>16.2</v>
      </c>
      <c r="U266">
        <v>22.74</v>
      </c>
      <c r="V266">
        <v>11.16</v>
      </c>
      <c r="W266">
        <v>60.5</v>
      </c>
      <c r="X266">
        <v>53.65</v>
      </c>
      <c r="Y266">
        <v>71.650000000000006</v>
      </c>
      <c r="Z266">
        <v>36.57</v>
      </c>
      <c r="AA266">
        <v>5000</v>
      </c>
      <c r="AB266">
        <v>5208</v>
      </c>
      <c r="AC266">
        <v>2328.6642999999999</v>
      </c>
    </row>
    <row r="267" spans="1:29" x14ac:dyDescent="0.3">
      <c r="A267" s="9">
        <v>44218</v>
      </c>
      <c r="B267">
        <v>19660</v>
      </c>
      <c r="C267">
        <v>12185</v>
      </c>
      <c r="D267">
        <v>135</v>
      </c>
      <c r="E267">
        <v>8.15</v>
      </c>
      <c r="F267">
        <v>13.19</v>
      </c>
      <c r="G267">
        <v>165</v>
      </c>
      <c r="H267">
        <v>49.15</v>
      </c>
      <c r="I267">
        <v>49.9</v>
      </c>
      <c r="J267">
        <v>3825</v>
      </c>
      <c r="K267">
        <v>2120</v>
      </c>
      <c r="L267">
        <v>21.52</v>
      </c>
      <c r="M267">
        <v>10.41</v>
      </c>
      <c r="N267">
        <v>17.260000000000002</v>
      </c>
      <c r="O267">
        <v>2.9</v>
      </c>
      <c r="P267">
        <v>3.91</v>
      </c>
      <c r="Q267">
        <v>9750</v>
      </c>
      <c r="R267">
        <v>11.685</v>
      </c>
      <c r="S267">
        <v>35.56</v>
      </c>
      <c r="T267">
        <v>15.66</v>
      </c>
      <c r="U267">
        <v>21.43</v>
      </c>
      <c r="V267">
        <v>10.58</v>
      </c>
      <c r="W267">
        <v>59</v>
      </c>
      <c r="X267">
        <v>51.74</v>
      </c>
      <c r="Y267">
        <v>66.83</v>
      </c>
      <c r="Z267">
        <v>34.090000000000003</v>
      </c>
      <c r="AA267">
        <v>4595</v>
      </c>
      <c r="AB267">
        <v>5000</v>
      </c>
      <c r="AC267">
        <v>2177.9978000000001</v>
      </c>
    </row>
    <row r="268" spans="1:29" x14ac:dyDescent="0.3">
      <c r="A268" s="9">
        <v>44211</v>
      </c>
      <c r="B268">
        <v>18380</v>
      </c>
      <c r="C268">
        <v>10905</v>
      </c>
      <c r="D268">
        <v>128.30000000000001</v>
      </c>
      <c r="E268">
        <v>7.71</v>
      </c>
      <c r="F268">
        <v>11.89</v>
      </c>
      <c r="G268">
        <v>179.5</v>
      </c>
      <c r="H268">
        <v>47.55</v>
      </c>
      <c r="I268">
        <v>48.65</v>
      </c>
      <c r="J268">
        <v>4490</v>
      </c>
      <c r="K268">
        <v>2105</v>
      </c>
      <c r="L268">
        <v>22.63</v>
      </c>
      <c r="M268">
        <v>11.14</v>
      </c>
      <c r="N268">
        <v>18.18</v>
      </c>
      <c r="O268">
        <v>2.92</v>
      </c>
      <c r="P268">
        <v>4.17</v>
      </c>
      <c r="Q268">
        <v>9380</v>
      </c>
      <c r="R268">
        <v>12.314</v>
      </c>
      <c r="S268">
        <v>35</v>
      </c>
      <c r="T268">
        <v>15.33</v>
      </c>
      <c r="U268">
        <v>22.27</v>
      </c>
      <c r="V268">
        <v>11.05</v>
      </c>
      <c r="W268">
        <v>57.44</v>
      </c>
      <c r="X268">
        <v>51.43</v>
      </c>
      <c r="Y268">
        <v>65.81</v>
      </c>
      <c r="Z268">
        <v>33.58</v>
      </c>
      <c r="AA268">
        <v>4767</v>
      </c>
      <c r="AB268">
        <v>5287</v>
      </c>
      <c r="AC268">
        <v>2353.9976000000001</v>
      </c>
    </row>
    <row r="269" spans="1:29" x14ac:dyDescent="0.3">
      <c r="A269" s="9">
        <v>44204</v>
      </c>
      <c r="B269">
        <v>17830</v>
      </c>
      <c r="C269">
        <v>10535</v>
      </c>
      <c r="D269">
        <v>129.69999999999999</v>
      </c>
      <c r="E269">
        <v>8.33</v>
      </c>
      <c r="F269">
        <v>12.61</v>
      </c>
      <c r="G269">
        <v>166.5</v>
      </c>
      <c r="H269">
        <v>46.5</v>
      </c>
      <c r="I269">
        <v>46.45</v>
      </c>
      <c r="J269">
        <v>4445</v>
      </c>
      <c r="K269">
        <v>2130</v>
      </c>
      <c r="L269">
        <v>22.04</v>
      </c>
      <c r="M269">
        <v>11.02</v>
      </c>
      <c r="N269">
        <v>17.72</v>
      </c>
      <c r="O269">
        <v>2.87</v>
      </c>
      <c r="P269">
        <v>4.28</v>
      </c>
      <c r="Q269">
        <v>9100</v>
      </c>
      <c r="R269">
        <v>12.53</v>
      </c>
      <c r="S269">
        <v>34.99</v>
      </c>
      <c r="T269">
        <v>15.53</v>
      </c>
      <c r="U269">
        <v>24.15</v>
      </c>
      <c r="V269">
        <v>11.53</v>
      </c>
      <c r="W269">
        <v>58.22</v>
      </c>
      <c r="X269">
        <v>52.96</v>
      </c>
      <c r="Y269">
        <v>69.52</v>
      </c>
      <c r="Z269">
        <v>34.18</v>
      </c>
      <c r="AA269">
        <v>4840</v>
      </c>
      <c r="AB269">
        <v>5378</v>
      </c>
      <c r="AC269">
        <v>2419.6640000000002</v>
      </c>
    </row>
    <row r="270" spans="1:29" x14ac:dyDescent="0.3">
      <c r="A270" s="9">
        <v>44197</v>
      </c>
      <c r="B270">
        <v>19060</v>
      </c>
      <c r="C270">
        <v>10145</v>
      </c>
      <c r="D270">
        <v>135.6</v>
      </c>
      <c r="E270">
        <v>8.7899999999999991</v>
      </c>
      <c r="F270">
        <v>12.32</v>
      </c>
      <c r="G270">
        <v>170</v>
      </c>
      <c r="H270">
        <v>45.15</v>
      </c>
      <c r="I270">
        <v>45.3</v>
      </c>
      <c r="J270">
        <v>4485</v>
      </c>
      <c r="K270">
        <v>2015</v>
      </c>
      <c r="L270">
        <v>23.83</v>
      </c>
      <c r="M270">
        <v>11.9</v>
      </c>
      <c r="N270">
        <v>19.87</v>
      </c>
      <c r="O270">
        <v>2.96</v>
      </c>
      <c r="P270">
        <v>4.53</v>
      </c>
      <c r="Q270">
        <v>9060</v>
      </c>
      <c r="R270">
        <v>12.935</v>
      </c>
      <c r="S270">
        <v>35.85</v>
      </c>
      <c r="T270">
        <v>15.18</v>
      </c>
      <c r="U270">
        <v>22.89</v>
      </c>
      <c r="V270">
        <v>10.75</v>
      </c>
      <c r="W270">
        <v>54.03</v>
      </c>
      <c r="X270">
        <v>51.45</v>
      </c>
      <c r="Y270">
        <v>66.42</v>
      </c>
      <c r="Z270">
        <v>33.25</v>
      </c>
      <c r="AA270">
        <v>4793</v>
      </c>
      <c r="AB270">
        <v>5175</v>
      </c>
      <c r="AC270">
        <v>2582.6640000000002</v>
      </c>
    </row>
    <row r="271" spans="1:29" x14ac:dyDescent="0.3">
      <c r="A271" s="9">
        <v>44190</v>
      </c>
      <c r="B271">
        <v>18270</v>
      </c>
      <c r="C271">
        <v>9622</v>
      </c>
      <c r="D271">
        <v>135</v>
      </c>
      <c r="E271">
        <v>8.4499999999999993</v>
      </c>
      <c r="F271">
        <v>12.01</v>
      </c>
      <c r="G271">
        <v>172</v>
      </c>
      <c r="H271">
        <v>44.4</v>
      </c>
      <c r="I271">
        <v>44.1</v>
      </c>
      <c r="J271">
        <v>4865</v>
      </c>
      <c r="K271">
        <v>2055</v>
      </c>
      <c r="L271">
        <v>24.32</v>
      </c>
      <c r="M271">
        <v>13.25</v>
      </c>
      <c r="N271">
        <v>20.69</v>
      </c>
      <c r="O271">
        <v>3.1</v>
      </c>
      <c r="P271">
        <v>4.71</v>
      </c>
      <c r="Q271">
        <v>8890</v>
      </c>
      <c r="R271">
        <v>11.84</v>
      </c>
      <c r="S271">
        <v>36.229999999999997</v>
      </c>
      <c r="T271">
        <v>15.01</v>
      </c>
      <c r="U271">
        <v>22.58</v>
      </c>
      <c r="V271">
        <v>11.01</v>
      </c>
      <c r="W271">
        <v>54.74</v>
      </c>
      <c r="X271">
        <v>53.99</v>
      </c>
      <c r="Y271">
        <v>67.099999999999994</v>
      </c>
      <c r="Z271">
        <v>33.799999999999997</v>
      </c>
      <c r="AA271">
        <v>4550</v>
      </c>
      <c r="AB271">
        <v>4913</v>
      </c>
      <c r="AC271">
        <v>2289.9976000000001</v>
      </c>
    </row>
    <row r="272" spans="1:29" x14ac:dyDescent="0.3">
      <c r="A272" s="9">
        <v>44183</v>
      </c>
      <c r="B272">
        <v>16950</v>
      </c>
      <c r="C272">
        <v>9478</v>
      </c>
      <c r="D272">
        <v>133.9</v>
      </c>
      <c r="E272">
        <v>8.68</v>
      </c>
      <c r="F272">
        <v>10.99</v>
      </c>
      <c r="G272">
        <v>165</v>
      </c>
      <c r="H272">
        <v>43.8</v>
      </c>
      <c r="I272">
        <v>43.65</v>
      </c>
      <c r="J272">
        <v>4580</v>
      </c>
      <c r="K272">
        <v>1995</v>
      </c>
      <c r="L272">
        <v>24.89</v>
      </c>
      <c r="M272">
        <v>13.93</v>
      </c>
      <c r="N272">
        <v>20.71</v>
      </c>
      <c r="O272">
        <v>3.02</v>
      </c>
      <c r="P272">
        <v>4.96</v>
      </c>
      <c r="Q272">
        <v>8510</v>
      </c>
      <c r="R272">
        <v>11.75</v>
      </c>
      <c r="S272">
        <v>37.58</v>
      </c>
      <c r="T272">
        <v>15.05</v>
      </c>
      <c r="U272">
        <v>23.2</v>
      </c>
      <c r="V272">
        <v>11.1</v>
      </c>
      <c r="W272">
        <v>53.78</v>
      </c>
      <c r="X272">
        <v>53.12</v>
      </c>
      <c r="Y272">
        <v>68.319999999999993</v>
      </c>
      <c r="Z272">
        <v>33.76</v>
      </c>
      <c r="AA272">
        <v>4319</v>
      </c>
      <c r="AB272">
        <v>4735</v>
      </c>
      <c r="AC272">
        <v>2144.3310000000001</v>
      </c>
    </row>
    <row r="273" spans="1:29" x14ac:dyDescent="0.3">
      <c r="A273" s="9">
        <v>44176</v>
      </c>
      <c r="B273">
        <v>15960</v>
      </c>
      <c r="C273">
        <v>9056</v>
      </c>
      <c r="D273">
        <v>124.2</v>
      </c>
      <c r="E273">
        <v>8.5299999999999994</v>
      </c>
      <c r="F273">
        <v>9.4499999999999993</v>
      </c>
      <c r="G273">
        <v>176.5</v>
      </c>
      <c r="H273">
        <v>45.2</v>
      </c>
      <c r="I273">
        <v>45</v>
      </c>
      <c r="J273">
        <v>4450</v>
      </c>
      <c r="K273">
        <v>1969</v>
      </c>
      <c r="L273">
        <v>23.64</v>
      </c>
      <c r="M273">
        <v>12.8</v>
      </c>
      <c r="N273">
        <v>20.420000000000002</v>
      </c>
      <c r="O273">
        <v>2.99</v>
      </c>
      <c r="P273">
        <v>4.96</v>
      </c>
      <c r="Q273">
        <v>8190</v>
      </c>
      <c r="R273">
        <v>12.12</v>
      </c>
      <c r="S273">
        <v>37.71</v>
      </c>
      <c r="T273">
        <v>15.35</v>
      </c>
      <c r="U273">
        <v>23.65</v>
      </c>
      <c r="V273">
        <v>11.22</v>
      </c>
      <c r="W273">
        <v>55.75</v>
      </c>
      <c r="X273">
        <v>52.1</v>
      </c>
      <c r="Y273">
        <v>71.36</v>
      </c>
      <c r="Z273">
        <v>34.58</v>
      </c>
      <c r="AA273">
        <v>4244</v>
      </c>
      <c r="AB273">
        <v>4715</v>
      </c>
      <c r="AC273">
        <v>2112.6646000000001</v>
      </c>
    </row>
    <row r="274" spans="1:29" x14ac:dyDescent="0.3">
      <c r="A274" s="9">
        <v>44169</v>
      </c>
      <c r="B274">
        <v>15560</v>
      </c>
      <c r="C274">
        <v>9130</v>
      </c>
      <c r="D274">
        <v>125.5</v>
      </c>
      <c r="E274">
        <v>8.02</v>
      </c>
      <c r="F274">
        <v>9.58</v>
      </c>
      <c r="G274">
        <v>172.5</v>
      </c>
      <c r="H274">
        <v>45.15</v>
      </c>
      <c r="I274">
        <v>43.25</v>
      </c>
      <c r="J274">
        <v>4435</v>
      </c>
      <c r="K274">
        <v>1901</v>
      </c>
      <c r="L274">
        <v>24.67</v>
      </c>
      <c r="M274">
        <v>12.85</v>
      </c>
      <c r="N274">
        <v>20.420000000000002</v>
      </c>
      <c r="O274">
        <v>2.94</v>
      </c>
      <c r="P274">
        <v>5.12</v>
      </c>
      <c r="Q274">
        <v>8300</v>
      </c>
      <c r="R274">
        <v>11.38</v>
      </c>
      <c r="S274">
        <v>38.04</v>
      </c>
      <c r="T274">
        <v>15.06</v>
      </c>
      <c r="U274">
        <v>23.04</v>
      </c>
      <c r="V274">
        <v>11.15</v>
      </c>
      <c r="W274">
        <v>56.92</v>
      </c>
      <c r="X274">
        <v>52.79</v>
      </c>
      <c r="Y274">
        <v>72.5</v>
      </c>
      <c r="Z274">
        <v>33.61</v>
      </c>
      <c r="AA274">
        <v>4073</v>
      </c>
      <c r="AB274">
        <v>4610</v>
      </c>
      <c r="AC274">
        <v>2023</v>
      </c>
    </row>
    <row r="275" spans="1:29" x14ac:dyDescent="0.3">
      <c r="A275" s="9">
        <v>44162</v>
      </c>
      <c r="B275">
        <v>15720</v>
      </c>
      <c r="C275">
        <v>8994</v>
      </c>
      <c r="D275">
        <v>139.69999999999999</v>
      </c>
      <c r="E275">
        <v>8.23</v>
      </c>
      <c r="F275">
        <v>10.119999999999999</v>
      </c>
      <c r="G275">
        <v>187</v>
      </c>
      <c r="H275">
        <v>51.8</v>
      </c>
      <c r="I275">
        <v>48.35</v>
      </c>
      <c r="J275">
        <v>4135</v>
      </c>
      <c r="K275">
        <v>1877</v>
      </c>
      <c r="L275">
        <v>23.87</v>
      </c>
      <c r="M275">
        <v>12.96</v>
      </c>
      <c r="N275">
        <v>20.329999999999998</v>
      </c>
      <c r="O275">
        <v>2.89</v>
      </c>
      <c r="P275">
        <v>4.96</v>
      </c>
      <c r="Q275">
        <v>8200</v>
      </c>
      <c r="R275">
        <v>12.0046</v>
      </c>
      <c r="S275">
        <v>38.46</v>
      </c>
      <c r="T275">
        <v>15.35</v>
      </c>
      <c r="U275">
        <v>23.38</v>
      </c>
      <c r="V275">
        <v>11.5</v>
      </c>
      <c r="W275">
        <v>58.41</v>
      </c>
      <c r="X275">
        <v>53.2</v>
      </c>
      <c r="Y275">
        <v>71.55</v>
      </c>
      <c r="Z275">
        <v>34.950000000000003</v>
      </c>
      <c r="AA275">
        <v>4079</v>
      </c>
      <c r="AB275">
        <v>4525</v>
      </c>
      <c r="AC275">
        <v>1996</v>
      </c>
    </row>
    <row r="276" spans="1:29" x14ac:dyDescent="0.3">
      <c r="A276" s="9">
        <v>44155</v>
      </c>
      <c r="B276">
        <v>15380</v>
      </c>
      <c r="C276">
        <v>9634</v>
      </c>
      <c r="D276">
        <v>139.69999999999999</v>
      </c>
      <c r="E276">
        <v>8.5</v>
      </c>
      <c r="F276">
        <v>11.16</v>
      </c>
      <c r="G276">
        <v>180</v>
      </c>
      <c r="H276">
        <v>50.4</v>
      </c>
      <c r="I276">
        <v>49.4</v>
      </c>
      <c r="J276">
        <v>4020</v>
      </c>
      <c r="K276">
        <v>1880</v>
      </c>
      <c r="L276">
        <v>23.88</v>
      </c>
      <c r="M276">
        <v>12.9</v>
      </c>
      <c r="N276">
        <v>20.72</v>
      </c>
      <c r="O276">
        <v>2.95</v>
      </c>
      <c r="P276">
        <v>4.9000000000000004</v>
      </c>
      <c r="Q276">
        <v>8100</v>
      </c>
      <c r="R276">
        <v>12.253</v>
      </c>
      <c r="S276">
        <v>40.06</v>
      </c>
      <c r="T276">
        <v>15.43</v>
      </c>
      <c r="U276">
        <v>23.92</v>
      </c>
      <c r="V276">
        <v>11.64</v>
      </c>
      <c r="W276">
        <v>58.86</v>
      </c>
      <c r="X276">
        <v>53.76</v>
      </c>
      <c r="Y276">
        <v>71.77</v>
      </c>
      <c r="Z276">
        <v>35.369999999999997</v>
      </c>
      <c r="AA276">
        <v>4072</v>
      </c>
      <c r="AB276">
        <v>4550</v>
      </c>
      <c r="AC276">
        <v>2047.5</v>
      </c>
    </row>
    <row r="277" spans="1:29" x14ac:dyDescent="0.3">
      <c r="A277" s="9">
        <v>44148</v>
      </c>
      <c r="B277">
        <v>15380</v>
      </c>
      <c r="C277">
        <v>9646</v>
      </c>
      <c r="D277">
        <v>148.1</v>
      </c>
      <c r="E277">
        <v>8.6999999999999993</v>
      </c>
      <c r="F277">
        <v>10.1</v>
      </c>
      <c r="G277">
        <v>193.5</v>
      </c>
      <c r="H277">
        <v>60.6</v>
      </c>
      <c r="I277">
        <v>63.8</v>
      </c>
      <c r="J277">
        <v>4050</v>
      </c>
      <c r="K277">
        <v>1881</v>
      </c>
      <c r="L277">
        <v>23.09</v>
      </c>
      <c r="M277">
        <v>13.01</v>
      </c>
      <c r="N277">
        <v>20.55</v>
      </c>
      <c r="O277">
        <v>2.91</v>
      </c>
      <c r="P277">
        <v>4.71</v>
      </c>
      <c r="Q277">
        <v>7990</v>
      </c>
      <c r="R277">
        <v>12.694000000000001</v>
      </c>
      <c r="S277">
        <v>39.35</v>
      </c>
      <c r="T277">
        <v>15.05</v>
      </c>
      <c r="U277">
        <v>24.08</v>
      </c>
      <c r="V277">
        <v>11.37</v>
      </c>
      <c r="W277">
        <v>57.68</v>
      </c>
      <c r="X277">
        <v>52.16</v>
      </c>
      <c r="Y277">
        <v>70.97</v>
      </c>
      <c r="Z277">
        <v>35.33</v>
      </c>
      <c r="AA277">
        <v>4153</v>
      </c>
      <c r="AB277">
        <v>4590</v>
      </c>
      <c r="AC277">
        <v>2042.5</v>
      </c>
    </row>
    <row r="278" spans="1:29" x14ac:dyDescent="0.3">
      <c r="A278" s="9">
        <v>44141</v>
      </c>
      <c r="B278">
        <v>15500</v>
      </c>
      <c r="C278">
        <v>9568</v>
      </c>
      <c r="D278">
        <v>152.30000000000001</v>
      </c>
      <c r="E278">
        <v>8.9</v>
      </c>
      <c r="F278">
        <v>10.17</v>
      </c>
      <c r="G278">
        <v>210.5</v>
      </c>
      <c r="H278">
        <v>71</v>
      </c>
      <c r="I278">
        <v>70</v>
      </c>
      <c r="J278">
        <v>4015</v>
      </c>
      <c r="K278">
        <v>1830</v>
      </c>
      <c r="L278">
        <v>23.03</v>
      </c>
      <c r="M278">
        <v>12.97</v>
      </c>
      <c r="N278">
        <v>20.55</v>
      </c>
      <c r="O278">
        <v>2.9</v>
      </c>
      <c r="P278">
        <v>4.8099999999999996</v>
      </c>
      <c r="Q278">
        <v>8010</v>
      </c>
      <c r="R278">
        <v>13.4</v>
      </c>
      <c r="S278">
        <v>39.799999999999997</v>
      </c>
      <c r="T278">
        <v>14.97</v>
      </c>
      <c r="U278">
        <v>23.1</v>
      </c>
      <c r="V278">
        <v>11.26</v>
      </c>
      <c r="W278">
        <v>56.53</v>
      </c>
      <c r="X278">
        <v>53.03</v>
      </c>
      <c r="Y278">
        <v>69.53</v>
      </c>
      <c r="Z278">
        <v>32.729999999999997</v>
      </c>
      <c r="AA278">
        <v>4205</v>
      </c>
      <c r="AB278">
        <v>4713</v>
      </c>
      <c r="AC278">
        <v>2091.5</v>
      </c>
    </row>
    <row r="279" spans="1:29" x14ac:dyDescent="0.3">
      <c r="A279" s="9">
        <v>44134</v>
      </c>
      <c r="B279">
        <v>15080</v>
      </c>
      <c r="C279">
        <v>10330</v>
      </c>
      <c r="D279">
        <v>167.8</v>
      </c>
      <c r="E279">
        <v>9.5</v>
      </c>
      <c r="F279">
        <v>13.22</v>
      </c>
      <c r="G279">
        <v>219.5</v>
      </c>
      <c r="H279">
        <v>73.5</v>
      </c>
      <c r="I279">
        <v>74.900000000000006</v>
      </c>
      <c r="J279">
        <v>4070</v>
      </c>
      <c r="K279">
        <v>1755</v>
      </c>
      <c r="L279">
        <v>24.71</v>
      </c>
      <c r="M279">
        <v>14.05</v>
      </c>
      <c r="N279">
        <v>21.55</v>
      </c>
      <c r="O279">
        <v>2.95</v>
      </c>
      <c r="P279">
        <v>5.0599999999999996</v>
      </c>
      <c r="Q279">
        <v>8160</v>
      </c>
      <c r="R279">
        <v>14</v>
      </c>
      <c r="S279">
        <v>41.78</v>
      </c>
      <c r="T279">
        <v>15.21</v>
      </c>
      <c r="U279">
        <v>23.8</v>
      </c>
      <c r="V279">
        <v>11.51</v>
      </c>
      <c r="W279">
        <v>58.66</v>
      </c>
      <c r="X279">
        <v>55.13</v>
      </c>
      <c r="Y279">
        <v>72.77</v>
      </c>
      <c r="Z279">
        <v>34.65</v>
      </c>
      <c r="AA279">
        <v>4285</v>
      </c>
      <c r="AB279">
        <v>4660</v>
      </c>
      <c r="AC279">
        <v>2142.5</v>
      </c>
    </row>
    <row r="280" spans="1:29" x14ac:dyDescent="0.3">
      <c r="A280" s="9">
        <v>44127</v>
      </c>
      <c r="B280">
        <v>15310</v>
      </c>
      <c r="C280">
        <v>9562</v>
      </c>
      <c r="D280">
        <v>147.9</v>
      </c>
      <c r="E280">
        <v>10.46</v>
      </c>
      <c r="F280">
        <v>12.88</v>
      </c>
      <c r="G280">
        <v>210.5</v>
      </c>
      <c r="H280">
        <v>71.5</v>
      </c>
      <c r="I280">
        <v>79.7</v>
      </c>
      <c r="J280">
        <v>4175</v>
      </c>
      <c r="K280">
        <v>1795</v>
      </c>
      <c r="L280">
        <v>24.82</v>
      </c>
      <c r="M280">
        <v>14.79</v>
      </c>
      <c r="N280">
        <v>22.26</v>
      </c>
      <c r="O280">
        <v>3</v>
      </c>
      <c r="P280">
        <v>5.19</v>
      </c>
      <c r="Q280">
        <v>8280</v>
      </c>
      <c r="R280">
        <v>15.1</v>
      </c>
      <c r="S280">
        <v>42.89</v>
      </c>
      <c r="T280">
        <v>15.41</v>
      </c>
      <c r="U280">
        <v>24.74</v>
      </c>
      <c r="V280">
        <v>11.63</v>
      </c>
      <c r="W280">
        <v>60.14</v>
      </c>
      <c r="X280">
        <v>56.17</v>
      </c>
      <c r="Y280">
        <v>72.400000000000006</v>
      </c>
      <c r="Z280">
        <v>34.78</v>
      </c>
      <c r="AA280">
        <v>4648</v>
      </c>
      <c r="AB280">
        <v>4969</v>
      </c>
      <c r="AC280">
        <v>2292</v>
      </c>
    </row>
    <row r="281" spans="1:29" x14ac:dyDescent="0.3">
      <c r="A281" s="9">
        <v>44120</v>
      </c>
      <c r="B281">
        <v>18340</v>
      </c>
      <c r="C281">
        <v>10435</v>
      </c>
      <c r="D281">
        <v>166.6</v>
      </c>
      <c r="E281">
        <v>11.7</v>
      </c>
      <c r="F281">
        <v>17.59</v>
      </c>
      <c r="G281">
        <v>218</v>
      </c>
      <c r="H281">
        <v>82.9</v>
      </c>
      <c r="I281">
        <v>96.2</v>
      </c>
      <c r="J281">
        <v>4815</v>
      </c>
      <c r="K281">
        <v>2200</v>
      </c>
      <c r="L281">
        <v>25.67</v>
      </c>
      <c r="M281">
        <v>14.98</v>
      </c>
      <c r="N281">
        <v>22.84</v>
      </c>
      <c r="O281">
        <v>3.08</v>
      </c>
      <c r="P281">
        <v>5.44</v>
      </c>
      <c r="Q281">
        <v>8500</v>
      </c>
      <c r="R281">
        <v>15.96</v>
      </c>
      <c r="S281">
        <v>43.17</v>
      </c>
      <c r="T281">
        <v>16.32</v>
      </c>
      <c r="U281">
        <v>26.19</v>
      </c>
      <c r="V281">
        <v>12.1</v>
      </c>
      <c r="W281">
        <v>68.739999999999995</v>
      </c>
      <c r="X281">
        <v>61.42</v>
      </c>
      <c r="Y281">
        <v>77.819999999999993</v>
      </c>
      <c r="Z281">
        <v>36.22</v>
      </c>
      <c r="AA281">
        <v>4933</v>
      </c>
      <c r="AB281">
        <v>5064</v>
      </c>
      <c r="AC281">
        <v>2309</v>
      </c>
    </row>
    <row r="282" spans="1:29" x14ac:dyDescent="0.3">
      <c r="A282" s="9">
        <v>44113</v>
      </c>
      <c r="B282">
        <v>16180</v>
      </c>
      <c r="C282">
        <v>11430</v>
      </c>
      <c r="D282">
        <v>160.1</v>
      </c>
      <c r="E282">
        <v>12.68</v>
      </c>
      <c r="F282">
        <v>18.73</v>
      </c>
      <c r="G282">
        <v>199</v>
      </c>
      <c r="H282">
        <v>75.400000000000006</v>
      </c>
      <c r="I282">
        <v>92.8</v>
      </c>
      <c r="J282">
        <v>4340</v>
      </c>
      <c r="K282">
        <v>2245</v>
      </c>
      <c r="L282">
        <v>26.05</v>
      </c>
      <c r="M282">
        <v>15.27</v>
      </c>
      <c r="N282">
        <v>23.18</v>
      </c>
      <c r="O282">
        <v>3.15</v>
      </c>
      <c r="P282">
        <v>5.57</v>
      </c>
      <c r="Q282">
        <v>8170</v>
      </c>
      <c r="R282">
        <v>17.27</v>
      </c>
      <c r="S282">
        <v>43.73</v>
      </c>
      <c r="T282">
        <v>16.690000000000001</v>
      </c>
      <c r="U282">
        <v>27.48</v>
      </c>
      <c r="V282">
        <v>12.49</v>
      </c>
      <c r="W282">
        <v>71.83</v>
      </c>
      <c r="X282">
        <v>63.31</v>
      </c>
      <c r="Y282">
        <v>81.69</v>
      </c>
      <c r="Z282">
        <v>38.159999999999997</v>
      </c>
      <c r="AA282">
        <v>4899</v>
      </c>
      <c r="AB282">
        <v>5078</v>
      </c>
      <c r="AC282">
        <v>2325</v>
      </c>
    </row>
    <row r="283" spans="1:29" x14ac:dyDescent="0.3">
      <c r="A283" s="9">
        <v>44106</v>
      </c>
      <c r="B283">
        <v>16780</v>
      </c>
      <c r="C283">
        <v>12100</v>
      </c>
      <c r="D283">
        <v>164.2</v>
      </c>
      <c r="E283">
        <v>12.56</v>
      </c>
      <c r="F283">
        <v>21.04</v>
      </c>
      <c r="G283">
        <v>204</v>
      </c>
      <c r="H283">
        <v>75.900000000000006</v>
      </c>
      <c r="I283">
        <v>92.3</v>
      </c>
      <c r="J283">
        <v>4255</v>
      </c>
      <c r="K283">
        <v>2190</v>
      </c>
      <c r="L283">
        <v>26.99</v>
      </c>
      <c r="M283">
        <v>14.5</v>
      </c>
      <c r="N283">
        <v>22.11</v>
      </c>
      <c r="O283">
        <v>3.15</v>
      </c>
      <c r="P283">
        <v>5.4</v>
      </c>
      <c r="Q283">
        <v>8110</v>
      </c>
      <c r="R283">
        <v>18.170000000000002</v>
      </c>
      <c r="S283">
        <v>48.07</v>
      </c>
      <c r="T283">
        <v>17.32</v>
      </c>
      <c r="U283">
        <v>28.55</v>
      </c>
      <c r="V283">
        <v>12.21</v>
      </c>
      <c r="W283">
        <v>72.5</v>
      </c>
      <c r="X283">
        <v>65.13</v>
      </c>
      <c r="Y283">
        <v>81.39</v>
      </c>
      <c r="Z283">
        <v>37.770000000000003</v>
      </c>
      <c r="AA283">
        <v>4985</v>
      </c>
      <c r="AB283">
        <v>5184</v>
      </c>
      <c r="AC283">
        <v>2331.5</v>
      </c>
    </row>
    <row r="284" spans="1:29" x14ac:dyDescent="0.3">
      <c r="A284" s="9">
        <v>44099</v>
      </c>
      <c r="B284">
        <v>18000</v>
      </c>
      <c r="C284">
        <v>12465</v>
      </c>
      <c r="D284">
        <v>174.1</v>
      </c>
      <c r="E284">
        <v>13.06</v>
      </c>
      <c r="F284">
        <v>22.54</v>
      </c>
      <c r="G284">
        <v>193</v>
      </c>
      <c r="H284">
        <v>74.599999999999994</v>
      </c>
      <c r="I284">
        <v>88.6</v>
      </c>
      <c r="J284">
        <v>4305</v>
      </c>
      <c r="K284">
        <v>2490</v>
      </c>
      <c r="L284">
        <v>27.08</v>
      </c>
      <c r="M284">
        <v>14.39</v>
      </c>
      <c r="N284">
        <v>22.52</v>
      </c>
      <c r="O284">
        <v>2.99</v>
      </c>
      <c r="P284">
        <v>5.67</v>
      </c>
      <c r="Q284">
        <v>8330</v>
      </c>
      <c r="R284">
        <v>21.93</v>
      </c>
      <c r="S284">
        <v>50.61</v>
      </c>
      <c r="T284">
        <v>17.489999999999998</v>
      </c>
      <c r="U284">
        <v>28.32</v>
      </c>
      <c r="V284">
        <v>12.1</v>
      </c>
      <c r="W284">
        <v>72.83</v>
      </c>
      <c r="X284">
        <v>64.42</v>
      </c>
      <c r="Y284">
        <v>82.07</v>
      </c>
      <c r="Z284">
        <v>37.049999999999997</v>
      </c>
      <c r="AA284">
        <v>5050</v>
      </c>
      <c r="AB284">
        <v>5209</v>
      </c>
      <c r="AC284">
        <v>2467</v>
      </c>
    </row>
    <row r="285" spans="1:29" x14ac:dyDescent="0.3">
      <c r="A285" s="9">
        <v>44092</v>
      </c>
      <c r="B285">
        <v>19500</v>
      </c>
      <c r="C285">
        <v>12175</v>
      </c>
      <c r="D285">
        <v>180.8</v>
      </c>
      <c r="E285">
        <v>15.04</v>
      </c>
      <c r="F285">
        <v>19.54</v>
      </c>
      <c r="G285">
        <v>184</v>
      </c>
      <c r="H285">
        <v>72.3</v>
      </c>
      <c r="I285">
        <v>83.7</v>
      </c>
      <c r="J285">
        <v>4280</v>
      </c>
      <c r="K285">
        <v>2410</v>
      </c>
      <c r="L285">
        <v>25.58</v>
      </c>
      <c r="M285">
        <v>13.41</v>
      </c>
      <c r="N285">
        <v>21.74</v>
      </c>
      <c r="O285">
        <v>2.99</v>
      </c>
      <c r="P285">
        <v>6.02</v>
      </c>
      <c r="Q285">
        <v>8390</v>
      </c>
      <c r="R285">
        <v>20.68</v>
      </c>
      <c r="S285">
        <v>44.27</v>
      </c>
      <c r="T285">
        <v>16.489999999999998</v>
      </c>
      <c r="U285">
        <v>26.25</v>
      </c>
      <c r="V285">
        <v>11.58</v>
      </c>
      <c r="W285">
        <v>69.73</v>
      </c>
      <c r="X285">
        <v>61.66</v>
      </c>
      <c r="Y285">
        <v>80.37</v>
      </c>
      <c r="Z285">
        <v>36.56</v>
      </c>
      <c r="AA285">
        <v>4777</v>
      </c>
      <c r="AB285">
        <v>4964</v>
      </c>
      <c r="AC285">
        <v>2321.5</v>
      </c>
    </row>
    <row r="286" spans="1:29" x14ac:dyDescent="0.3">
      <c r="A286" s="9">
        <v>44085</v>
      </c>
      <c r="B286">
        <v>18050</v>
      </c>
      <c r="C286">
        <v>11400</v>
      </c>
      <c r="D286">
        <v>164.6</v>
      </c>
      <c r="E286">
        <v>13.52</v>
      </c>
      <c r="F286">
        <v>18.53</v>
      </c>
      <c r="G286">
        <v>173.5</v>
      </c>
      <c r="H286">
        <v>64</v>
      </c>
      <c r="I286">
        <v>76.400000000000006</v>
      </c>
      <c r="J286">
        <v>4080</v>
      </c>
      <c r="K286">
        <v>2335</v>
      </c>
      <c r="L286">
        <v>23.77</v>
      </c>
      <c r="M286">
        <v>12.85</v>
      </c>
      <c r="N286">
        <v>20.45</v>
      </c>
      <c r="O286">
        <v>2.85</v>
      </c>
      <c r="P286">
        <v>5.73</v>
      </c>
      <c r="Q286">
        <v>8150</v>
      </c>
      <c r="R286">
        <v>16.760000000000002</v>
      </c>
      <c r="S286">
        <v>40.65</v>
      </c>
      <c r="T286">
        <v>15.88</v>
      </c>
      <c r="U286">
        <v>24.04</v>
      </c>
      <c r="V286">
        <v>11.21</v>
      </c>
      <c r="W286">
        <v>65.61</v>
      </c>
      <c r="X286">
        <v>54.89</v>
      </c>
      <c r="Y286">
        <v>75.37</v>
      </c>
      <c r="Z286">
        <v>33.96</v>
      </c>
      <c r="AA286">
        <v>4638</v>
      </c>
      <c r="AB286">
        <v>4778</v>
      </c>
      <c r="AC286">
        <v>2269</v>
      </c>
    </row>
    <row r="287" spans="1:29" x14ac:dyDescent="0.3">
      <c r="A287" s="9">
        <v>44078</v>
      </c>
      <c r="B287">
        <v>19140</v>
      </c>
      <c r="C287">
        <v>11420</v>
      </c>
      <c r="D287">
        <v>174.2</v>
      </c>
      <c r="E287">
        <v>14.1</v>
      </c>
      <c r="F287">
        <v>19.649999999999999</v>
      </c>
      <c r="G287">
        <v>167</v>
      </c>
      <c r="H287">
        <v>60.2</v>
      </c>
      <c r="I287">
        <v>71.099999999999994</v>
      </c>
      <c r="J287">
        <v>4080</v>
      </c>
      <c r="K287">
        <v>2250</v>
      </c>
      <c r="L287">
        <v>24.1</v>
      </c>
      <c r="M287">
        <v>13.51</v>
      </c>
      <c r="N287">
        <v>21.04</v>
      </c>
      <c r="O287">
        <v>2.83</v>
      </c>
      <c r="P287">
        <v>5.79</v>
      </c>
      <c r="Q287">
        <v>8330</v>
      </c>
      <c r="R287">
        <v>17.88</v>
      </c>
      <c r="S287">
        <v>42.67</v>
      </c>
      <c r="T287">
        <v>16.72</v>
      </c>
      <c r="U287">
        <v>25.69</v>
      </c>
      <c r="V287">
        <v>11.68</v>
      </c>
      <c r="W287">
        <v>69.66</v>
      </c>
      <c r="X287">
        <v>59.91</v>
      </c>
      <c r="Y287">
        <v>82.1</v>
      </c>
      <c r="Z287">
        <v>36.11</v>
      </c>
      <c r="AA287">
        <v>4682</v>
      </c>
      <c r="AB287">
        <v>4818</v>
      </c>
      <c r="AC287">
        <v>2340</v>
      </c>
    </row>
    <row r="288" spans="1:29" x14ac:dyDescent="0.3">
      <c r="A288" s="9">
        <v>44071</v>
      </c>
      <c r="B288">
        <v>19630</v>
      </c>
      <c r="C288">
        <v>12105</v>
      </c>
      <c r="D288">
        <v>173.3</v>
      </c>
      <c r="E288">
        <v>13.66</v>
      </c>
      <c r="F288">
        <v>22.17</v>
      </c>
      <c r="G288">
        <v>165.5</v>
      </c>
      <c r="H288">
        <v>60.3</v>
      </c>
      <c r="I288">
        <v>73.900000000000006</v>
      </c>
      <c r="J288">
        <v>4285</v>
      </c>
      <c r="K288">
        <v>2895</v>
      </c>
      <c r="L288">
        <v>24.38</v>
      </c>
      <c r="M288">
        <v>13.8</v>
      </c>
      <c r="N288">
        <v>21.31</v>
      </c>
      <c r="O288">
        <v>2.86</v>
      </c>
      <c r="P288">
        <v>5.82</v>
      </c>
      <c r="Q288">
        <v>8780</v>
      </c>
      <c r="R288">
        <v>19.079999999999998</v>
      </c>
      <c r="S288">
        <v>41.96</v>
      </c>
      <c r="T288">
        <v>17.46</v>
      </c>
      <c r="U288">
        <v>25.76</v>
      </c>
      <c r="V288">
        <v>11.57</v>
      </c>
      <c r="W288">
        <v>68.81</v>
      </c>
      <c r="X288">
        <v>59.13</v>
      </c>
      <c r="Y288">
        <v>81.290000000000006</v>
      </c>
      <c r="Z288">
        <v>38.770000000000003</v>
      </c>
      <c r="AA288">
        <v>4923</v>
      </c>
      <c r="AB288">
        <v>5111</v>
      </c>
      <c r="AC288">
        <v>2700.5</v>
      </c>
    </row>
    <row r="289" spans="1:29" x14ac:dyDescent="0.3">
      <c r="A289" s="9">
        <v>44064</v>
      </c>
      <c r="B289">
        <v>19370</v>
      </c>
      <c r="C289">
        <v>12315</v>
      </c>
      <c r="D289">
        <v>162.19999999999999</v>
      </c>
      <c r="E289">
        <v>13.46</v>
      </c>
      <c r="F289">
        <v>22.11</v>
      </c>
      <c r="G289">
        <v>171</v>
      </c>
      <c r="H289">
        <v>64.099999999999994</v>
      </c>
      <c r="I289">
        <v>79.7</v>
      </c>
      <c r="J289">
        <v>4060</v>
      </c>
      <c r="K289">
        <v>2510</v>
      </c>
      <c r="L289">
        <v>24.21</v>
      </c>
      <c r="M289">
        <v>13.62</v>
      </c>
      <c r="N289">
        <v>21.08</v>
      </c>
      <c r="O289">
        <v>2.88</v>
      </c>
      <c r="P289">
        <v>5.86</v>
      </c>
      <c r="Q289">
        <v>8240</v>
      </c>
      <c r="R289">
        <v>18.13</v>
      </c>
      <c r="S289">
        <v>43.68</v>
      </c>
      <c r="T289">
        <v>17.7</v>
      </c>
      <c r="U289">
        <v>24.36</v>
      </c>
      <c r="V289">
        <v>10.95</v>
      </c>
      <c r="W289">
        <v>66.209999999999994</v>
      </c>
      <c r="X289">
        <v>58.33</v>
      </c>
      <c r="Y289">
        <v>79.89</v>
      </c>
      <c r="Z289">
        <v>38.869999999999997</v>
      </c>
      <c r="AA289">
        <v>4663</v>
      </c>
      <c r="AB289">
        <v>4843</v>
      </c>
      <c r="AC289">
        <v>2410.5</v>
      </c>
    </row>
    <row r="290" spans="1:29" x14ac:dyDescent="0.3">
      <c r="A290" s="9">
        <v>44057</v>
      </c>
      <c r="B290">
        <v>17560</v>
      </c>
      <c r="C290">
        <v>10890</v>
      </c>
      <c r="D290">
        <v>149</v>
      </c>
      <c r="E290">
        <v>11.5</v>
      </c>
      <c r="F290">
        <v>17.05</v>
      </c>
      <c r="G290">
        <v>173</v>
      </c>
      <c r="H290">
        <v>60.8</v>
      </c>
      <c r="I290">
        <v>77.2</v>
      </c>
      <c r="J290">
        <v>3905</v>
      </c>
      <c r="K290">
        <v>2230</v>
      </c>
      <c r="L290">
        <v>24.13</v>
      </c>
      <c r="M290">
        <v>13.22</v>
      </c>
      <c r="N290">
        <v>20.93</v>
      </c>
      <c r="O290">
        <v>2.81</v>
      </c>
      <c r="P290">
        <v>5.62</v>
      </c>
      <c r="Q290">
        <v>8130</v>
      </c>
      <c r="R290">
        <v>15.7</v>
      </c>
      <c r="S290">
        <v>39.85</v>
      </c>
      <c r="T290">
        <v>17.100000000000001</v>
      </c>
      <c r="U290">
        <v>23.54</v>
      </c>
      <c r="V290">
        <v>10.91</v>
      </c>
      <c r="W290">
        <v>62.94</v>
      </c>
      <c r="X290">
        <v>55.69</v>
      </c>
      <c r="Y290">
        <v>76.41</v>
      </c>
      <c r="Z290">
        <v>37.28</v>
      </c>
      <c r="AA290">
        <v>4566</v>
      </c>
      <c r="AB290">
        <v>4690</v>
      </c>
      <c r="AC290">
        <v>2316.5</v>
      </c>
    </row>
    <row r="291" spans="1:29" x14ac:dyDescent="0.3">
      <c r="A291" s="9">
        <v>44050</v>
      </c>
      <c r="B291">
        <v>17250</v>
      </c>
      <c r="C291">
        <v>10605</v>
      </c>
      <c r="D291">
        <v>149.30000000000001</v>
      </c>
      <c r="E291">
        <v>10.62</v>
      </c>
      <c r="F291">
        <v>16.93</v>
      </c>
      <c r="G291">
        <v>186</v>
      </c>
      <c r="H291">
        <v>63.8</v>
      </c>
      <c r="I291">
        <v>80.8</v>
      </c>
      <c r="J291">
        <v>3765</v>
      </c>
      <c r="K291">
        <v>2060</v>
      </c>
      <c r="L291">
        <v>23.81</v>
      </c>
      <c r="M291">
        <v>12.97</v>
      </c>
      <c r="N291">
        <v>20.239999999999998</v>
      </c>
      <c r="O291">
        <v>2.81</v>
      </c>
      <c r="P291">
        <v>5.47</v>
      </c>
      <c r="Q291">
        <v>8160</v>
      </c>
      <c r="R291">
        <v>15.79</v>
      </c>
      <c r="S291">
        <v>39.28</v>
      </c>
      <c r="T291">
        <v>16.920000000000002</v>
      </c>
      <c r="U291">
        <v>23.96</v>
      </c>
      <c r="V291">
        <v>11.24</v>
      </c>
      <c r="W291">
        <v>62.77</v>
      </c>
      <c r="X291">
        <v>56.17</v>
      </c>
      <c r="Y291">
        <v>75.349999999999994</v>
      </c>
      <c r="Z291">
        <v>37.76</v>
      </c>
      <c r="AA291">
        <v>4597</v>
      </c>
      <c r="AB291">
        <v>4545</v>
      </c>
      <c r="AC291">
        <v>2242</v>
      </c>
    </row>
    <row r="292" spans="1:29" x14ac:dyDescent="0.3">
      <c r="A292" s="9">
        <v>44043</v>
      </c>
      <c r="B292">
        <v>17090</v>
      </c>
      <c r="C292">
        <v>10480</v>
      </c>
      <c r="D292">
        <v>149.5</v>
      </c>
      <c r="E292">
        <v>10.74</v>
      </c>
      <c r="F292">
        <v>17.03</v>
      </c>
      <c r="G292">
        <v>189.5</v>
      </c>
      <c r="H292">
        <v>63.6</v>
      </c>
      <c r="I292">
        <v>79.5</v>
      </c>
      <c r="J292">
        <v>3800</v>
      </c>
      <c r="K292">
        <v>2060</v>
      </c>
      <c r="L292">
        <v>22.89</v>
      </c>
      <c r="M292">
        <v>12.48</v>
      </c>
      <c r="N292">
        <v>19.559999999999999</v>
      </c>
      <c r="O292">
        <v>2.69</v>
      </c>
      <c r="P292">
        <v>5.45</v>
      </c>
      <c r="Q292">
        <v>8250</v>
      </c>
      <c r="R292">
        <v>15.74</v>
      </c>
      <c r="S292">
        <v>41.43</v>
      </c>
      <c r="T292">
        <v>16.23</v>
      </c>
      <c r="U292">
        <v>23.59</v>
      </c>
      <c r="V292">
        <v>11.54</v>
      </c>
      <c r="W292">
        <v>62.61</v>
      </c>
      <c r="X292">
        <v>54.84</v>
      </c>
      <c r="Y292">
        <v>72.69</v>
      </c>
      <c r="Z292">
        <v>37.5</v>
      </c>
      <c r="AA292">
        <v>4596</v>
      </c>
      <c r="AB292">
        <v>4692</v>
      </c>
      <c r="AC292">
        <v>2155</v>
      </c>
    </row>
    <row r="293" spans="1:29" x14ac:dyDescent="0.3">
      <c r="A293" s="9">
        <v>44036</v>
      </c>
      <c r="B293">
        <v>18210</v>
      </c>
      <c r="C293">
        <v>10835</v>
      </c>
      <c r="D293">
        <v>157.5</v>
      </c>
      <c r="E293">
        <v>11.14</v>
      </c>
      <c r="F293">
        <v>18.989999999999998</v>
      </c>
      <c r="G293">
        <v>188</v>
      </c>
      <c r="H293">
        <v>64.5</v>
      </c>
      <c r="I293">
        <v>82.9</v>
      </c>
      <c r="J293">
        <v>3715</v>
      </c>
      <c r="K293">
        <v>2140</v>
      </c>
      <c r="L293">
        <v>21.4</v>
      </c>
      <c r="M293">
        <v>11.52</v>
      </c>
      <c r="N293">
        <v>18.170000000000002</v>
      </c>
      <c r="O293">
        <v>2.46</v>
      </c>
      <c r="P293">
        <v>4.76</v>
      </c>
      <c r="Q293">
        <v>8320</v>
      </c>
      <c r="R293">
        <v>15.17</v>
      </c>
      <c r="S293">
        <v>38.07</v>
      </c>
      <c r="T293">
        <v>15.72</v>
      </c>
      <c r="U293">
        <v>23.3</v>
      </c>
      <c r="V293">
        <v>11.25</v>
      </c>
      <c r="W293">
        <v>58.09</v>
      </c>
      <c r="X293">
        <v>51.85</v>
      </c>
      <c r="Y293">
        <v>74.14</v>
      </c>
      <c r="Z293">
        <v>36.5</v>
      </c>
      <c r="AA293">
        <v>4526</v>
      </c>
      <c r="AB293">
        <v>4561</v>
      </c>
      <c r="AC293">
        <v>1910</v>
      </c>
    </row>
    <row r="294" spans="1:29" x14ac:dyDescent="0.3">
      <c r="A294" s="9">
        <v>44029</v>
      </c>
      <c r="B294">
        <v>17370</v>
      </c>
      <c r="C294">
        <v>10560</v>
      </c>
      <c r="D294">
        <v>153.9</v>
      </c>
      <c r="E294">
        <v>10.4</v>
      </c>
      <c r="F294">
        <v>18.32</v>
      </c>
      <c r="G294">
        <v>180</v>
      </c>
      <c r="H294">
        <v>62.1</v>
      </c>
      <c r="I294">
        <v>78.2</v>
      </c>
      <c r="J294">
        <v>3660</v>
      </c>
      <c r="K294">
        <v>2030</v>
      </c>
      <c r="L294">
        <v>20.97</v>
      </c>
      <c r="M294">
        <v>11.67</v>
      </c>
      <c r="N294">
        <v>17.329999999999998</v>
      </c>
      <c r="O294">
        <v>2.48</v>
      </c>
      <c r="P294">
        <v>4.78</v>
      </c>
      <c r="Q294">
        <v>8760</v>
      </c>
      <c r="R294">
        <v>15.25</v>
      </c>
      <c r="S294">
        <v>35.72</v>
      </c>
      <c r="T294">
        <v>15.45</v>
      </c>
      <c r="U294">
        <v>23.06</v>
      </c>
      <c r="V294">
        <v>10.92</v>
      </c>
      <c r="W294">
        <v>55.32</v>
      </c>
      <c r="X294">
        <v>49.12</v>
      </c>
      <c r="Y294">
        <v>74.27</v>
      </c>
      <c r="Z294">
        <v>36.93</v>
      </c>
      <c r="AA294">
        <v>4980</v>
      </c>
      <c r="AB294">
        <v>4977</v>
      </c>
      <c r="AC294">
        <v>2150</v>
      </c>
    </row>
    <row r="295" spans="1:29" x14ac:dyDescent="0.3">
      <c r="A295" s="9">
        <v>44022</v>
      </c>
      <c r="B295">
        <v>17940</v>
      </c>
      <c r="C295">
        <v>10530</v>
      </c>
      <c r="D295">
        <v>146.9</v>
      </c>
      <c r="E295">
        <v>11.02</v>
      </c>
      <c r="F295">
        <v>19.059999999999999</v>
      </c>
      <c r="G295">
        <v>186.5</v>
      </c>
      <c r="H295">
        <v>62.4</v>
      </c>
      <c r="I295">
        <v>79.2</v>
      </c>
      <c r="J295">
        <v>3800</v>
      </c>
      <c r="K295">
        <v>2000</v>
      </c>
      <c r="L295">
        <v>21.15</v>
      </c>
      <c r="M295">
        <v>12.04</v>
      </c>
      <c r="N295">
        <v>17.71</v>
      </c>
      <c r="O295">
        <v>2.4700000000000002</v>
      </c>
      <c r="P295">
        <v>4.97</v>
      </c>
      <c r="Q295">
        <v>9610</v>
      </c>
      <c r="R295">
        <v>15.97</v>
      </c>
      <c r="S295">
        <v>38.409999999999997</v>
      </c>
      <c r="T295">
        <v>16.079999999999998</v>
      </c>
      <c r="U295">
        <v>25.16</v>
      </c>
      <c r="V295">
        <v>11.35</v>
      </c>
      <c r="W295">
        <v>57.85</v>
      </c>
      <c r="X295">
        <v>50.69</v>
      </c>
      <c r="Y295">
        <v>73.44</v>
      </c>
      <c r="Z295">
        <v>37.270000000000003</v>
      </c>
      <c r="AA295">
        <v>5078</v>
      </c>
      <c r="AB295">
        <v>5045</v>
      </c>
      <c r="AC295">
        <v>2121</v>
      </c>
    </row>
    <row r="296" spans="1:29" x14ac:dyDescent="0.3">
      <c r="A296" s="9">
        <v>44015</v>
      </c>
      <c r="B296">
        <v>17630</v>
      </c>
      <c r="C296">
        <v>10570</v>
      </c>
      <c r="D296">
        <v>152</v>
      </c>
      <c r="E296">
        <v>10.48</v>
      </c>
      <c r="F296">
        <v>20.170000000000002</v>
      </c>
      <c r="G296">
        <v>189</v>
      </c>
      <c r="H296">
        <v>63.6</v>
      </c>
      <c r="I296">
        <v>81.099999999999994</v>
      </c>
      <c r="J296">
        <v>3730</v>
      </c>
      <c r="K296">
        <v>1921</v>
      </c>
      <c r="L296">
        <v>21.23</v>
      </c>
      <c r="M296">
        <v>12.24</v>
      </c>
      <c r="N296">
        <v>17.170000000000002</v>
      </c>
      <c r="O296">
        <v>2.4</v>
      </c>
      <c r="P296">
        <v>4.97</v>
      </c>
      <c r="Q296">
        <v>9240</v>
      </c>
      <c r="R296">
        <v>16.649999999999999</v>
      </c>
      <c r="S296">
        <v>38.299999999999997</v>
      </c>
      <c r="T296">
        <v>16.399999999999999</v>
      </c>
      <c r="U296">
        <v>24</v>
      </c>
      <c r="V296">
        <v>10.67</v>
      </c>
      <c r="W296">
        <v>55.71</v>
      </c>
      <c r="X296">
        <v>50.88</v>
      </c>
      <c r="Y296">
        <v>70.510000000000005</v>
      </c>
      <c r="Z296">
        <v>38.32</v>
      </c>
      <c r="AA296">
        <v>5273</v>
      </c>
      <c r="AB296">
        <v>5237</v>
      </c>
      <c r="AC296">
        <v>2138.5</v>
      </c>
    </row>
    <row r="297" spans="1:29" x14ac:dyDescent="0.3">
      <c r="A297" s="9">
        <v>44008</v>
      </c>
      <c r="B297">
        <v>16970</v>
      </c>
      <c r="C297">
        <v>10065</v>
      </c>
      <c r="D297">
        <v>146.4</v>
      </c>
      <c r="E297">
        <v>10.7</v>
      </c>
      <c r="F297">
        <v>18.27</v>
      </c>
      <c r="G297">
        <v>212</v>
      </c>
      <c r="H297">
        <v>72.900000000000006</v>
      </c>
      <c r="I297">
        <v>107.5</v>
      </c>
      <c r="J297">
        <v>3705</v>
      </c>
      <c r="K297">
        <v>1955</v>
      </c>
      <c r="L297">
        <v>21.37</v>
      </c>
      <c r="M297">
        <v>12.3</v>
      </c>
      <c r="N297">
        <v>17.59</v>
      </c>
      <c r="O297">
        <v>2.5</v>
      </c>
      <c r="P297">
        <v>5.1100000000000003</v>
      </c>
      <c r="Q297">
        <v>9150</v>
      </c>
      <c r="R297">
        <v>15.85</v>
      </c>
      <c r="S297">
        <v>38.99</v>
      </c>
      <c r="T297">
        <v>16.809999999999999</v>
      </c>
      <c r="U297">
        <v>24.14</v>
      </c>
      <c r="V297">
        <v>10.83</v>
      </c>
      <c r="W297">
        <v>56.88</v>
      </c>
      <c r="X297">
        <v>51.83</v>
      </c>
      <c r="Y297">
        <v>71.540000000000006</v>
      </c>
      <c r="Z297">
        <v>36.090000000000003</v>
      </c>
      <c r="AA297">
        <v>4797</v>
      </c>
      <c r="AB297">
        <v>4889</v>
      </c>
      <c r="AC297">
        <v>2010.5</v>
      </c>
    </row>
    <row r="298" spans="1:29" x14ac:dyDescent="0.3">
      <c r="A298" s="9">
        <v>44001</v>
      </c>
      <c r="B298">
        <v>16270</v>
      </c>
      <c r="C298">
        <v>9698</v>
      </c>
      <c r="D298">
        <v>137</v>
      </c>
      <c r="E298">
        <v>10.119999999999999</v>
      </c>
      <c r="F298">
        <v>16.18</v>
      </c>
      <c r="G298">
        <v>186</v>
      </c>
      <c r="H298">
        <v>64.099999999999994</v>
      </c>
      <c r="I298">
        <v>89.3</v>
      </c>
      <c r="J298">
        <v>3380</v>
      </c>
      <c r="K298">
        <v>1796</v>
      </c>
      <c r="L298">
        <v>19.87</v>
      </c>
      <c r="M298">
        <v>11.37</v>
      </c>
      <c r="N298">
        <v>16.63</v>
      </c>
      <c r="O298">
        <v>2.31</v>
      </c>
      <c r="P298">
        <v>4.5999999999999996</v>
      </c>
      <c r="Q298">
        <v>8990</v>
      </c>
      <c r="R298">
        <v>14.76</v>
      </c>
      <c r="S298">
        <v>35.85</v>
      </c>
      <c r="T298">
        <v>15.53</v>
      </c>
      <c r="U298">
        <v>22.22</v>
      </c>
      <c r="V298">
        <v>10.51</v>
      </c>
      <c r="W298">
        <v>53.4</v>
      </c>
      <c r="X298">
        <v>49.86</v>
      </c>
      <c r="Y298">
        <v>67.709999999999994</v>
      </c>
      <c r="Z298">
        <v>33.04</v>
      </c>
      <c r="AA298">
        <v>4685</v>
      </c>
      <c r="AB298">
        <v>4753</v>
      </c>
      <c r="AC298">
        <v>1968</v>
      </c>
    </row>
    <row r="299" spans="1:29" x14ac:dyDescent="0.3">
      <c r="A299" s="9">
        <v>43994</v>
      </c>
      <c r="B299">
        <v>16860</v>
      </c>
      <c r="C299">
        <v>10200</v>
      </c>
      <c r="D299">
        <v>141.1</v>
      </c>
      <c r="E299">
        <v>10.26</v>
      </c>
      <c r="F299">
        <v>18.3</v>
      </c>
      <c r="G299">
        <v>186</v>
      </c>
      <c r="H299">
        <v>62.8</v>
      </c>
      <c r="I299">
        <v>83</v>
      </c>
      <c r="J299">
        <v>3515</v>
      </c>
      <c r="K299">
        <v>1851</v>
      </c>
      <c r="L299">
        <v>20.8</v>
      </c>
      <c r="M299">
        <v>11.65</v>
      </c>
      <c r="N299">
        <v>17.239999999999998</v>
      </c>
      <c r="O299">
        <v>2.35</v>
      </c>
      <c r="P299">
        <v>4.75</v>
      </c>
      <c r="Q299">
        <v>9090</v>
      </c>
      <c r="R299">
        <v>14.41</v>
      </c>
      <c r="S299">
        <v>34.47</v>
      </c>
      <c r="T299">
        <v>15.66</v>
      </c>
      <c r="U299">
        <v>22.37</v>
      </c>
      <c r="V299">
        <v>10.95</v>
      </c>
      <c r="W299">
        <v>55.11</v>
      </c>
      <c r="X299">
        <v>49.32</v>
      </c>
      <c r="Y299">
        <v>68.02</v>
      </c>
      <c r="Z299">
        <v>34.049999999999997</v>
      </c>
      <c r="AA299">
        <v>5058</v>
      </c>
      <c r="AB299">
        <v>5000</v>
      </c>
      <c r="AC299">
        <v>2135</v>
      </c>
    </row>
    <row r="300" spans="1:29" x14ac:dyDescent="0.3">
      <c r="A300" s="9">
        <v>43987</v>
      </c>
      <c r="B300">
        <v>17630</v>
      </c>
      <c r="C300">
        <v>10720</v>
      </c>
      <c r="D300">
        <v>151.5</v>
      </c>
      <c r="E300">
        <v>11.24</v>
      </c>
      <c r="F300">
        <v>20.059999999999999</v>
      </c>
      <c r="G300">
        <v>196.5</v>
      </c>
      <c r="H300">
        <v>65.900000000000006</v>
      </c>
      <c r="I300">
        <v>85.3</v>
      </c>
      <c r="J300">
        <v>3540</v>
      </c>
      <c r="K300">
        <v>1913</v>
      </c>
      <c r="L300">
        <v>21.59</v>
      </c>
      <c r="M300">
        <v>12.18</v>
      </c>
      <c r="N300">
        <v>17.97</v>
      </c>
      <c r="O300">
        <v>2.38</v>
      </c>
      <c r="P300">
        <v>4.84</v>
      </c>
      <c r="Q300">
        <v>9190</v>
      </c>
      <c r="R300">
        <v>14.03</v>
      </c>
      <c r="S300">
        <v>34.590000000000003</v>
      </c>
      <c r="T300">
        <v>15.95</v>
      </c>
      <c r="U300">
        <v>22.25</v>
      </c>
      <c r="V300">
        <v>10.79</v>
      </c>
      <c r="W300">
        <v>55.77</v>
      </c>
      <c r="X300">
        <v>50.24</v>
      </c>
      <c r="Y300">
        <v>68.260000000000005</v>
      </c>
      <c r="Z300">
        <v>35.11</v>
      </c>
      <c r="AA300">
        <v>5314</v>
      </c>
      <c r="AB300">
        <v>5063</v>
      </c>
      <c r="AC300">
        <v>2258</v>
      </c>
    </row>
    <row r="301" spans="1:29" x14ac:dyDescent="0.3">
      <c r="A301" s="9">
        <v>43980</v>
      </c>
      <c r="B301">
        <v>18860</v>
      </c>
      <c r="C301">
        <v>10825</v>
      </c>
      <c r="D301">
        <v>163.19999999999999</v>
      </c>
      <c r="E301">
        <v>12.84</v>
      </c>
      <c r="F301">
        <v>24.24</v>
      </c>
      <c r="G301">
        <v>207.5</v>
      </c>
      <c r="H301">
        <v>67.8</v>
      </c>
      <c r="I301">
        <v>86.9</v>
      </c>
      <c r="J301">
        <v>4015</v>
      </c>
      <c r="K301">
        <v>2105</v>
      </c>
      <c r="L301">
        <v>23.54</v>
      </c>
      <c r="M301">
        <v>13.17</v>
      </c>
      <c r="N301">
        <v>19.16</v>
      </c>
      <c r="O301">
        <v>2.5299999999999998</v>
      </c>
      <c r="P301">
        <v>5.16</v>
      </c>
      <c r="Q301">
        <v>9550</v>
      </c>
      <c r="R301">
        <v>14.36</v>
      </c>
      <c r="S301">
        <v>33.97</v>
      </c>
      <c r="T301">
        <v>16.37</v>
      </c>
      <c r="U301">
        <v>22.83</v>
      </c>
      <c r="V301">
        <v>11.07</v>
      </c>
      <c r="W301">
        <v>58.31</v>
      </c>
      <c r="X301">
        <v>51.82</v>
      </c>
      <c r="Y301">
        <v>71.650000000000006</v>
      </c>
      <c r="Z301">
        <v>34.24</v>
      </c>
      <c r="AA301">
        <v>4969</v>
      </c>
      <c r="AB301">
        <v>4820</v>
      </c>
      <c r="AC301">
        <v>2067</v>
      </c>
    </row>
    <row r="302" spans="1:29" x14ac:dyDescent="0.3">
      <c r="A302" s="9">
        <v>43973</v>
      </c>
      <c r="B302">
        <v>17100</v>
      </c>
      <c r="C302">
        <v>9740</v>
      </c>
      <c r="D302">
        <v>138.69999999999999</v>
      </c>
      <c r="E302">
        <v>12.18</v>
      </c>
      <c r="F302">
        <v>18.95</v>
      </c>
      <c r="G302">
        <v>213</v>
      </c>
      <c r="H302">
        <v>70</v>
      </c>
      <c r="I302">
        <v>94.2</v>
      </c>
      <c r="J302">
        <v>3670</v>
      </c>
      <c r="K302">
        <v>1940</v>
      </c>
      <c r="L302">
        <v>22.71</v>
      </c>
      <c r="M302">
        <v>12.98</v>
      </c>
      <c r="N302">
        <v>18.420000000000002</v>
      </c>
      <c r="O302">
        <v>2.4700000000000002</v>
      </c>
      <c r="P302">
        <v>5.15</v>
      </c>
      <c r="Q302">
        <v>9350</v>
      </c>
      <c r="R302">
        <v>15.64</v>
      </c>
      <c r="S302">
        <v>35.81</v>
      </c>
      <c r="T302">
        <v>16.66</v>
      </c>
      <c r="U302">
        <v>24.51</v>
      </c>
      <c r="V302">
        <v>11.9</v>
      </c>
      <c r="W302">
        <v>61.12</v>
      </c>
      <c r="X302">
        <v>53.5</v>
      </c>
      <c r="Y302">
        <v>72.94</v>
      </c>
      <c r="Z302">
        <v>32.92</v>
      </c>
      <c r="AA302">
        <v>4872</v>
      </c>
      <c r="AB302">
        <v>4854</v>
      </c>
      <c r="AC302">
        <v>2027</v>
      </c>
    </row>
    <row r="303" spans="1:29" x14ac:dyDescent="0.3">
      <c r="A303" s="9">
        <v>43966</v>
      </c>
      <c r="B303">
        <v>16870</v>
      </c>
      <c r="C303">
        <v>10105</v>
      </c>
      <c r="D303">
        <v>142</v>
      </c>
      <c r="E303">
        <v>11.84</v>
      </c>
      <c r="F303">
        <v>19.8</v>
      </c>
      <c r="G303">
        <v>218</v>
      </c>
      <c r="H303">
        <v>71.5</v>
      </c>
      <c r="I303">
        <v>93.7</v>
      </c>
      <c r="J303">
        <v>3615</v>
      </c>
      <c r="K303">
        <v>1861</v>
      </c>
      <c r="L303">
        <v>21.05</v>
      </c>
      <c r="M303">
        <v>12.29</v>
      </c>
      <c r="N303">
        <v>17.84</v>
      </c>
      <c r="O303">
        <v>2.42</v>
      </c>
      <c r="P303">
        <v>4.72</v>
      </c>
      <c r="Q303">
        <v>9210</v>
      </c>
      <c r="R303">
        <v>15.38</v>
      </c>
      <c r="S303">
        <v>35.29</v>
      </c>
      <c r="T303">
        <v>16.260000000000002</v>
      </c>
      <c r="U303">
        <v>24.26</v>
      </c>
      <c r="V303">
        <v>11.72</v>
      </c>
      <c r="W303">
        <v>59.23</v>
      </c>
      <c r="X303">
        <v>51.93</v>
      </c>
      <c r="Y303">
        <v>70.89</v>
      </c>
      <c r="Z303">
        <v>31.64</v>
      </c>
      <c r="AA303">
        <v>5142</v>
      </c>
      <c r="AB303">
        <v>4994</v>
      </c>
      <c r="AC303">
        <v>2082</v>
      </c>
    </row>
    <row r="304" spans="1:29" x14ac:dyDescent="0.3">
      <c r="A304" s="9">
        <v>43959</v>
      </c>
      <c r="B304">
        <v>17180</v>
      </c>
      <c r="C304">
        <v>10525</v>
      </c>
      <c r="D304">
        <v>158.6</v>
      </c>
      <c r="E304">
        <v>11.7</v>
      </c>
      <c r="F304">
        <v>22.87</v>
      </c>
      <c r="G304">
        <v>227.5</v>
      </c>
      <c r="H304">
        <v>72.2</v>
      </c>
      <c r="I304">
        <v>90.5</v>
      </c>
      <c r="J304">
        <v>3590</v>
      </c>
      <c r="K304">
        <v>1821</v>
      </c>
      <c r="L304">
        <v>20.399999999999999</v>
      </c>
      <c r="M304">
        <v>11.28</v>
      </c>
      <c r="N304">
        <v>16.97</v>
      </c>
      <c r="O304">
        <v>2.39</v>
      </c>
      <c r="P304">
        <v>4.45</v>
      </c>
      <c r="Q304">
        <v>9260</v>
      </c>
      <c r="R304">
        <v>14.2</v>
      </c>
      <c r="S304">
        <v>32.76</v>
      </c>
      <c r="T304">
        <v>16.57</v>
      </c>
      <c r="U304">
        <v>22.11</v>
      </c>
      <c r="V304">
        <v>11.39</v>
      </c>
      <c r="W304">
        <v>55.57</v>
      </c>
      <c r="X304">
        <v>49.98</v>
      </c>
      <c r="Y304">
        <v>67.02</v>
      </c>
      <c r="Z304">
        <v>30.02</v>
      </c>
      <c r="AA304">
        <v>4945</v>
      </c>
      <c r="AB304">
        <v>4868</v>
      </c>
      <c r="AC304">
        <v>2030</v>
      </c>
    </row>
    <row r="305" spans="1:29" x14ac:dyDescent="0.3">
      <c r="A305" s="9">
        <v>43952</v>
      </c>
      <c r="B305">
        <v>16830</v>
      </c>
      <c r="C305">
        <v>10640</v>
      </c>
      <c r="D305">
        <v>171.5</v>
      </c>
      <c r="E305">
        <v>11.92</v>
      </c>
      <c r="F305">
        <v>22.8</v>
      </c>
      <c r="G305">
        <v>236</v>
      </c>
      <c r="H305">
        <v>77.5</v>
      </c>
      <c r="I305">
        <v>93.6</v>
      </c>
      <c r="J305">
        <v>3405</v>
      </c>
      <c r="K305">
        <v>1767</v>
      </c>
      <c r="L305">
        <v>19.350000000000001</v>
      </c>
      <c r="M305">
        <v>10.85</v>
      </c>
      <c r="N305">
        <v>15.86</v>
      </c>
      <c r="O305">
        <v>2.27</v>
      </c>
      <c r="P305">
        <v>4.26</v>
      </c>
      <c r="Q305">
        <v>8880</v>
      </c>
      <c r="R305">
        <v>13.55</v>
      </c>
      <c r="S305">
        <v>31.03</v>
      </c>
      <c r="T305">
        <v>15.85</v>
      </c>
      <c r="U305">
        <v>20.23</v>
      </c>
      <c r="V305">
        <v>10.56</v>
      </c>
      <c r="W305">
        <v>50.02</v>
      </c>
      <c r="X305">
        <v>45.44</v>
      </c>
      <c r="Y305">
        <v>62.02</v>
      </c>
      <c r="Z305">
        <v>27.29</v>
      </c>
      <c r="AA305">
        <v>5066</v>
      </c>
      <c r="AB305">
        <v>5179</v>
      </c>
      <c r="AC305">
        <v>2119</v>
      </c>
    </row>
    <row r="306" spans="1:29" x14ac:dyDescent="0.3">
      <c r="A306" s="9">
        <v>43945</v>
      </c>
      <c r="B306">
        <v>17070</v>
      </c>
      <c r="C306">
        <v>11235</v>
      </c>
      <c r="D306">
        <v>166.3</v>
      </c>
      <c r="E306">
        <v>12.46</v>
      </c>
      <c r="F306">
        <v>24.3</v>
      </c>
      <c r="G306">
        <v>217</v>
      </c>
      <c r="H306">
        <v>73.2</v>
      </c>
      <c r="I306">
        <v>83</v>
      </c>
      <c r="J306">
        <v>3560</v>
      </c>
      <c r="K306">
        <v>1794</v>
      </c>
      <c r="L306">
        <v>19.04</v>
      </c>
      <c r="M306">
        <v>10.76</v>
      </c>
      <c r="N306">
        <v>15.95</v>
      </c>
      <c r="O306">
        <v>2.21</v>
      </c>
      <c r="P306">
        <v>4.1900000000000004</v>
      </c>
      <c r="Q306">
        <v>9500</v>
      </c>
      <c r="R306">
        <v>12.64</v>
      </c>
      <c r="S306">
        <v>29.31</v>
      </c>
      <c r="T306">
        <v>15.4</v>
      </c>
      <c r="U306">
        <v>19.39</v>
      </c>
      <c r="V306">
        <v>10.3</v>
      </c>
      <c r="W306">
        <v>46.68</v>
      </c>
      <c r="X306">
        <v>43.57</v>
      </c>
      <c r="Y306">
        <v>58.39</v>
      </c>
      <c r="Z306">
        <v>25.75</v>
      </c>
      <c r="AA306">
        <v>4876</v>
      </c>
      <c r="AB306">
        <v>5266</v>
      </c>
      <c r="AC306">
        <v>2201</v>
      </c>
    </row>
    <row r="307" spans="1:29" x14ac:dyDescent="0.3">
      <c r="A307" s="9">
        <v>43938</v>
      </c>
      <c r="B307">
        <v>17050</v>
      </c>
      <c r="C307">
        <v>11215</v>
      </c>
      <c r="D307">
        <v>159.1</v>
      </c>
      <c r="E307">
        <v>12.22</v>
      </c>
      <c r="F307">
        <v>24.77</v>
      </c>
      <c r="G307">
        <v>228</v>
      </c>
      <c r="H307">
        <v>75.599999999999994</v>
      </c>
      <c r="I307">
        <v>84</v>
      </c>
      <c r="J307">
        <v>3620</v>
      </c>
      <c r="K307">
        <v>1841</v>
      </c>
      <c r="L307">
        <v>20.100000000000001</v>
      </c>
      <c r="M307">
        <v>11.82</v>
      </c>
      <c r="N307">
        <v>17.43</v>
      </c>
      <c r="O307">
        <v>2.2200000000000002</v>
      </c>
      <c r="P307">
        <v>4.34</v>
      </c>
      <c r="Q307">
        <v>9560</v>
      </c>
      <c r="R307">
        <v>12.71</v>
      </c>
      <c r="S307">
        <v>26.86</v>
      </c>
      <c r="T307">
        <v>15.61</v>
      </c>
      <c r="U307">
        <v>19</v>
      </c>
      <c r="V307">
        <v>10.46</v>
      </c>
      <c r="W307">
        <v>45.49</v>
      </c>
      <c r="X307">
        <v>43.08</v>
      </c>
      <c r="Y307">
        <v>54.67</v>
      </c>
      <c r="Z307">
        <v>23.97</v>
      </c>
      <c r="AA307">
        <v>4983</v>
      </c>
      <c r="AB307">
        <v>5366</v>
      </c>
      <c r="AC307">
        <v>2108</v>
      </c>
    </row>
    <row r="308" spans="1:29" x14ac:dyDescent="0.3">
      <c r="A308" s="9">
        <v>43931</v>
      </c>
      <c r="B308">
        <v>18240</v>
      </c>
      <c r="C308">
        <v>11840</v>
      </c>
      <c r="D308">
        <v>166.6</v>
      </c>
      <c r="E308">
        <v>11.82</v>
      </c>
      <c r="F308">
        <v>26.1</v>
      </c>
      <c r="G308">
        <v>230</v>
      </c>
      <c r="H308">
        <v>80.400000000000006</v>
      </c>
      <c r="I308">
        <v>82.2</v>
      </c>
      <c r="J308">
        <v>3510</v>
      </c>
      <c r="K308">
        <v>1740</v>
      </c>
      <c r="L308">
        <v>20.29</v>
      </c>
      <c r="M308">
        <v>12.05</v>
      </c>
      <c r="N308">
        <v>17.66</v>
      </c>
      <c r="O308">
        <v>2.19</v>
      </c>
      <c r="P308">
        <v>4.2699999999999996</v>
      </c>
      <c r="Q308">
        <v>9050</v>
      </c>
      <c r="R308">
        <v>12.99</v>
      </c>
      <c r="S308">
        <v>26</v>
      </c>
      <c r="T308">
        <v>16.13</v>
      </c>
      <c r="U308">
        <v>19.23</v>
      </c>
      <c r="V308">
        <v>10.45</v>
      </c>
      <c r="W308">
        <v>43.21</v>
      </c>
      <c r="X308">
        <v>41.23</v>
      </c>
      <c r="Y308">
        <v>53.73</v>
      </c>
      <c r="Z308">
        <v>22.85</v>
      </c>
      <c r="AA308">
        <v>4975</v>
      </c>
      <c r="AB308">
        <v>5430</v>
      </c>
      <c r="AC308">
        <v>2155</v>
      </c>
    </row>
    <row r="309" spans="1:29" x14ac:dyDescent="0.3">
      <c r="A309" s="9">
        <v>43924</v>
      </c>
      <c r="B309">
        <v>18590</v>
      </c>
      <c r="C309">
        <v>12005</v>
      </c>
      <c r="D309">
        <v>160.5</v>
      </c>
      <c r="E309">
        <v>11.6</v>
      </c>
      <c r="F309">
        <v>23.78</v>
      </c>
      <c r="G309">
        <v>230.5</v>
      </c>
      <c r="H309">
        <v>79.7</v>
      </c>
      <c r="I309">
        <v>82.3</v>
      </c>
      <c r="J309">
        <v>3620</v>
      </c>
      <c r="K309">
        <v>1775</v>
      </c>
      <c r="L309">
        <v>18.63</v>
      </c>
      <c r="M309">
        <v>11.14</v>
      </c>
      <c r="N309">
        <v>16.86</v>
      </c>
      <c r="O309">
        <v>2.14</v>
      </c>
      <c r="P309">
        <v>4.17</v>
      </c>
      <c r="Q309">
        <v>8540</v>
      </c>
      <c r="R309">
        <v>13.55</v>
      </c>
      <c r="S309">
        <v>25.74</v>
      </c>
      <c r="T309">
        <v>16.32</v>
      </c>
      <c r="U309">
        <v>19.55</v>
      </c>
      <c r="V309">
        <v>10.23</v>
      </c>
      <c r="W309">
        <v>41.73</v>
      </c>
      <c r="X309">
        <v>41.4</v>
      </c>
      <c r="Y309">
        <v>52.74</v>
      </c>
      <c r="Z309">
        <v>21.89</v>
      </c>
      <c r="AA309">
        <v>4796</v>
      </c>
      <c r="AB309">
        <v>5129</v>
      </c>
      <c r="AC309">
        <v>1992.5</v>
      </c>
    </row>
    <row r="310" spans="1:29" x14ac:dyDescent="0.3">
      <c r="A310" s="9">
        <v>43917</v>
      </c>
      <c r="B310">
        <v>17960</v>
      </c>
      <c r="C310">
        <v>11975</v>
      </c>
      <c r="D310">
        <v>152.80000000000001</v>
      </c>
      <c r="E310">
        <v>10.88</v>
      </c>
      <c r="F310">
        <v>22.04</v>
      </c>
      <c r="G310">
        <v>226</v>
      </c>
      <c r="H310">
        <v>75.7</v>
      </c>
      <c r="I310">
        <v>81</v>
      </c>
      <c r="J310">
        <v>3455</v>
      </c>
      <c r="K310">
        <v>1779</v>
      </c>
      <c r="L310">
        <v>17.32</v>
      </c>
      <c r="M310">
        <v>10</v>
      </c>
      <c r="N310">
        <v>15.87</v>
      </c>
      <c r="O310">
        <v>1.78</v>
      </c>
      <c r="P310">
        <v>3.87</v>
      </c>
      <c r="Q310">
        <v>8720</v>
      </c>
      <c r="R310">
        <v>12.27</v>
      </c>
      <c r="S310">
        <v>24.47</v>
      </c>
      <c r="T310">
        <v>15.66</v>
      </c>
      <c r="U310">
        <v>16.18</v>
      </c>
      <c r="V310">
        <v>9.42</v>
      </c>
      <c r="W310">
        <v>40.25</v>
      </c>
      <c r="X310">
        <v>39</v>
      </c>
      <c r="Y310">
        <v>50.66</v>
      </c>
      <c r="Z310">
        <v>20.94</v>
      </c>
      <c r="AA310">
        <v>4868</v>
      </c>
      <c r="AB310">
        <v>5085</v>
      </c>
      <c r="AC310">
        <v>2054.5</v>
      </c>
    </row>
    <row r="311" spans="1:29" x14ac:dyDescent="0.3">
      <c r="A311" s="9">
        <v>43910</v>
      </c>
      <c r="B311">
        <v>18000</v>
      </c>
      <c r="C311">
        <v>12415</v>
      </c>
      <c r="D311">
        <v>159.30000000000001</v>
      </c>
      <c r="E311">
        <v>11.34</v>
      </c>
      <c r="F311">
        <v>20.96</v>
      </c>
      <c r="G311">
        <v>231.5</v>
      </c>
      <c r="H311">
        <v>77.400000000000006</v>
      </c>
      <c r="I311">
        <v>84.7</v>
      </c>
      <c r="J311">
        <v>3365</v>
      </c>
      <c r="K311">
        <v>1669</v>
      </c>
      <c r="L311">
        <v>15.98</v>
      </c>
      <c r="M311">
        <v>9.56</v>
      </c>
      <c r="N311">
        <v>15.03</v>
      </c>
      <c r="O311">
        <v>1.86</v>
      </c>
      <c r="P311">
        <v>3.84</v>
      </c>
      <c r="Q311">
        <v>8490</v>
      </c>
      <c r="R311">
        <v>11.39</v>
      </c>
      <c r="S311">
        <v>22.69</v>
      </c>
      <c r="T311">
        <v>15.38</v>
      </c>
      <c r="U311">
        <v>15.29</v>
      </c>
      <c r="V311">
        <v>9.42</v>
      </c>
      <c r="W311">
        <v>38.770000000000003</v>
      </c>
      <c r="X311">
        <v>37.06</v>
      </c>
      <c r="Y311">
        <v>48.8</v>
      </c>
      <c r="Z311">
        <v>19.63</v>
      </c>
      <c r="AA311">
        <v>5122</v>
      </c>
      <c r="AB311">
        <v>5266</v>
      </c>
      <c r="AC311">
        <v>2110</v>
      </c>
    </row>
    <row r="312" spans="1:29" x14ac:dyDescent="0.3">
      <c r="A312" s="9">
        <v>43903</v>
      </c>
      <c r="B312">
        <v>18800</v>
      </c>
      <c r="C312">
        <v>12050</v>
      </c>
      <c r="D312">
        <v>155.9</v>
      </c>
      <c r="E312">
        <v>12.2</v>
      </c>
      <c r="F312">
        <v>19.88</v>
      </c>
      <c r="G312">
        <v>214</v>
      </c>
      <c r="H312">
        <v>72.2</v>
      </c>
      <c r="I312">
        <v>80.900000000000006</v>
      </c>
      <c r="J312">
        <v>3470</v>
      </c>
      <c r="K312">
        <v>1737</v>
      </c>
      <c r="L312">
        <v>15.15</v>
      </c>
      <c r="M312">
        <v>9.11</v>
      </c>
      <c r="N312">
        <v>14.69</v>
      </c>
      <c r="O312">
        <v>1.85</v>
      </c>
      <c r="P312">
        <v>3.68</v>
      </c>
      <c r="Q312">
        <v>8650</v>
      </c>
      <c r="R312">
        <v>10.89</v>
      </c>
      <c r="S312">
        <v>23.86</v>
      </c>
      <c r="T312">
        <v>15.45</v>
      </c>
      <c r="U312">
        <v>14.21</v>
      </c>
      <c r="V312">
        <v>9.1199999999999992</v>
      </c>
      <c r="W312">
        <v>38.06</v>
      </c>
      <c r="X312">
        <v>34.97</v>
      </c>
      <c r="Y312">
        <v>48.31</v>
      </c>
      <c r="Z312">
        <v>19.45</v>
      </c>
      <c r="AA312">
        <v>5055</v>
      </c>
      <c r="AB312">
        <v>5220</v>
      </c>
      <c r="AC312">
        <v>2107</v>
      </c>
    </row>
    <row r="313" spans="1:29" x14ac:dyDescent="0.3">
      <c r="A313" s="9">
        <v>43896</v>
      </c>
      <c r="B313">
        <v>18400</v>
      </c>
      <c r="C313">
        <v>11460</v>
      </c>
      <c r="D313">
        <v>153.5</v>
      </c>
      <c r="E313">
        <v>11.94</v>
      </c>
      <c r="F313">
        <v>18.29</v>
      </c>
      <c r="G313">
        <v>202.5</v>
      </c>
      <c r="H313">
        <v>68.8</v>
      </c>
      <c r="I313">
        <v>76.599999999999994</v>
      </c>
      <c r="J313">
        <v>3360</v>
      </c>
      <c r="K313">
        <v>1687</v>
      </c>
      <c r="L313">
        <v>14.8</v>
      </c>
      <c r="M313">
        <v>8.7100000000000009</v>
      </c>
      <c r="N313">
        <v>13.74</v>
      </c>
      <c r="O313">
        <v>1.85</v>
      </c>
      <c r="P313">
        <v>3.51</v>
      </c>
      <c r="Q313">
        <v>8690</v>
      </c>
      <c r="R313">
        <v>10.17</v>
      </c>
      <c r="S313">
        <v>22.97</v>
      </c>
      <c r="T313">
        <v>14.93</v>
      </c>
      <c r="U313">
        <v>13.38</v>
      </c>
      <c r="V313">
        <v>8.9499999999999993</v>
      </c>
      <c r="W313">
        <v>37.51</v>
      </c>
      <c r="X313">
        <v>32.53</v>
      </c>
      <c r="Y313">
        <v>47.49</v>
      </c>
      <c r="Z313">
        <v>18.079999999999998</v>
      </c>
      <c r="AA313">
        <v>5223</v>
      </c>
      <c r="AB313">
        <v>5405</v>
      </c>
      <c r="AC313">
        <v>2204</v>
      </c>
    </row>
    <row r="314" spans="1:29" x14ac:dyDescent="0.3">
      <c r="A314" s="9">
        <v>43889</v>
      </c>
      <c r="B314">
        <v>17530</v>
      </c>
      <c r="C314">
        <v>12050</v>
      </c>
      <c r="D314">
        <v>153.1</v>
      </c>
      <c r="E314">
        <v>12.74</v>
      </c>
      <c r="F314">
        <v>21.9</v>
      </c>
      <c r="G314">
        <v>204.5</v>
      </c>
      <c r="H314">
        <v>67.8</v>
      </c>
      <c r="I314">
        <v>76.099999999999994</v>
      </c>
      <c r="J314">
        <v>3285</v>
      </c>
      <c r="K314">
        <v>1659</v>
      </c>
      <c r="L314">
        <v>14.85</v>
      </c>
      <c r="M314">
        <v>8.8699999999999992</v>
      </c>
      <c r="N314">
        <v>13.91</v>
      </c>
      <c r="O314">
        <v>1.87</v>
      </c>
      <c r="P314">
        <v>3.57</v>
      </c>
      <c r="Q314">
        <v>8550</v>
      </c>
      <c r="R314">
        <v>10.91</v>
      </c>
      <c r="S314">
        <v>23.91</v>
      </c>
      <c r="T314">
        <v>14.98</v>
      </c>
      <c r="U314">
        <v>14</v>
      </c>
      <c r="V314">
        <v>9.24</v>
      </c>
      <c r="W314">
        <v>38.92</v>
      </c>
      <c r="X314">
        <v>35.79</v>
      </c>
      <c r="Y314">
        <v>49.51</v>
      </c>
      <c r="Z314">
        <v>19.34</v>
      </c>
      <c r="AA314">
        <v>5273</v>
      </c>
      <c r="AB314">
        <v>5508</v>
      </c>
      <c r="AC314">
        <v>2254.5</v>
      </c>
    </row>
    <row r="315" spans="1:29" x14ac:dyDescent="0.3">
      <c r="A315" s="9">
        <v>43882</v>
      </c>
      <c r="B315">
        <v>18370</v>
      </c>
      <c r="C315">
        <v>12360</v>
      </c>
      <c r="D315">
        <v>160.1</v>
      </c>
      <c r="E315">
        <v>12.78</v>
      </c>
      <c r="F315">
        <v>22.49</v>
      </c>
      <c r="G315">
        <v>206</v>
      </c>
      <c r="H315">
        <v>67.400000000000006</v>
      </c>
      <c r="I315">
        <v>75.099999999999994</v>
      </c>
      <c r="J315">
        <v>3400</v>
      </c>
      <c r="K315">
        <v>1739</v>
      </c>
      <c r="L315">
        <v>15.22</v>
      </c>
      <c r="M315">
        <v>9.11</v>
      </c>
      <c r="N315">
        <v>14.22</v>
      </c>
      <c r="O315">
        <v>1.95</v>
      </c>
      <c r="P315">
        <v>3.54</v>
      </c>
      <c r="Q315">
        <v>8670</v>
      </c>
      <c r="R315">
        <v>11.71</v>
      </c>
      <c r="S315">
        <v>24.91</v>
      </c>
      <c r="T315">
        <v>15.79</v>
      </c>
      <c r="U315">
        <v>14.25</v>
      </c>
      <c r="V315">
        <v>9.35</v>
      </c>
      <c r="W315">
        <v>39.92</v>
      </c>
      <c r="X315">
        <v>35.4</v>
      </c>
      <c r="Y315">
        <v>48.86</v>
      </c>
      <c r="Z315">
        <v>20.100000000000001</v>
      </c>
      <c r="AA315">
        <v>4973</v>
      </c>
      <c r="AB315">
        <v>5309</v>
      </c>
      <c r="AC315">
        <v>2074.5</v>
      </c>
    </row>
    <row r="316" spans="1:29" x14ac:dyDescent="0.3">
      <c r="A316" s="9">
        <v>43875</v>
      </c>
      <c r="B316">
        <v>18900</v>
      </c>
      <c r="C316">
        <v>10960</v>
      </c>
      <c r="D316">
        <v>143.5</v>
      </c>
      <c r="E316">
        <v>11.6</v>
      </c>
      <c r="F316">
        <v>19.09</v>
      </c>
      <c r="G316">
        <v>211.5</v>
      </c>
      <c r="H316">
        <v>70.3</v>
      </c>
      <c r="I316">
        <v>82.3</v>
      </c>
      <c r="J316">
        <v>3360</v>
      </c>
      <c r="K316">
        <v>1733</v>
      </c>
      <c r="L316">
        <v>15.25</v>
      </c>
      <c r="M316">
        <v>9.33</v>
      </c>
      <c r="N316">
        <v>14.49</v>
      </c>
      <c r="O316">
        <v>1.9</v>
      </c>
      <c r="P316">
        <v>3.54</v>
      </c>
      <c r="Q316">
        <v>8540</v>
      </c>
      <c r="R316">
        <v>12.21</v>
      </c>
      <c r="S316">
        <v>25.97</v>
      </c>
      <c r="T316">
        <v>17.100000000000001</v>
      </c>
      <c r="U316">
        <v>17.23</v>
      </c>
      <c r="V316">
        <v>10.71</v>
      </c>
      <c r="W316">
        <v>45.36</v>
      </c>
      <c r="X316">
        <v>40.67</v>
      </c>
      <c r="Y316">
        <v>54.85</v>
      </c>
      <c r="Z316">
        <v>22.18</v>
      </c>
      <c r="AA316">
        <v>4757</v>
      </c>
      <c r="AB316">
        <v>5053</v>
      </c>
      <c r="AC316">
        <v>1967</v>
      </c>
    </row>
    <row r="317" spans="1:29" x14ac:dyDescent="0.3">
      <c r="A317" s="9">
        <v>43868</v>
      </c>
      <c r="B317">
        <v>19430</v>
      </c>
      <c r="C317">
        <v>10360</v>
      </c>
      <c r="D317">
        <v>131</v>
      </c>
      <c r="E317">
        <v>11.72</v>
      </c>
      <c r="F317">
        <v>16.600000000000001</v>
      </c>
      <c r="G317">
        <v>213</v>
      </c>
      <c r="H317">
        <v>71.400000000000006</v>
      </c>
      <c r="I317">
        <v>84</v>
      </c>
      <c r="J317">
        <v>3435</v>
      </c>
      <c r="K317">
        <v>1748</v>
      </c>
      <c r="L317">
        <v>14.68</v>
      </c>
      <c r="M317">
        <v>8.86</v>
      </c>
      <c r="N317">
        <v>14.38</v>
      </c>
      <c r="O317">
        <v>1.85</v>
      </c>
      <c r="P317">
        <v>3.42</v>
      </c>
      <c r="Q317">
        <v>8520</v>
      </c>
      <c r="R317">
        <v>12.27</v>
      </c>
      <c r="S317">
        <v>25.2</v>
      </c>
      <c r="T317">
        <v>16.68</v>
      </c>
      <c r="U317">
        <v>17.36</v>
      </c>
      <c r="V317">
        <v>10.76</v>
      </c>
      <c r="W317">
        <v>43.6</v>
      </c>
      <c r="X317">
        <v>38.450000000000003</v>
      </c>
      <c r="Y317">
        <v>52.82</v>
      </c>
      <c r="Z317">
        <v>20.39</v>
      </c>
      <c r="AA317">
        <v>4818</v>
      </c>
      <c r="AB317">
        <v>5109</v>
      </c>
      <c r="AC317">
        <v>1951.5</v>
      </c>
    </row>
    <row r="318" spans="1:29" x14ac:dyDescent="0.3">
      <c r="A318" s="9">
        <v>43861</v>
      </c>
      <c r="B318">
        <v>18640</v>
      </c>
      <c r="C318">
        <v>10290</v>
      </c>
      <c r="D318">
        <v>130.69999999999999</v>
      </c>
      <c r="E318">
        <v>11.74</v>
      </c>
      <c r="F318">
        <v>16.87</v>
      </c>
      <c r="G318">
        <v>216</v>
      </c>
      <c r="H318">
        <v>72.900000000000006</v>
      </c>
      <c r="I318">
        <v>84</v>
      </c>
      <c r="J318">
        <v>3300</v>
      </c>
      <c r="K318">
        <v>1681</v>
      </c>
      <c r="L318">
        <v>14.81</v>
      </c>
      <c r="M318">
        <v>8.89</v>
      </c>
      <c r="N318">
        <v>14.37</v>
      </c>
      <c r="O318">
        <v>1.78</v>
      </c>
      <c r="P318">
        <v>3.38</v>
      </c>
      <c r="Q318">
        <v>8550</v>
      </c>
      <c r="R318">
        <v>11.62</v>
      </c>
      <c r="S318">
        <v>23.64</v>
      </c>
      <c r="T318">
        <v>16.36</v>
      </c>
      <c r="U318">
        <v>16</v>
      </c>
      <c r="V318">
        <v>10.8</v>
      </c>
      <c r="W318">
        <v>40.04</v>
      </c>
      <c r="X318">
        <v>35.78</v>
      </c>
      <c r="Y318">
        <v>46.47</v>
      </c>
      <c r="Z318">
        <v>19.16</v>
      </c>
      <c r="AA318">
        <v>4884</v>
      </c>
      <c r="AB318">
        <v>5288</v>
      </c>
      <c r="AC318">
        <v>1973</v>
      </c>
    </row>
    <row r="319" spans="1:29" x14ac:dyDescent="0.3">
      <c r="A319" s="9">
        <v>43854</v>
      </c>
      <c r="B319">
        <v>19040</v>
      </c>
      <c r="C319">
        <v>10645</v>
      </c>
      <c r="D319">
        <v>139.19999999999999</v>
      </c>
      <c r="E319">
        <v>11.7</v>
      </c>
      <c r="F319">
        <v>17.8</v>
      </c>
      <c r="G319">
        <v>227</v>
      </c>
      <c r="H319">
        <v>74.8</v>
      </c>
      <c r="I319">
        <v>87.9</v>
      </c>
      <c r="J319">
        <v>3325</v>
      </c>
      <c r="K319">
        <v>1690</v>
      </c>
      <c r="L319">
        <v>15.37</v>
      </c>
      <c r="M319">
        <v>9.25</v>
      </c>
      <c r="N319">
        <v>14.46</v>
      </c>
      <c r="O319">
        <v>1.82</v>
      </c>
      <c r="P319">
        <v>3.55</v>
      </c>
      <c r="Q319">
        <v>8500</v>
      </c>
      <c r="R319">
        <v>12.67</v>
      </c>
      <c r="S319">
        <v>24.04</v>
      </c>
      <c r="T319">
        <v>16.61</v>
      </c>
      <c r="U319">
        <v>17.32</v>
      </c>
      <c r="V319">
        <v>11.32</v>
      </c>
      <c r="W319">
        <v>41.92</v>
      </c>
      <c r="X319">
        <v>38.950000000000003</v>
      </c>
      <c r="Y319">
        <v>47.62</v>
      </c>
      <c r="Z319">
        <v>19.93</v>
      </c>
      <c r="AA319">
        <v>5183</v>
      </c>
      <c r="AB319">
        <v>5338</v>
      </c>
      <c r="AC319">
        <v>2049</v>
      </c>
    </row>
    <row r="320" spans="1:29" x14ac:dyDescent="0.3">
      <c r="A320" s="9">
        <v>43847</v>
      </c>
      <c r="B320">
        <v>18580</v>
      </c>
      <c r="C320">
        <v>11285</v>
      </c>
      <c r="D320">
        <v>144.5</v>
      </c>
      <c r="E320">
        <v>12.2</v>
      </c>
      <c r="F320">
        <v>18.09</v>
      </c>
      <c r="G320">
        <v>220</v>
      </c>
      <c r="H320">
        <v>74.2</v>
      </c>
      <c r="I320">
        <v>82.6</v>
      </c>
      <c r="J320">
        <v>3320</v>
      </c>
      <c r="K320">
        <v>1687</v>
      </c>
      <c r="L320">
        <v>15.38</v>
      </c>
      <c r="M320">
        <v>9.2799999999999994</v>
      </c>
      <c r="N320">
        <v>14.39</v>
      </c>
      <c r="O320">
        <v>1.85</v>
      </c>
      <c r="P320">
        <v>3.6</v>
      </c>
      <c r="Q320">
        <v>8620</v>
      </c>
      <c r="R320">
        <v>12.99</v>
      </c>
      <c r="S320">
        <v>23.44</v>
      </c>
      <c r="T320">
        <v>16.52</v>
      </c>
      <c r="U320">
        <v>17.84</v>
      </c>
      <c r="V320">
        <v>11.36</v>
      </c>
      <c r="W320">
        <v>41.7</v>
      </c>
      <c r="X320">
        <v>39.340000000000003</v>
      </c>
      <c r="Y320">
        <v>47.09</v>
      </c>
      <c r="Z320">
        <v>20.09</v>
      </c>
      <c r="AA320">
        <v>5315</v>
      </c>
      <c r="AB320">
        <v>5524</v>
      </c>
      <c r="AC320">
        <v>2159.5</v>
      </c>
    </row>
    <row r="321" spans="1:29" x14ac:dyDescent="0.3">
      <c r="A321" s="9">
        <v>43840</v>
      </c>
      <c r="B321">
        <v>18320</v>
      </c>
      <c r="C321">
        <v>12100</v>
      </c>
      <c r="D321">
        <v>150.1</v>
      </c>
      <c r="E321">
        <v>12.56</v>
      </c>
      <c r="F321">
        <v>20.13</v>
      </c>
      <c r="G321">
        <v>227.5</v>
      </c>
      <c r="H321">
        <v>76.8</v>
      </c>
      <c r="I321">
        <v>86.1</v>
      </c>
      <c r="J321">
        <v>3465</v>
      </c>
      <c r="K321">
        <v>1717</v>
      </c>
      <c r="L321">
        <v>16.100000000000001</v>
      </c>
      <c r="M321">
        <v>9.3699999999999992</v>
      </c>
      <c r="N321">
        <v>14.61</v>
      </c>
      <c r="O321">
        <v>1.83</v>
      </c>
      <c r="P321">
        <v>3.59</v>
      </c>
      <c r="Q321">
        <v>8450</v>
      </c>
      <c r="R321">
        <v>12.67</v>
      </c>
      <c r="S321">
        <v>22.55</v>
      </c>
      <c r="T321">
        <v>16.38</v>
      </c>
      <c r="U321">
        <v>17.670000000000002</v>
      </c>
      <c r="V321">
        <v>11.19</v>
      </c>
      <c r="W321">
        <v>40.43</v>
      </c>
      <c r="X321">
        <v>38.229999999999997</v>
      </c>
      <c r="Y321">
        <v>44.13</v>
      </c>
      <c r="Z321">
        <v>19.2</v>
      </c>
      <c r="AA321">
        <v>5185</v>
      </c>
      <c r="AB321">
        <v>5426</v>
      </c>
      <c r="AC321">
        <v>2104</v>
      </c>
    </row>
    <row r="322" spans="1:29" x14ac:dyDescent="0.3">
      <c r="A322" s="9">
        <v>43833</v>
      </c>
      <c r="B322">
        <v>18670</v>
      </c>
      <c r="C322">
        <v>12350</v>
      </c>
      <c r="D322">
        <v>149.80000000000001</v>
      </c>
      <c r="E322">
        <v>12.24</v>
      </c>
      <c r="F322">
        <v>20.91</v>
      </c>
      <c r="G322">
        <v>223.5</v>
      </c>
      <c r="H322">
        <v>75.2</v>
      </c>
      <c r="I322">
        <v>82.2</v>
      </c>
      <c r="J322">
        <v>3740</v>
      </c>
      <c r="K322">
        <v>1792</v>
      </c>
      <c r="L322">
        <v>15.35</v>
      </c>
      <c r="M322">
        <v>9.43</v>
      </c>
      <c r="N322">
        <v>14.15</v>
      </c>
      <c r="O322">
        <v>1.82</v>
      </c>
      <c r="P322">
        <v>3.73</v>
      </c>
      <c r="Q322">
        <v>8820</v>
      </c>
      <c r="R322">
        <v>12.51</v>
      </c>
      <c r="S322">
        <v>22.42</v>
      </c>
      <c r="T322">
        <v>15.67</v>
      </c>
      <c r="U322">
        <v>16.54</v>
      </c>
      <c r="V322">
        <v>10.84</v>
      </c>
      <c r="W322">
        <v>40.119999999999997</v>
      </c>
      <c r="X322">
        <v>36.729999999999997</v>
      </c>
      <c r="Y322">
        <v>41.23</v>
      </c>
      <c r="Z322">
        <v>18.91</v>
      </c>
      <c r="AA322">
        <v>5269</v>
      </c>
      <c r="AB322">
        <v>5542</v>
      </c>
      <c r="AC322">
        <v>2181</v>
      </c>
    </row>
    <row r="323" spans="1:29" x14ac:dyDescent="0.3">
      <c r="A323" s="9">
        <v>43826</v>
      </c>
      <c r="B323">
        <v>19590</v>
      </c>
      <c r="C323">
        <v>12575</v>
      </c>
      <c r="D323">
        <v>147.6</v>
      </c>
      <c r="E323">
        <v>11.42</v>
      </c>
      <c r="F323">
        <v>20.22</v>
      </c>
      <c r="G323">
        <v>227</v>
      </c>
      <c r="H323">
        <v>77.400000000000006</v>
      </c>
      <c r="I323">
        <v>83.6</v>
      </c>
      <c r="J323">
        <v>3780</v>
      </c>
      <c r="K323">
        <v>1686</v>
      </c>
      <c r="L323">
        <v>15.63</v>
      </c>
      <c r="M323">
        <v>9.6999999999999993</v>
      </c>
      <c r="N323">
        <v>14.28</v>
      </c>
      <c r="O323">
        <v>1.86</v>
      </c>
      <c r="P323">
        <v>3.74</v>
      </c>
      <c r="Q323">
        <v>8900</v>
      </c>
      <c r="R323">
        <v>11.34</v>
      </c>
      <c r="S323">
        <v>20.36</v>
      </c>
      <c r="T323">
        <v>15.18</v>
      </c>
      <c r="U323">
        <v>16.05</v>
      </c>
      <c r="V323">
        <v>10.34</v>
      </c>
      <c r="W323">
        <v>37.74</v>
      </c>
      <c r="X323">
        <v>33.33</v>
      </c>
      <c r="Y323">
        <v>39.85</v>
      </c>
      <c r="Z323">
        <v>17.59</v>
      </c>
      <c r="AA323">
        <v>5293</v>
      </c>
      <c r="AB323">
        <v>5598</v>
      </c>
      <c r="AC323">
        <v>2206.5</v>
      </c>
    </row>
    <row r="324" spans="1:29" x14ac:dyDescent="0.3">
      <c r="A324" s="9">
        <v>43819</v>
      </c>
      <c r="B324">
        <v>21650</v>
      </c>
      <c r="C324">
        <v>12625</v>
      </c>
      <c r="D324">
        <v>146</v>
      </c>
      <c r="E324">
        <v>11.66</v>
      </c>
      <c r="F324">
        <v>20.75</v>
      </c>
      <c r="G324">
        <v>206.5</v>
      </c>
      <c r="H324">
        <v>68.400000000000006</v>
      </c>
      <c r="I324">
        <v>73.900000000000006</v>
      </c>
      <c r="J324">
        <v>3945</v>
      </c>
      <c r="K324">
        <v>1798</v>
      </c>
      <c r="L324">
        <v>16.07</v>
      </c>
      <c r="M324">
        <v>8.77</v>
      </c>
      <c r="N324">
        <v>14.29</v>
      </c>
      <c r="O324">
        <v>1.81</v>
      </c>
      <c r="P324">
        <v>3.8</v>
      </c>
      <c r="Q324">
        <v>9190</v>
      </c>
      <c r="R324">
        <v>11.06</v>
      </c>
      <c r="S324">
        <v>20.96</v>
      </c>
      <c r="T324">
        <v>14.41</v>
      </c>
      <c r="U324">
        <v>16.579999999999998</v>
      </c>
      <c r="V324">
        <v>10.75</v>
      </c>
      <c r="W324">
        <v>38.32</v>
      </c>
      <c r="X324">
        <v>35.11</v>
      </c>
      <c r="Y324">
        <v>39.659999999999997</v>
      </c>
      <c r="Z324">
        <v>19.055</v>
      </c>
      <c r="AA324">
        <v>5273</v>
      </c>
      <c r="AB324">
        <v>5489</v>
      </c>
      <c r="AC324">
        <v>2170</v>
      </c>
    </row>
    <row r="325" spans="1:29" x14ac:dyDescent="0.3">
      <c r="A325" s="9">
        <v>43812</v>
      </c>
      <c r="B325">
        <v>20700</v>
      </c>
      <c r="C325">
        <v>12025</v>
      </c>
      <c r="D325">
        <v>140.6</v>
      </c>
      <c r="E325">
        <v>11.88</v>
      </c>
      <c r="F325">
        <v>18.239999999999998</v>
      </c>
      <c r="G325">
        <v>207.5</v>
      </c>
      <c r="H325">
        <v>72.099999999999994</v>
      </c>
      <c r="I325">
        <v>83.2</v>
      </c>
      <c r="J325">
        <v>3610</v>
      </c>
      <c r="K325">
        <v>1716</v>
      </c>
      <c r="L325">
        <v>16.600000000000001</v>
      </c>
      <c r="M325">
        <v>7.71</v>
      </c>
      <c r="N325">
        <v>13.9</v>
      </c>
      <c r="O325">
        <v>1.83</v>
      </c>
      <c r="P325">
        <v>3.8</v>
      </c>
      <c r="Q325">
        <v>8730</v>
      </c>
      <c r="R325">
        <v>10.85</v>
      </c>
      <c r="S325">
        <v>21.75</v>
      </c>
      <c r="T325">
        <v>13.68</v>
      </c>
      <c r="U325">
        <v>15.43</v>
      </c>
      <c r="V325">
        <v>10.52</v>
      </c>
      <c r="W325">
        <v>37.950000000000003</v>
      </c>
      <c r="X325">
        <v>33.549999999999997</v>
      </c>
      <c r="Y325">
        <v>39.57</v>
      </c>
      <c r="Z325">
        <v>18.28</v>
      </c>
      <c r="AA325">
        <v>5230</v>
      </c>
      <c r="AB325">
        <v>5483</v>
      </c>
      <c r="AC325">
        <v>2172</v>
      </c>
    </row>
    <row r="326" spans="1:29" x14ac:dyDescent="0.3">
      <c r="A326" s="9">
        <v>43805</v>
      </c>
      <c r="B326">
        <v>19840</v>
      </c>
      <c r="C326">
        <v>11645</v>
      </c>
      <c r="D326">
        <v>135.30000000000001</v>
      </c>
      <c r="E326">
        <v>11.98</v>
      </c>
      <c r="F326">
        <v>17.82</v>
      </c>
      <c r="G326">
        <v>204.5</v>
      </c>
      <c r="H326">
        <v>69.8</v>
      </c>
      <c r="I326">
        <v>82.2</v>
      </c>
      <c r="J326">
        <v>3585</v>
      </c>
      <c r="K326">
        <v>1668</v>
      </c>
      <c r="L326">
        <v>16.579999999999998</v>
      </c>
      <c r="M326">
        <v>7.68</v>
      </c>
      <c r="N326">
        <v>13.64</v>
      </c>
      <c r="O326">
        <v>1.73</v>
      </c>
      <c r="P326">
        <v>3.74</v>
      </c>
      <c r="Q326">
        <v>8560</v>
      </c>
      <c r="R326">
        <v>11.47</v>
      </c>
      <c r="S326">
        <v>23.03</v>
      </c>
      <c r="T326">
        <v>13.91</v>
      </c>
      <c r="U326">
        <v>16.100000000000001</v>
      </c>
      <c r="V326">
        <v>10.67</v>
      </c>
      <c r="W326">
        <v>38.47</v>
      </c>
      <c r="X326">
        <v>33.799999999999997</v>
      </c>
      <c r="Y326">
        <v>39.65</v>
      </c>
      <c r="Z326">
        <v>18.32</v>
      </c>
      <c r="AA326">
        <v>5038</v>
      </c>
      <c r="AB326">
        <v>5280</v>
      </c>
      <c r="AC326">
        <v>2082.5</v>
      </c>
    </row>
    <row r="327" spans="1:29" x14ac:dyDescent="0.3">
      <c r="A327" s="9">
        <v>43798</v>
      </c>
      <c r="B327">
        <v>19670</v>
      </c>
      <c r="C327">
        <v>12240</v>
      </c>
      <c r="D327">
        <v>145.9</v>
      </c>
      <c r="E327">
        <v>12.24</v>
      </c>
      <c r="F327">
        <v>15.48</v>
      </c>
      <c r="G327">
        <v>210</v>
      </c>
      <c r="H327">
        <v>70.900000000000006</v>
      </c>
      <c r="I327">
        <v>83.1</v>
      </c>
      <c r="J327">
        <v>3375</v>
      </c>
      <c r="K327">
        <v>1651</v>
      </c>
      <c r="L327">
        <v>15.98</v>
      </c>
      <c r="M327">
        <v>8.36</v>
      </c>
      <c r="N327">
        <v>13.36</v>
      </c>
      <c r="O327">
        <v>1.63</v>
      </c>
      <c r="P327">
        <v>3.76</v>
      </c>
      <c r="Q327">
        <v>8630</v>
      </c>
      <c r="R327">
        <v>11.22</v>
      </c>
      <c r="S327">
        <v>22.5</v>
      </c>
      <c r="T327">
        <v>13.38</v>
      </c>
      <c r="U327">
        <v>14.97</v>
      </c>
      <c r="V327">
        <v>10.71</v>
      </c>
      <c r="W327">
        <v>38.68</v>
      </c>
      <c r="X327">
        <v>33.14</v>
      </c>
      <c r="Y327">
        <v>38.28</v>
      </c>
      <c r="Z327">
        <v>16.87</v>
      </c>
      <c r="AA327">
        <v>4545</v>
      </c>
      <c r="AB327">
        <v>4825</v>
      </c>
      <c r="AC327">
        <v>1779</v>
      </c>
    </row>
    <row r="328" spans="1:29" x14ac:dyDescent="0.3">
      <c r="A328" s="9">
        <v>43791</v>
      </c>
      <c r="B328">
        <v>19600</v>
      </c>
      <c r="C328">
        <v>9602</v>
      </c>
      <c r="D328">
        <v>120.9</v>
      </c>
      <c r="E328">
        <v>11.7</v>
      </c>
      <c r="F328">
        <v>12.52</v>
      </c>
      <c r="G328">
        <v>211</v>
      </c>
      <c r="H328">
        <v>71.8</v>
      </c>
      <c r="I328">
        <v>86.6</v>
      </c>
      <c r="J328">
        <v>3350</v>
      </c>
      <c r="K328">
        <v>1545</v>
      </c>
      <c r="L328">
        <v>13.08</v>
      </c>
      <c r="M328">
        <v>6.48</v>
      </c>
      <c r="N328">
        <v>11.7</v>
      </c>
      <c r="O328">
        <v>1.35</v>
      </c>
      <c r="P328">
        <v>3.23</v>
      </c>
      <c r="Q328">
        <v>8780</v>
      </c>
      <c r="R328">
        <v>8.67</v>
      </c>
      <c r="S328">
        <v>17.34</v>
      </c>
      <c r="T328">
        <v>10.92</v>
      </c>
      <c r="U328">
        <v>12.83</v>
      </c>
      <c r="V328">
        <v>9.4499999999999993</v>
      </c>
      <c r="W328">
        <v>34.47</v>
      </c>
      <c r="X328">
        <v>28.76</v>
      </c>
      <c r="Y328">
        <v>31.86</v>
      </c>
      <c r="Z328">
        <v>13.97</v>
      </c>
      <c r="AA328">
        <v>4600</v>
      </c>
      <c r="AB328">
        <v>5007</v>
      </c>
      <c r="AC328">
        <v>1823.5</v>
      </c>
    </row>
    <row r="329" spans="1:29" x14ac:dyDescent="0.3">
      <c r="A329" s="9">
        <v>43784</v>
      </c>
      <c r="B329">
        <v>19320</v>
      </c>
      <c r="C329">
        <v>10170</v>
      </c>
      <c r="D329">
        <v>130</v>
      </c>
      <c r="E329">
        <v>11.22</v>
      </c>
      <c r="F329">
        <v>13.79</v>
      </c>
      <c r="G329">
        <v>260.5</v>
      </c>
      <c r="H329">
        <v>84</v>
      </c>
      <c r="I329">
        <v>111</v>
      </c>
      <c r="J329">
        <v>3290</v>
      </c>
      <c r="K329">
        <v>1505</v>
      </c>
      <c r="L329">
        <v>14.24</v>
      </c>
      <c r="M329">
        <v>7.39</v>
      </c>
      <c r="N329">
        <v>13.19</v>
      </c>
      <c r="O329">
        <v>1.43</v>
      </c>
      <c r="P329">
        <v>3.48</v>
      </c>
      <c r="Q329">
        <v>8850</v>
      </c>
      <c r="R329">
        <v>9.32</v>
      </c>
      <c r="S329">
        <v>20.54</v>
      </c>
      <c r="T329">
        <v>12.5</v>
      </c>
      <c r="U329">
        <v>15.5</v>
      </c>
      <c r="V329">
        <v>10.6</v>
      </c>
      <c r="W329">
        <v>39.270000000000003</v>
      </c>
      <c r="X329">
        <v>33.24</v>
      </c>
      <c r="Y329">
        <v>35.69</v>
      </c>
      <c r="Z329">
        <v>15.86</v>
      </c>
      <c r="AA329">
        <v>4558</v>
      </c>
      <c r="AB329">
        <v>4988</v>
      </c>
      <c r="AC329">
        <v>1826</v>
      </c>
    </row>
    <row r="330" spans="1:29" x14ac:dyDescent="0.3">
      <c r="A330" s="9">
        <v>43777</v>
      </c>
      <c r="B330">
        <v>19350</v>
      </c>
      <c r="C330">
        <v>10770</v>
      </c>
      <c r="D330">
        <v>135.30000000000001</v>
      </c>
      <c r="E330">
        <v>11.26</v>
      </c>
      <c r="F330">
        <v>13.79</v>
      </c>
      <c r="G330">
        <v>256</v>
      </c>
      <c r="H330">
        <v>83.7</v>
      </c>
      <c r="I330">
        <v>126.5</v>
      </c>
      <c r="J330">
        <v>3345</v>
      </c>
      <c r="K330">
        <v>1560</v>
      </c>
      <c r="L330">
        <v>13.79</v>
      </c>
      <c r="M330">
        <v>7.16</v>
      </c>
      <c r="N330">
        <v>12.6</v>
      </c>
      <c r="O330">
        <v>1.49</v>
      </c>
      <c r="P330">
        <v>3.3</v>
      </c>
      <c r="Q330">
        <v>9050</v>
      </c>
      <c r="R330">
        <v>9.48</v>
      </c>
      <c r="S330">
        <v>20.73</v>
      </c>
      <c r="T330">
        <v>12.68</v>
      </c>
      <c r="U330">
        <v>15.44</v>
      </c>
      <c r="V330">
        <v>10.42</v>
      </c>
      <c r="W330">
        <v>39.840000000000003</v>
      </c>
      <c r="X330">
        <v>33.340000000000003</v>
      </c>
      <c r="Y330">
        <v>35.33</v>
      </c>
      <c r="Z330">
        <v>15.6</v>
      </c>
      <c r="AA330">
        <v>4792</v>
      </c>
      <c r="AB330">
        <v>5195</v>
      </c>
      <c r="AC330">
        <v>1954</v>
      </c>
    </row>
    <row r="331" spans="1:29" x14ac:dyDescent="0.3">
      <c r="A331" s="9">
        <v>43770</v>
      </c>
      <c r="B331">
        <v>18820</v>
      </c>
      <c r="C331">
        <v>10995</v>
      </c>
      <c r="D331">
        <v>137.5</v>
      </c>
      <c r="E331">
        <v>11.48</v>
      </c>
      <c r="F331">
        <v>14.34</v>
      </c>
      <c r="G331">
        <v>244.5</v>
      </c>
      <c r="H331">
        <v>79.599999999999994</v>
      </c>
      <c r="I331">
        <v>108</v>
      </c>
      <c r="J331">
        <v>3315</v>
      </c>
      <c r="K331">
        <v>1558</v>
      </c>
      <c r="L331">
        <v>14.49</v>
      </c>
      <c r="M331">
        <v>7.77</v>
      </c>
      <c r="N331">
        <v>12.83</v>
      </c>
      <c r="O331">
        <v>1.47</v>
      </c>
      <c r="P331">
        <v>3.39</v>
      </c>
      <c r="Q331">
        <v>9060</v>
      </c>
      <c r="R331">
        <v>10.55</v>
      </c>
      <c r="S331">
        <v>22.01</v>
      </c>
      <c r="T331">
        <v>12.84</v>
      </c>
      <c r="U331">
        <v>16.559999999999999</v>
      </c>
      <c r="V331">
        <v>10.59</v>
      </c>
      <c r="W331">
        <v>42.31</v>
      </c>
      <c r="X331">
        <v>33.94</v>
      </c>
      <c r="Y331">
        <v>37.31</v>
      </c>
      <c r="Z331">
        <v>16.54</v>
      </c>
      <c r="AA331">
        <v>4662</v>
      </c>
      <c r="AB331">
        <v>4599</v>
      </c>
      <c r="AC331">
        <v>1949</v>
      </c>
    </row>
    <row r="332" spans="1:29" x14ac:dyDescent="0.3">
      <c r="A332" s="9">
        <v>43763</v>
      </c>
      <c r="B332">
        <v>18250</v>
      </c>
      <c r="C332">
        <v>11835</v>
      </c>
      <c r="D332">
        <v>132.9</v>
      </c>
      <c r="E332">
        <v>12.18</v>
      </c>
      <c r="F332">
        <v>15.41</v>
      </c>
      <c r="G332">
        <v>236</v>
      </c>
      <c r="H332">
        <v>73.5</v>
      </c>
      <c r="I332">
        <v>101.5</v>
      </c>
      <c r="J332">
        <v>3315</v>
      </c>
      <c r="K332">
        <v>1517</v>
      </c>
      <c r="L332">
        <v>15.03</v>
      </c>
      <c r="M332">
        <v>7.82</v>
      </c>
      <c r="N332">
        <v>13.58</v>
      </c>
      <c r="O332">
        <v>1.47</v>
      </c>
      <c r="P332">
        <v>3.45</v>
      </c>
      <c r="Q332">
        <v>9030</v>
      </c>
      <c r="R332">
        <v>10.52</v>
      </c>
      <c r="S332">
        <v>22.01</v>
      </c>
      <c r="T332">
        <v>13.07</v>
      </c>
      <c r="U332">
        <v>17.13</v>
      </c>
      <c r="V332">
        <v>10.91</v>
      </c>
      <c r="W332">
        <v>44.09</v>
      </c>
      <c r="X332">
        <v>34.909999999999997</v>
      </c>
      <c r="Y332">
        <v>39.76</v>
      </c>
      <c r="Z332">
        <v>16.72</v>
      </c>
      <c r="AA332">
        <v>4832</v>
      </c>
      <c r="AB332">
        <v>4632</v>
      </c>
      <c r="AC332">
        <v>1996</v>
      </c>
    </row>
    <row r="333" spans="1:29" x14ac:dyDescent="0.3">
      <c r="A333" s="9">
        <v>43756</v>
      </c>
      <c r="B333">
        <v>18160</v>
      </c>
      <c r="C333">
        <v>11360</v>
      </c>
      <c r="D333">
        <v>129.69999999999999</v>
      </c>
      <c r="E333">
        <v>12.44</v>
      </c>
      <c r="F333">
        <v>14.27</v>
      </c>
      <c r="G333">
        <v>239</v>
      </c>
      <c r="H333">
        <v>74.099999999999994</v>
      </c>
      <c r="I333">
        <v>101</v>
      </c>
      <c r="J333">
        <v>3375</v>
      </c>
      <c r="K333">
        <v>1496</v>
      </c>
      <c r="L333">
        <v>15.52</v>
      </c>
      <c r="M333">
        <v>7.48</v>
      </c>
      <c r="N333">
        <v>13.54</v>
      </c>
      <c r="O333">
        <v>1.39</v>
      </c>
      <c r="P333">
        <v>3.42</v>
      </c>
      <c r="Q333">
        <v>9050</v>
      </c>
      <c r="R333">
        <v>10.5</v>
      </c>
      <c r="S333">
        <v>22.02</v>
      </c>
      <c r="T333">
        <v>13.45</v>
      </c>
      <c r="U333">
        <v>17.350000000000001</v>
      </c>
      <c r="V333">
        <v>11.08</v>
      </c>
      <c r="W333">
        <v>45.3</v>
      </c>
      <c r="X333">
        <v>37.68</v>
      </c>
      <c r="Y333">
        <v>41.12</v>
      </c>
      <c r="Z333">
        <v>16.489999999999998</v>
      </c>
      <c r="AA333">
        <v>5274</v>
      </c>
      <c r="AB333">
        <v>5213</v>
      </c>
      <c r="AC333">
        <v>2182</v>
      </c>
    </row>
    <row r="334" spans="1:29" x14ac:dyDescent="0.3">
      <c r="A334" s="9">
        <v>43749</v>
      </c>
      <c r="B334">
        <v>22950</v>
      </c>
      <c r="C334">
        <v>12845</v>
      </c>
      <c r="D334">
        <v>167</v>
      </c>
      <c r="E334">
        <v>14.1</v>
      </c>
      <c r="F334">
        <v>18.329999999999998</v>
      </c>
      <c r="G334">
        <v>207.5</v>
      </c>
      <c r="H334">
        <v>73</v>
      </c>
      <c r="I334">
        <v>99.7</v>
      </c>
      <c r="J334">
        <v>3635</v>
      </c>
      <c r="K334">
        <v>1572</v>
      </c>
      <c r="L334">
        <v>16.399999999999999</v>
      </c>
      <c r="M334">
        <v>8.06</v>
      </c>
      <c r="N334">
        <v>14.2</v>
      </c>
      <c r="O334">
        <v>1.52</v>
      </c>
      <c r="P334">
        <v>3.75</v>
      </c>
      <c r="Q334">
        <v>9400</v>
      </c>
      <c r="R334">
        <v>11.72</v>
      </c>
      <c r="S334">
        <v>23.61</v>
      </c>
      <c r="T334">
        <v>14.05</v>
      </c>
      <c r="U334">
        <v>18.32</v>
      </c>
      <c r="V334">
        <v>11.77</v>
      </c>
      <c r="W334">
        <v>46.83</v>
      </c>
      <c r="X334">
        <v>39.24</v>
      </c>
      <c r="Y334">
        <v>42.07</v>
      </c>
      <c r="Z334">
        <v>18.05</v>
      </c>
      <c r="AA334">
        <v>5219</v>
      </c>
      <c r="AB334">
        <v>5052</v>
      </c>
      <c r="AC334">
        <v>2174</v>
      </c>
    </row>
    <row r="335" spans="1:29" x14ac:dyDescent="0.3">
      <c r="A335" s="9">
        <v>43742</v>
      </c>
      <c r="B335">
        <v>22200</v>
      </c>
      <c r="C335">
        <v>12580</v>
      </c>
      <c r="D335">
        <v>159.1</v>
      </c>
      <c r="E335">
        <v>14.94</v>
      </c>
      <c r="F335">
        <v>18.05</v>
      </c>
      <c r="G335">
        <v>205.5</v>
      </c>
      <c r="H335">
        <v>72.599999999999994</v>
      </c>
      <c r="I335">
        <v>92</v>
      </c>
      <c r="J335">
        <v>3600</v>
      </c>
      <c r="K335">
        <v>1526</v>
      </c>
      <c r="L335">
        <v>16.18</v>
      </c>
      <c r="M335">
        <v>7.23</v>
      </c>
      <c r="N335">
        <v>13.27</v>
      </c>
      <c r="O335">
        <v>1.43</v>
      </c>
      <c r="P335">
        <v>3.66</v>
      </c>
      <c r="Q335">
        <v>9820</v>
      </c>
      <c r="R335">
        <v>10.57</v>
      </c>
      <c r="S335">
        <v>21.55</v>
      </c>
      <c r="T335">
        <v>13.99</v>
      </c>
      <c r="U335">
        <v>18.34</v>
      </c>
      <c r="V335">
        <v>11.69</v>
      </c>
      <c r="W335">
        <v>44.53</v>
      </c>
      <c r="X335">
        <v>37.35</v>
      </c>
      <c r="Y335">
        <v>40.049999999999997</v>
      </c>
      <c r="Z335">
        <v>16.93</v>
      </c>
      <c r="AA335">
        <v>5271</v>
      </c>
      <c r="AB335">
        <v>5125</v>
      </c>
      <c r="AC335">
        <v>2177</v>
      </c>
    </row>
    <row r="336" spans="1:29" x14ac:dyDescent="0.3">
      <c r="A336" s="9">
        <v>43735</v>
      </c>
      <c r="B336">
        <v>21300</v>
      </c>
      <c r="C336">
        <v>11885</v>
      </c>
      <c r="D336">
        <v>144.4</v>
      </c>
      <c r="E336">
        <v>13.54</v>
      </c>
      <c r="F336">
        <v>17.45</v>
      </c>
      <c r="G336">
        <v>200.5</v>
      </c>
      <c r="H336">
        <v>73.400000000000006</v>
      </c>
      <c r="I336">
        <v>90.1</v>
      </c>
      <c r="J336">
        <v>3705</v>
      </c>
      <c r="K336">
        <v>1555</v>
      </c>
      <c r="L336">
        <v>16.510000000000002</v>
      </c>
      <c r="M336">
        <v>7.7</v>
      </c>
      <c r="N336">
        <v>13.24</v>
      </c>
      <c r="O336">
        <v>1.52</v>
      </c>
      <c r="P336">
        <v>3.8</v>
      </c>
      <c r="Q336">
        <v>9780</v>
      </c>
      <c r="R336">
        <v>10.46</v>
      </c>
      <c r="S336">
        <v>21.41</v>
      </c>
      <c r="T336">
        <v>14.17</v>
      </c>
      <c r="U336">
        <v>18.28</v>
      </c>
      <c r="V336">
        <v>11.58</v>
      </c>
      <c r="W336">
        <v>44.19</v>
      </c>
      <c r="X336">
        <v>37.049999999999997</v>
      </c>
      <c r="Y336">
        <v>39.74</v>
      </c>
      <c r="Z336">
        <v>15.98</v>
      </c>
      <c r="AA336">
        <v>4953</v>
      </c>
      <c r="AB336">
        <v>4901</v>
      </c>
      <c r="AC336">
        <v>2062.5</v>
      </c>
    </row>
    <row r="337" spans="1:29" x14ac:dyDescent="0.3">
      <c r="A337" s="9">
        <v>43728</v>
      </c>
      <c r="B337">
        <v>21600</v>
      </c>
      <c r="C337">
        <v>12340</v>
      </c>
      <c r="D337">
        <v>147.4</v>
      </c>
      <c r="E337">
        <v>13.16</v>
      </c>
      <c r="F337">
        <v>17.559999999999999</v>
      </c>
      <c r="G337">
        <v>196.5</v>
      </c>
      <c r="H337">
        <v>62.5</v>
      </c>
      <c r="I337">
        <v>89</v>
      </c>
      <c r="J337">
        <v>3685</v>
      </c>
      <c r="K337">
        <v>1577</v>
      </c>
      <c r="L337">
        <v>16.690000000000001</v>
      </c>
      <c r="M337">
        <v>7.7</v>
      </c>
      <c r="N337">
        <v>13.48</v>
      </c>
      <c r="O337">
        <v>1.55</v>
      </c>
      <c r="P337">
        <v>3.79</v>
      </c>
      <c r="Q337">
        <v>9900</v>
      </c>
      <c r="R337">
        <v>11.05</v>
      </c>
      <c r="S337">
        <v>22.5</v>
      </c>
      <c r="T337">
        <v>13.86</v>
      </c>
      <c r="U337">
        <v>17.63</v>
      </c>
      <c r="V337">
        <v>11.38</v>
      </c>
      <c r="W337">
        <v>44.48</v>
      </c>
      <c r="X337">
        <v>37.35</v>
      </c>
      <c r="Y337">
        <v>39.68</v>
      </c>
      <c r="Z337">
        <v>17.16</v>
      </c>
      <c r="AA337">
        <v>5120</v>
      </c>
      <c r="AB337">
        <v>4922</v>
      </c>
      <c r="AC337">
        <v>2067</v>
      </c>
    </row>
    <row r="338" spans="1:29" x14ac:dyDescent="0.3">
      <c r="A338" s="9">
        <v>43721</v>
      </c>
      <c r="B338">
        <v>24200</v>
      </c>
      <c r="C338">
        <v>12630</v>
      </c>
      <c r="D338">
        <v>142.9</v>
      </c>
      <c r="E338">
        <v>14.1</v>
      </c>
      <c r="F338">
        <v>17.510000000000002</v>
      </c>
      <c r="G338">
        <v>200</v>
      </c>
      <c r="H338">
        <v>62.9</v>
      </c>
      <c r="I338">
        <v>91.9</v>
      </c>
      <c r="J338">
        <v>3890</v>
      </c>
      <c r="K338">
        <v>1796</v>
      </c>
      <c r="L338">
        <v>17.399999999999999</v>
      </c>
      <c r="M338">
        <v>7.96</v>
      </c>
      <c r="N338">
        <v>14.12</v>
      </c>
      <c r="O338">
        <v>1.68</v>
      </c>
      <c r="P338">
        <v>3.88</v>
      </c>
      <c r="Q338">
        <v>10030</v>
      </c>
      <c r="R338">
        <v>11.98</v>
      </c>
      <c r="S338">
        <v>25.05</v>
      </c>
      <c r="T338">
        <v>14.58</v>
      </c>
      <c r="U338">
        <v>19.739999999999998</v>
      </c>
      <c r="V338">
        <v>12.15</v>
      </c>
      <c r="W338">
        <v>47.59</v>
      </c>
      <c r="X338">
        <v>39.909999999999997</v>
      </c>
      <c r="Y338">
        <v>43.4</v>
      </c>
      <c r="Z338">
        <v>18.649999999999999</v>
      </c>
      <c r="AA338">
        <v>5054</v>
      </c>
      <c r="AB338">
        <v>4813</v>
      </c>
      <c r="AC338">
        <v>2023</v>
      </c>
    </row>
    <row r="339" spans="1:29" x14ac:dyDescent="0.3">
      <c r="A339" s="9">
        <v>43714</v>
      </c>
      <c r="B339">
        <v>23000</v>
      </c>
      <c r="C339">
        <v>11785</v>
      </c>
      <c r="D339">
        <v>135.69999999999999</v>
      </c>
      <c r="E339">
        <v>13.82</v>
      </c>
      <c r="F339">
        <v>16.53</v>
      </c>
      <c r="G339">
        <v>202</v>
      </c>
      <c r="H339">
        <v>63.1</v>
      </c>
      <c r="I339">
        <v>91.6</v>
      </c>
      <c r="J339">
        <v>3910</v>
      </c>
      <c r="K339">
        <v>1671</v>
      </c>
      <c r="L339">
        <v>16.47</v>
      </c>
      <c r="M339">
        <v>7.63</v>
      </c>
      <c r="N339">
        <v>13.21</v>
      </c>
      <c r="O339">
        <v>1.57</v>
      </c>
      <c r="P339">
        <v>3.74</v>
      </c>
      <c r="Q339">
        <v>9830</v>
      </c>
      <c r="R339">
        <v>12.1</v>
      </c>
      <c r="S339">
        <v>25.56</v>
      </c>
      <c r="T339">
        <v>14.62</v>
      </c>
      <c r="U339">
        <v>18.98</v>
      </c>
      <c r="V339">
        <v>11.74</v>
      </c>
      <c r="W339">
        <v>45.42</v>
      </c>
      <c r="X339">
        <v>40.159999999999997</v>
      </c>
      <c r="Y339">
        <v>42.91</v>
      </c>
      <c r="Z339">
        <v>18.920000000000002</v>
      </c>
      <c r="AA339">
        <v>5180</v>
      </c>
      <c r="AB339">
        <v>4836</v>
      </c>
      <c r="AC339">
        <v>2062.5</v>
      </c>
    </row>
    <row r="340" spans="1:29" x14ac:dyDescent="0.3">
      <c r="A340" s="9">
        <v>43707</v>
      </c>
      <c r="B340">
        <v>22400</v>
      </c>
      <c r="C340">
        <v>12115</v>
      </c>
      <c r="D340">
        <v>128.5</v>
      </c>
      <c r="E340">
        <v>13.46</v>
      </c>
      <c r="F340">
        <v>16.53</v>
      </c>
      <c r="G340">
        <v>199.5</v>
      </c>
      <c r="H340">
        <v>61.1</v>
      </c>
      <c r="I340">
        <v>90.2</v>
      </c>
      <c r="J340">
        <v>3715</v>
      </c>
      <c r="K340">
        <v>1605</v>
      </c>
      <c r="L340">
        <v>17.12</v>
      </c>
      <c r="M340">
        <v>7.48</v>
      </c>
      <c r="N340">
        <v>13.17</v>
      </c>
      <c r="O340">
        <v>1.51</v>
      </c>
      <c r="P340">
        <v>3.69</v>
      </c>
      <c r="Q340">
        <v>9510</v>
      </c>
      <c r="R340">
        <v>12.01</v>
      </c>
      <c r="S340">
        <v>24.98</v>
      </c>
      <c r="T340">
        <v>14.53</v>
      </c>
      <c r="U340">
        <v>16.98</v>
      </c>
      <c r="V340">
        <v>11.04</v>
      </c>
      <c r="W340">
        <v>42.31</v>
      </c>
      <c r="X340">
        <v>37.020000000000003</v>
      </c>
      <c r="Y340">
        <v>40.4</v>
      </c>
      <c r="Z340">
        <v>17.079999999999998</v>
      </c>
      <c r="AA340">
        <v>5127</v>
      </c>
      <c r="AB340">
        <v>4777</v>
      </c>
      <c r="AC340">
        <v>2007</v>
      </c>
    </row>
    <row r="341" spans="1:29" x14ac:dyDescent="0.3">
      <c r="A341" s="9">
        <v>43700</v>
      </c>
      <c r="B341">
        <v>24300</v>
      </c>
      <c r="C341">
        <v>11740</v>
      </c>
      <c r="D341">
        <v>125.1</v>
      </c>
      <c r="E341">
        <v>13.78</v>
      </c>
      <c r="F341">
        <v>15.76</v>
      </c>
      <c r="G341">
        <v>197.5</v>
      </c>
      <c r="H341">
        <v>61</v>
      </c>
      <c r="I341">
        <v>89</v>
      </c>
      <c r="J341">
        <v>3845</v>
      </c>
      <c r="K341">
        <v>1703</v>
      </c>
      <c r="L341">
        <v>18.04</v>
      </c>
      <c r="M341">
        <v>7.94</v>
      </c>
      <c r="N341">
        <v>13.95</v>
      </c>
      <c r="O341">
        <v>1.52</v>
      </c>
      <c r="P341">
        <v>3.78</v>
      </c>
      <c r="Q341">
        <v>9930</v>
      </c>
      <c r="R341">
        <v>12.5</v>
      </c>
      <c r="S341">
        <v>25.96</v>
      </c>
      <c r="T341">
        <v>15.23</v>
      </c>
      <c r="U341">
        <v>17.440000000000001</v>
      </c>
      <c r="V341">
        <v>11.05</v>
      </c>
      <c r="W341">
        <v>44.25</v>
      </c>
      <c r="X341">
        <v>39.33</v>
      </c>
      <c r="Y341">
        <v>42.45</v>
      </c>
      <c r="Z341">
        <v>17.309999999999999</v>
      </c>
      <c r="AA341">
        <v>5188</v>
      </c>
      <c r="AB341">
        <v>4796</v>
      </c>
      <c r="AC341">
        <v>2053</v>
      </c>
    </row>
    <row r="342" spans="1:29" x14ac:dyDescent="0.3">
      <c r="A342" s="9">
        <v>43693</v>
      </c>
      <c r="B342">
        <v>25450</v>
      </c>
      <c r="C342">
        <v>12535</v>
      </c>
      <c r="D342">
        <v>127.3</v>
      </c>
      <c r="E342">
        <v>13.86</v>
      </c>
      <c r="F342">
        <v>15.94</v>
      </c>
      <c r="G342">
        <v>198</v>
      </c>
      <c r="H342">
        <v>61.2</v>
      </c>
      <c r="I342">
        <v>88.5</v>
      </c>
      <c r="J342">
        <v>4045</v>
      </c>
      <c r="K342">
        <v>1890</v>
      </c>
      <c r="L342">
        <v>18.52</v>
      </c>
      <c r="M342">
        <v>8.41</v>
      </c>
      <c r="N342">
        <v>15.1</v>
      </c>
      <c r="O342">
        <v>1.62</v>
      </c>
      <c r="P342">
        <v>4.1100000000000003</v>
      </c>
      <c r="Q342">
        <v>10410</v>
      </c>
      <c r="R342">
        <v>13.35</v>
      </c>
      <c r="S342">
        <v>28.92</v>
      </c>
      <c r="T342">
        <v>15.52</v>
      </c>
      <c r="U342">
        <v>19.079999999999998</v>
      </c>
      <c r="V342">
        <v>11.21</v>
      </c>
      <c r="W342">
        <v>44.08</v>
      </c>
      <c r="X342">
        <v>40.04</v>
      </c>
      <c r="Y342">
        <v>45.41</v>
      </c>
      <c r="Z342">
        <v>18.23</v>
      </c>
      <c r="AA342">
        <v>5192</v>
      </c>
      <c r="AB342">
        <v>4765</v>
      </c>
      <c r="AC342">
        <v>2048</v>
      </c>
    </row>
    <row r="343" spans="1:29" x14ac:dyDescent="0.3">
      <c r="A343" s="9">
        <v>43686</v>
      </c>
      <c r="B343">
        <v>25000</v>
      </c>
      <c r="C343">
        <v>12975</v>
      </c>
      <c r="D343">
        <v>126.1</v>
      </c>
      <c r="E343">
        <v>13.82</v>
      </c>
      <c r="F343">
        <v>15.48</v>
      </c>
      <c r="G343">
        <v>190.5</v>
      </c>
      <c r="H343">
        <v>59.6</v>
      </c>
      <c r="I343">
        <v>84.1</v>
      </c>
      <c r="J343">
        <v>4210</v>
      </c>
      <c r="K343">
        <v>1884</v>
      </c>
      <c r="L343">
        <v>18.559999999999999</v>
      </c>
      <c r="M343">
        <v>8.23</v>
      </c>
      <c r="N343">
        <v>15.22</v>
      </c>
      <c r="O343">
        <v>1.6</v>
      </c>
      <c r="P343">
        <v>4.12</v>
      </c>
      <c r="Q343">
        <v>10500</v>
      </c>
      <c r="R343">
        <v>13.08</v>
      </c>
      <c r="S343">
        <v>28.51</v>
      </c>
      <c r="T343">
        <v>15.76</v>
      </c>
      <c r="U343">
        <v>18.329999999999998</v>
      </c>
      <c r="V343">
        <v>10.86</v>
      </c>
      <c r="W343">
        <v>44.06</v>
      </c>
      <c r="X343">
        <v>38.880000000000003</v>
      </c>
      <c r="Y343">
        <v>43.55</v>
      </c>
      <c r="Z343">
        <v>17.64</v>
      </c>
      <c r="AA343">
        <v>5389</v>
      </c>
      <c r="AB343">
        <v>5060</v>
      </c>
      <c r="AC343">
        <v>2176</v>
      </c>
    </row>
    <row r="344" spans="1:29" x14ac:dyDescent="0.3">
      <c r="A344" s="9">
        <v>43679</v>
      </c>
      <c r="B344">
        <v>24600</v>
      </c>
      <c r="C344">
        <v>13815</v>
      </c>
      <c r="D344">
        <v>133.6</v>
      </c>
      <c r="E344">
        <v>15.42</v>
      </c>
      <c r="F344">
        <v>16.73</v>
      </c>
      <c r="G344">
        <v>185.5</v>
      </c>
      <c r="H344">
        <v>57.7</v>
      </c>
      <c r="I344">
        <v>82.8</v>
      </c>
      <c r="J344">
        <v>4295</v>
      </c>
      <c r="K344">
        <v>1849</v>
      </c>
      <c r="L344">
        <v>18.8</v>
      </c>
      <c r="M344">
        <v>8.67</v>
      </c>
      <c r="N344">
        <v>16.170000000000002</v>
      </c>
      <c r="O344">
        <v>1.63</v>
      </c>
      <c r="P344">
        <v>4.24</v>
      </c>
      <c r="Q344">
        <v>10550</v>
      </c>
      <c r="R344">
        <v>13.72</v>
      </c>
      <c r="S344">
        <v>28.98</v>
      </c>
      <c r="T344">
        <v>16.02</v>
      </c>
      <c r="U344">
        <v>18.52</v>
      </c>
      <c r="V344">
        <v>10.95</v>
      </c>
      <c r="W344">
        <v>44.17</v>
      </c>
      <c r="X344">
        <v>40.270000000000003</v>
      </c>
      <c r="Y344">
        <v>44.09</v>
      </c>
      <c r="Z344">
        <v>18.600000000000001</v>
      </c>
      <c r="AA344">
        <v>5269</v>
      </c>
      <c r="AB344">
        <v>4921</v>
      </c>
      <c r="AC344">
        <v>2128</v>
      </c>
    </row>
    <row r="345" spans="1:29" x14ac:dyDescent="0.3">
      <c r="A345" s="9">
        <v>43672</v>
      </c>
      <c r="B345">
        <v>23000</v>
      </c>
      <c r="C345">
        <v>12720</v>
      </c>
      <c r="D345">
        <v>124.2</v>
      </c>
      <c r="E345">
        <v>14.3</v>
      </c>
      <c r="F345">
        <v>15.42</v>
      </c>
      <c r="G345">
        <v>186.5</v>
      </c>
      <c r="H345">
        <v>57.9</v>
      </c>
      <c r="I345">
        <v>82.2</v>
      </c>
      <c r="J345">
        <v>3960</v>
      </c>
      <c r="K345">
        <v>1758</v>
      </c>
      <c r="L345">
        <v>18.420000000000002</v>
      </c>
      <c r="M345">
        <v>8.3699999999999992</v>
      </c>
      <c r="N345">
        <v>15.82</v>
      </c>
      <c r="O345">
        <v>1.49</v>
      </c>
      <c r="P345">
        <v>3.92</v>
      </c>
      <c r="Q345">
        <v>10050</v>
      </c>
      <c r="R345">
        <v>13.25</v>
      </c>
      <c r="S345">
        <v>27.08</v>
      </c>
      <c r="T345">
        <v>15.47</v>
      </c>
      <c r="U345">
        <v>18.8</v>
      </c>
      <c r="V345">
        <v>11.19</v>
      </c>
      <c r="W345">
        <v>42.6</v>
      </c>
      <c r="X345">
        <v>40.19</v>
      </c>
      <c r="Y345">
        <v>47.05</v>
      </c>
      <c r="Z345">
        <v>18.41</v>
      </c>
      <c r="AA345">
        <v>5230</v>
      </c>
      <c r="AB345">
        <v>4892</v>
      </c>
      <c r="AC345">
        <v>2212.5</v>
      </c>
    </row>
    <row r="346" spans="1:29" x14ac:dyDescent="0.3">
      <c r="A346" s="9">
        <v>43665</v>
      </c>
      <c r="B346">
        <v>23000</v>
      </c>
      <c r="C346">
        <v>13960</v>
      </c>
      <c r="D346">
        <v>130.4</v>
      </c>
      <c r="E346">
        <v>14.7</v>
      </c>
      <c r="F346">
        <v>15.5</v>
      </c>
      <c r="G346">
        <v>185.5</v>
      </c>
      <c r="H346">
        <v>56.5</v>
      </c>
      <c r="I346">
        <v>80</v>
      </c>
      <c r="J346">
        <v>4150</v>
      </c>
      <c r="K346">
        <v>1799</v>
      </c>
      <c r="L346">
        <v>18.84</v>
      </c>
      <c r="M346">
        <v>8.52</v>
      </c>
      <c r="N346">
        <v>16.25</v>
      </c>
      <c r="O346">
        <v>1.56</v>
      </c>
      <c r="P346">
        <v>4.1900000000000004</v>
      </c>
      <c r="Q346">
        <v>10050</v>
      </c>
      <c r="R346">
        <v>14.78</v>
      </c>
      <c r="S346">
        <v>30.72</v>
      </c>
      <c r="T346">
        <v>15.86</v>
      </c>
      <c r="U346">
        <v>19.14</v>
      </c>
      <c r="V346">
        <v>11.43</v>
      </c>
      <c r="W346">
        <v>44.63</v>
      </c>
      <c r="X346">
        <v>42.86</v>
      </c>
      <c r="Y346">
        <v>45.7</v>
      </c>
      <c r="Z346">
        <v>19.23</v>
      </c>
      <c r="AA346">
        <v>5278</v>
      </c>
      <c r="AB346">
        <v>4935</v>
      </c>
      <c r="AC346">
        <v>2260</v>
      </c>
    </row>
    <row r="347" spans="1:29" x14ac:dyDescent="0.3">
      <c r="A347" s="9">
        <v>43658</v>
      </c>
      <c r="B347">
        <v>22100</v>
      </c>
      <c r="C347">
        <v>14095</v>
      </c>
      <c r="D347">
        <v>119.6</v>
      </c>
      <c r="E347">
        <v>14.46</v>
      </c>
      <c r="F347">
        <v>16.309999999999999</v>
      </c>
      <c r="G347">
        <v>188.5</v>
      </c>
      <c r="H347">
        <v>57.1</v>
      </c>
      <c r="I347">
        <v>81.5</v>
      </c>
      <c r="J347">
        <v>4100</v>
      </c>
      <c r="K347">
        <v>1760</v>
      </c>
      <c r="L347">
        <v>18.66</v>
      </c>
      <c r="M347">
        <v>8</v>
      </c>
      <c r="N347">
        <v>16.32</v>
      </c>
      <c r="O347">
        <v>1.55</v>
      </c>
      <c r="P347">
        <v>4.25</v>
      </c>
      <c r="Q347">
        <v>9540</v>
      </c>
      <c r="R347">
        <v>14.74</v>
      </c>
      <c r="S347">
        <v>30.06</v>
      </c>
      <c r="T347">
        <v>15.72</v>
      </c>
      <c r="U347">
        <v>18.79</v>
      </c>
      <c r="V347">
        <v>11.2</v>
      </c>
      <c r="W347">
        <v>44.35</v>
      </c>
      <c r="X347">
        <v>41.64</v>
      </c>
      <c r="Y347">
        <v>44.96</v>
      </c>
      <c r="Z347">
        <v>20</v>
      </c>
      <c r="AA347">
        <v>5278</v>
      </c>
      <c r="AB347">
        <v>4852</v>
      </c>
      <c r="AC347">
        <v>2280</v>
      </c>
    </row>
    <row r="348" spans="1:29" x14ac:dyDescent="0.3">
      <c r="A348" s="9">
        <v>43651</v>
      </c>
      <c r="B348">
        <v>22600</v>
      </c>
      <c r="C348">
        <v>13850</v>
      </c>
      <c r="D348">
        <v>120.8</v>
      </c>
      <c r="E348">
        <v>14.51</v>
      </c>
      <c r="F348">
        <v>14.37</v>
      </c>
      <c r="G348">
        <v>178</v>
      </c>
      <c r="H348">
        <v>53.3</v>
      </c>
      <c r="I348">
        <v>74.2</v>
      </c>
      <c r="J348">
        <v>4005</v>
      </c>
      <c r="K348">
        <v>1715</v>
      </c>
      <c r="L348">
        <v>19.12</v>
      </c>
      <c r="M348" t="e">
        <v>#N/A</v>
      </c>
      <c r="N348">
        <v>16.78</v>
      </c>
      <c r="O348">
        <v>1.61</v>
      </c>
      <c r="P348">
        <v>4.33</v>
      </c>
      <c r="Q348">
        <v>9430</v>
      </c>
      <c r="R348">
        <v>16.39</v>
      </c>
      <c r="S348">
        <v>32.090000000000003</v>
      </c>
      <c r="T348">
        <v>16.399999999999999</v>
      </c>
      <c r="U348">
        <v>20.57</v>
      </c>
      <c r="V348">
        <v>11.63</v>
      </c>
      <c r="W348">
        <v>48.11</v>
      </c>
      <c r="X348">
        <v>44.73</v>
      </c>
      <c r="Y348">
        <v>48.97</v>
      </c>
      <c r="Z348">
        <v>21.06</v>
      </c>
      <c r="AA348">
        <v>5333</v>
      </c>
      <c r="AB348">
        <v>4749</v>
      </c>
      <c r="AC348">
        <v>2268.5</v>
      </c>
    </row>
    <row r="349" spans="1:29" x14ac:dyDescent="0.3">
      <c r="A349" s="9">
        <v>43644</v>
      </c>
      <c r="B349">
        <v>22100</v>
      </c>
      <c r="C349">
        <v>13135</v>
      </c>
      <c r="D349">
        <v>118.6</v>
      </c>
      <c r="E349">
        <v>13.55</v>
      </c>
      <c r="F349">
        <v>13.61</v>
      </c>
      <c r="G349">
        <v>180.5</v>
      </c>
      <c r="H349">
        <v>52</v>
      </c>
      <c r="I349">
        <v>73.5</v>
      </c>
      <c r="J349">
        <v>3895</v>
      </c>
      <c r="K349">
        <v>1714</v>
      </c>
      <c r="L349">
        <v>18.649999999999999</v>
      </c>
      <c r="M349" t="e">
        <v>#N/A</v>
      </c>
      <c r="N349">
        <v>16.84</v>
      </c>
      <c r="O349">
        <v>1.64</v>
      </c>
      <c r="P349">
        <v>4.25</v>
      </c>
      <c r="Q349">
        <v>9500</v>
      </c>
      <c r="R349">
        <v>15.57</v>
      </c>
      <c r="S349">
        <v>31.98</v>
      </c>
      <c r="T349">
        <v>16.09</v>
      </c>
      <c r="U349">
        <v>20.9</v>
      </c>
      <c r="V349">
        <v>11.72</v>
      </c>
      <c r="W349">
        <v>49.17</v>
      </c>
      <c r="X349">
        <v>45.42</v>
      </c>
      <c r="Y349">
        <v>50.4</v>
      </c>
      <c r="Z349">
        <v>21.75</v>
      </c>
      <c r="AA349">
        <v>5520</v>
      </c>
      <c r="AB349">
        <v>4813</v>
      </c>
      <c r="AC349">
        <v>2318</v>
      </c>
    </row>
    <row r="350" spans="1:29" x14ac:dyDescent="0.3">
      <c r="A350" s="9">
        <v>43637</v>
      </c>
      <c r="B350">
        <v>22950</v>
      </c>
      <c r="C350">
        <v>13500</v>
      </c>
      <c r="D350">
        <v>118.2</v>
      </c>
      <c r="E350">
        <v>13.68</v>
      </c>
      <c r="F350">
        <v>13.49</v>
      </c>
      <c r="G350">
        <v>178.5</v>
      </c>
      <c r="H350">
        <v>51.3</v>
      </c>
      <c r="I350">
        <v>74.2</v>
      </c>
      <c r="J350">
        <v>3975</v>
      </c>
      <c r="K350">
        <v>1729</v>
      </c>
      <c r="L350">
        <v>19.309999999999999</v>
      </c>
      <c r="M350" t="e">
        <v>#N/A</v>
      </c>
      <c r="N350">
        <v>17.8</v>
      </c>
      <c r="O350">
        <v>1.67</v>
      </c>
      <c r="P350">
        <v>4.45</v>
      </c>
      <c r="Q350">
        <v>9500</v>
      </c>
      <c r="R350">
        <v>15.27</v>
      </c>
      <c r="S350">
        <v>31.09</v>
      </c>
      <c r="T350">
        <v>16.62</v>
      </c>
      <c r="U350">
        <v>22.15</v>
      </c>
      <c r="V350">
        <v>12.46</v>
      </c>
      <c r="W350">
        <v>52.08</v>
      </c>
      <c r="X350">
        <v>46.79</v>
      </c>
      <c r="Y350">
        <v>53.05</v>
      </c>
      <c r="Z350">
        <v>23.02</v>
      </c>
      <c r="AA350">
        <v>5537</v>
      </c>
      <c r="AB350">
        <v>4826</v>
      </c>
      <c r="AC350">
        <v>2331</v>
      </c>
    </row>
    <row r="351" spans="1:29" x14ac:dyDescent="0.3">
      <c r="A351" s="9">
        <v>43630</v>
      </c>
      <c r="B351">
        <v>24300</v>
      </c>
      <c r="C351">
        <v>13380</v>
      </c>
      <c r="D351">
        <v>119.5</v>
      </c>
      <c r="E351">
        <v>13.84</v>
      </c>
      <c r="F351">
        <v>13.63</v>
      </c>
      <c r="G351">
        <v>186.5</v>
      </c>
      <c r="H351">
        <v>54.1</v>
      </c>
      <c r="I351">
        <v>80.2</v>
      </c>
      <c r="J351">
        <v>4165</v>
      </c>
      <c r="K351">
        <v>1844</v>
      </c>
      <c r="L351">
        <v>19.21</v>
      </c>
      <c r="M351" t="e">
        <v>#N/A</v>
      </c>
      <c r="N351">
        <v>18.02</v>
      </c>
      <c r="O351">
        <v>1.94</v>
      </c>
      <c r="P351">
        <v>4.55</v>
      </c>
      <c r="Q351">
        <v>9570</v>
      </c>
      <c r="R351">
        <v>16.05</v>
      </c>
      <c r="S351">
        <v>31.69</v>
      </c>
      <c r="T351">
        <v>16.52</v>
      </c>
      <c r="U351">
        <v>23.23</v>
      </c>
      <c r="V351">
        <v>12.34</v>
      </c>
      <c r="W351">
        <v>52.1</v>
      </c>
      <c r="X351">
        <v>47.11</v>
      </c>
      <c r="Y351">
        <v>58.69</v>
      </c>
      <c r="Z351">
        <v>22.56</v>
      </c>
      <c r="AA351">
        <v>5445</v>
      </c>
      <c r="AB351">
        <v>4776</v>
      </c>
      <c r="AC351">
        <v>2282</v>
      </c>
    </row>
    <row r="352" spans="1:29" x14ac:dyDescent="0.3">
      <c r="A352" s="9">
        <v>43623</v>
      </c>
      <c r="B352">
        <v>22450</v>
      </c>
      <c r="C352">
        <v>13005</v>
      </c>
      <c r="D352">
        <v>117.6</v>
      </c>
      <c r="E352">
        <v>13.82</v>
      </c>
      <c r="F352">
        <v>14.37</v>
      </c>
      <c r="G352">
        <v>185</v>
      </c>
      <c r="H352">
        <v>54</v>
      </c>
      <c r="I352">
        <v>77</v>
      </c>
      <c r="J352">
        <v>4100</v>
      </c>
      <c r="K352">
        <v>1797</v>
      </c>
      <c r="L352">
        <v>19.7</v>
      </c>
      <c r="M352" t="e">
        <v>#N/A</v>
      </c>
      <c r="N352">
        <v>18.71</v>
      </c>
      <c r="O352">
        <v>1.85</v>
      </c>
      <c r="P352">
        <v>4.53</v>
      </c>
      <c r="Q352">
        <v>9470</v>
      </c>
      <c r="R352">
        <v>15.33</v>
      </c>
      <c r="S352">
        <v>31.85</v>
      </c>
      <c r="T352">
        <v>16.5</v>
      </c>
      <c r="U352">
        <v>23.21</v>
      </c>
      <c r="V352">
        <v>12.5</v>
      </c>
      <c r="W352">
        <v>53.46</v>
      </c>
      <c r="X352">
        <v>47.61</v>
      </c>
      <c r="Y352">
        <v>58.81</v>
      </c>
      <c r="Z352">
        <v>22.57</v>
      </c>
      <c r="AA352">
        <v>5333</v>
      </c>
      <c r="AB352">
        <v>4693</v>
      </c>
      <c r="AC352">
        <v>2240.5</v>
      </c>
    </row>
    <row r="353" spans="1:29" x14ac:dyDescent="0.3">
      <c r="A353" s="9">
        <v>43616</v>
      </c>
      <c r="B353">
        <v>20550</v>
      </c>
      <c r="C353">
        <v>12785</v>
      </c>
      <c r="D353">
        <v>114.9</v>
      </c>
      <c r="E353">
        <v>12.13</v>
      </c>
      <c r="F353">
        <v>13.94</v>
      </c>
      <c r="G353">
        <v>193.5</v>
      </c>
      <c r="H353">
        <v>57.5</v>
      </c>
      <c r="I353">
        <v>82.1</v>
      </c>
      <c r="J353">
        <v>3905</v>
      </c>
      <c r="K353">
        <v>1715</v>
      </c>
      <c r="L353">
        <v>19.27</v>
      </c>
      <c r="M353" t="e">
        <v>#N/A</v>
      </c>
      <c r="N353">
        <v>18.32</v>
      </c>
      <c r="O353">
        <v>1.77</v>
      </c>
      <c r="P353">
        <v>4.5999999999999996</v>
      </c>
      <c r="Q353">
        <v>9110</v>
      </c>
      <c r="R353">
        <v>15.15</v>
      </c>
      <c r="S353">
        <v>31.21</v>
      </c>
      <c r="T353">
        <v>16.02</v>
      </c>
      <c r="U353">
        <v>23.09</v>
      </c>
      <c r="V353">
        <v>12.31</v>
      </c>
      <c r="W353">
        <v>52.37</v>
      </c>
      <c r="X353">
        <v>47.22</v>
      </c>
      <c r="Y353">
        <v>57.81</v>
      </c>
      <c r="Z353">
        <v>21.32</v>
      </c>
      <c r="AA353">
        <v>5050</v>
      </c>
      <c r="AB353">
        <v>4394</v>
      </c>
      <c r="AC353">
        <v>2069</v>
      </c>
    </row>
    <row r="354" spans="1:29" x14ac:dyDescent="0.3">
      <c r="A354" s="9">
        <v>43609</v>
      </c>
      <c r="B354">
        <v>20400</v>
      </c>
      <c r="C354">
        <v>12725</v>
      </c>
      <c r="D354">
        <v>118.4</v>
      </c>
      <c r="E354">
        <v>12.06</v>
      </c>
      <c r="F354">
        <v>13.91</v>
      </c>
      <c r="G354">
        <v>187</v>
      </c>
      <c r="H354">
        <v>54.3</v>
      </c>
      <c r="I354">
        <v>82.6</v>
      </c>
      <c r="J354">
        <v>3785</v>
      </c>
      <c r="K354">
        <v>1707</v>
      </c>
      <c r="L354">
        <v>18.41</v>
      </c>
      <c r="M354" t="e">
        <v>#N/A</v>
      </c>
      <c r="N354">
        <v>17.22</v>
      </c>
      <c r="O354">
        <v>1.69</v>
      </c>
      <c r="P354">
        <v>4.47</v>
      </c>
      <c r="Q354">
        <v>9380</v>
      </c>
      <c r="R354">
        <v>13.85</v>
      </c>
      <c r="S354">
        <v>28.82</v>
      </c>
      <c r="T354">
        <v>15.76</v>
      </c>
      <c r="U354">
        <v>23.16</v>
      </c>
      <c r="V354">
        <v>11.85</v>
      </c>
      <c r="W354">
        <v>51.45</v>
      </c>
      <c r="X354">
        <v>47.09</v>
      </c>
      <c r="Y354">
        <v>57.3</v>
      </c>
      <c r="Z354">
        <v>21.93</v>
      </c>
      <c r="AA354">
        <v>4978</v>
      </c>
      <c r="AB354">
        <v>4347</v>
      </c>
      <c r="AC354">
        <v>2019.5</v>
      </c>
    </row>
    <row r="355" spans="1:29" x14ac:dyDescent="0.3">
      <c r="A355" s="9">
        <v>43602</v>
      </c>
      <c r="B355">
        <v>19870</v>
      </c>
      <c r="C355">
        <v>12025</v>
      </c>
      <c r="D355">
        <v>113.1</v>
      </c>
      <c r="E355">
        <v>11.96</v>
      </c>
      <c r="F355">
        <v>12.44</v>
      </c>
      <c r="G355">
        <v>185.5</v>
      </c>
      <c r="H355">
        <v>53.7</v>
      </c>
      <c r="I355">
        <v>82.5</v>
      </c>
      <c r="J355">
        <v>3590</v>
      </c>
      <c r="K355">
        <v>1663</v>
      </c>
      <c r="L355">
        <v>16.79</v>
      </c>
      <c r="M355" t="e">
        <v>#N/A</v>
      </c>
      <c r="N355">
        <v>15.57</v>
      </c>
      <c r="O355">
        <v>1.57</v>
      </c>
      <c r="P355">
        <v>4.1399999999999997</v>
      </c>
      <c r="Q355">
        <v>9080</v>
      </c>
      <c r="R355">
        <v>12.51</v>
      </c>
      <c r="S355">
        <v>26.17</v>
      </c>
      <c r="T355">
        <v>14.4</v>
      </c>
      <c r="U355">
        <v>22.73</v>
      </c>
      <c r="V355">
        <v>11.41</v>
      </c>
      <c r="W355">
        <v>49.13</v>
      </c>
      <c r="X355">
        <v>43.5</v>
      </c>
      <c r="Y355">
        <v>54.11</v>
      </c>
      <c r="Z355">
        <v>19.850000000000001</v>
      </c>
      <c r="AA355">
        <v>5050</v>
      </c>
      <c r="AB355">
        <v>4346</v>
      </c>
      <c r="AC355">
        <v>2101.5</v>
      </c>
    </row>
    <row r="356" spans="1:29" x14ac:dyDescent="0.3">
      <c r="A356" s="9">
        <v>43595</v>
      </c>
      <c r="B356">
        <v>20800</v>
      </c>
      <c r="C356">
        <v>13055</v>
      </c>
      <c r="D356">
        <v>121.1</v>
      </c>
      <c r="E356">
        <v>12.77</v>
      </c>
      <c r="F356">
        <v>13.45</v>
      </c>
      <c r="G356">
        <v>180</v>
      </c>
      <c r="H356">
        <v>51</v>
      </c>
      <c r="I356">
        <v>79.7</v>
      </c>
      <c r="J356">
        <v>3690</v>
      </c>
      <c r="K356">
        <v>1669</v>
      </c>
      <c r="L356">
        <v>17.68</v>
      </c>
      <c r="M356" t="e">
        <v>#N/A</v>
      </c>
      <c r="N356">
        <v>16.22</v>
      </c>
      <c r="O356">
        <v>1.69</v>
      </c>
      <c r="P356">
        <v>4.3099999999999996</v>
      </c>
      <c r="Q356">
        <v>9390</v>
      </c>
      <c r="R356">
        <v>12.32</v>
      </c>
      <c r="S356">
        <v>26.9</v>
      </c>
      <c r="T356">
        <v>14.91</v>
      </c>
      <c r="U356">
        <v>23.36</v>
      </c>
      <c r="V356">
        <v>12.11</v>
      </c>
      <c r="W356">
        <v>53.86</v>
      </c>
      <c r="X356">
        <v>46.11</v>
      </c>
      <c r="Y356">
        <v>57.47</v>
      </c>
      <c r="Z356">
        <v>20.7</v>
      </c>
      <c r="AA356">
        <v>5209</v>
      </c>
      <c r="AB356">
        <v>4492</v>
      </c>
      <c r="AC356">
        <v>2164</v>
      </c>
    </row>
    <row r="357" spans="1:29" x14ac:dyDescent="0.3">
      <c r="A357" s="9">
        <v>43588</v>
      </c>
      <c r="B357">
        <v>20550</v>
      </c>
      <c r="C357">
        <v>13075</v>
      </c>
      <c r="D357">
        <v>119</v>
      </c>
      <c r="E357">
        <v>12.98</v>
      </c>
      <c r="F357">
        <v>13.72</v>
      </c>
      <c r="G357">
        <v>179.5</v>
      </c>
      <c r="H357">
        <v>52</v>
      </c>
      <c r="I357">
        <v>80.599999999999994</v>
      </c>
      <c r="J357">
        <v>3830</v>
      </c>
      <c r="K357">
        <v>1798</v>
      </c>
      <c r="L357">
        <v>17.510000000000002</v>
      </c>
      <c r="M357" t="e">
        <v>#N/A</v>
      </c>
      <c r="N357">
        <v>16.02</v>
      </c>
      <c r="O357">
        <v>1.71</v>
      </c>
      <c r="P357">
        <v>4.45</v>
      </c>
      <c r="Q357">
        <v>9400</v>
      </c>
      <c r="R357">
        <v>12.41</v>
      </c>
      <c r="S357">
        <v>27.61</v>
      </c>
      <c r="T357">
        <v>15.73</v>
      </c>
      <c r="U357">
        <v>23.54</v>
      </c>
      <c r="V357">
        <v>12.5</v>
      </c>
      <c r="W357">
        <v>58.78</v>
      </c>
      <c r="X357">
        <v>48.27</v>
      </c>
      <c r="Y357">
        <v>60.37</v>
      </c>
      <c r="Z357">
        <v>21.15</v>
      </c>
      <c r="AA357">
        <v>5331</v>
      </c>
      <c r="AB357">
        <v>4583</v>
      </c>
      <c r="AC357">
        <v>2213</v>
      </c>
    </row>
    <row r="358" spans="1:29" x14ac:dyDescent="0.3">
      <c r="A358" s="9">
        <v>43581</v>
      </c>
      <c r="B358">
        <v>20550</v>
      </c>
      <c r="C358">
        <v>13355</v>
      </c>
      <c r="D358">
        <v>124.6</v>
      </c>
      <c r="E358">
        <v>13.49</v>
      </c>
      <c r="F358">
        <v>15.38</v>
      </c>
      <c r="G358">
        <v>183</v>
      </c>
      <c r="H358">
        <v>51.7</v>
      </c>
      <c r="I358">
        <v>79.7</v>
      </c>
      <c r="J358">
        <v>3830</v>
      </c>
      <c r="K358">
        <v>1878</v>
      </c>
      <c r="L358">
        <v>18.82</v>
      </c>
      <c r="M358" t="e">
        <v>#N/A</v>
      </c>
      <c r="N358">
        <v>17.04</v>
      </c>
      <c r="O358">
        <v>1.75</v>
      </c>
      <c r="P358">
        <v>4.6900000000000004</v>
      </c>
      <c r="Q358">
        <v>9240</v>
      </c>
      <c r="R358">
        <v>13.45</v>
      </c>
      <c r="S358">
        <v>28.85</v>
      </c>
      <c r="T358">
        <v>16.440000000000001</v>
      </c>
      <c r="U358">
        <v>25.04</v>
      </c>
      <c r="V358">
        <v>13.28</v>
      </c>
      <c r="W358">
        <v>61</v>
      </c>
      <c r="X358">
        <v>51.23</v>
      </c>
      <c r="Y358">
        <v>61.7</v>
      </c>
      <c r="Z358">
        <v>21.95</v>
      </c>
      <c r="AA358">
        <v>5030</v>
      </c>
      <c r="AB358">
        <v>4464</v>
      </c>
      <c r="AC358">
        <v>2118</v>
      </c>
    </row>
    <row r="359" spans="1:29" x14ac:dyDescent="0.3">
      <c r="A359" s="9">
        <v>43574</v>
      </c>
      <c r="B359">
        <v>19820</v>
      </c>
      <c r="C359">
        <v>12905</v>
      </c>
      <c r="D359">
        <v>117.6</v>
      </c>
      <c r="E359">
        <v>14.2</v>
      </c>
      <c r="F359">
        <v>14.73</v>
      </c>
      <c r="G359">
        <v>183</v>
      </c>
      <c r="H359">
        <v>50.8</v>
      </c>
      <c r="I359">
        <v>78.2</v>
      </c>
      <c r="J359">
        <v>3800</v>
      </c>
      <c r="K359">
        <v>1785</v>
      </c>
      <c r="L359">
        <v>18.190000000000001</v>
      </c>
      <c r="M359" t="e">
        <v>#N/A</v>
      </c>
      <c r="N359">
        <v>16.91</v>
      </c>
      <c r="O359">
        <v>1.7</v>
      </c>
      <c r="P359">
        <v>4.78</v>
      </c>
      <c r="Q359">
        <v>8870</v>
      </c>
      <c r="R359">
        <v>13.47</v>
      </c>
      <c r="S359">
        <v>27.79</v>
      </c>
      <c r="T359">
        <v>17.05</v>
      </c>
      <c r="U359">
        <v>23.66</v>
      </c>
      <c r="V359">
        <v>13.34</v>
      </c>
      <c r="W359">
        <v>60.94</v>
      </c>
      <c r="X359">
        <v>53.31</v>
      </c>
      <c r="Y359">
        <v>63.97</v>
      </c>
      <c r="Z359">
        <v>22.78</v>
      </c>
      <c r="AA359">
        <v>4974</v>
      </c>
      <c r="AB359">
        <v>4490</v>
      </c>
      <c r="AC359">
        <v>2109</v>
      </c>
    </row>
    <row r="360" spans="1:29" x14ac:dyDescent="0.3">
      <c r="A360" s="9">
        <v>43567</v>
      </c>
      <c r="B360">
        <v>19420</v>
      </c>
      <c r="C360">
        <v>12680</v>
      </c>
      <c r="D360">
        <v>115.4</v>
      </c>
      <c r="E360">
        <v>14.16</v>
      </c>
      <c r="F360">
        <v>16.02</v>
      </c>
      <c r="G360">
        <v>185.5</v>
      </c>
      <c r="H360">
        <v>52.3</v>
      </c>
      <c r="I360">
        <v>78</v>
      </c>
      <c r="J360">
        <v>3725</v>
      </c>
      <c r="K360">
        <v>1769</v>
      </c>
      <c r="L360">
        <v>18.920000000000002</v>
      </c>
      <c r="M360" t="e">
        <v>#N/A</v>
      </c>
      <c r="N360">
        <v>17.559999999999999</v>
      </c>
      <c r="O360">
        <v>1.79</v>
      </c>
      <c r="P360">
        <v>4.83</v>
      </c>
      <c r="Q360">
        <v>9040</v>
      </c>
      <c r="R360">
        <v>13.07</v>
      </c>
      <c r="S360">
        <v>26.72</v>
      </c>
      <c r="T360">
        <v>17.649999999999999</v>
      </c>
      <c r="U360">
        <v>25.48</v>
      </c>
      <c r="V360">
        <v>13.67</v>
      </c>
      <c r="W360">
        <v>62.47</v>
      </c>
      <c r="X360">
        <v>53.98</v>
      </c>
      <c r="Y360">
        <v>61.85</v>
      </c>
      <c r="Z360">
        <v>23.02</v>
      </c>
      <c r="AA360">
        <v>4952</v>
      </c>
      <c r="AB360">
        <v>4408</v>
      </c>
      <c r="AC360">
        <v>2090</v>
      </c>
    </row>
    <row r="361" spans="1:29" x14ac:dyDescent="0.3">
      <c r="A361" s="9">
        <v>43560</v>
      </c>
      <c r="B361">
        <v>19150</v>
      </c>
      <c r="C361">
        <v>12600</v>
      </c>
      <c r="D361">
        <v>111</v>
      </c>
      <c r="E361">
        <v>13.47</v>
      </c>
      <c r="F361">
        <v>16.899999999999999</v>
      </c>
      <c r="G361">
        <v>191</v>
      </c>
      <c r="H361">
        <v>56.1</v>
      </c>
      <c r="I361">
        <v>79.8</v>
      </c>
      <c r="J361">
        <v>3750</v>
      </c>
      <c r="K361">
        <v>1728</v>
      </c>
      <c r="L361">
        <v>19.14</v>
      </c>
      <c r="M361" t="e">
        <v>#N/A</v>
      </c>
      <c r="N361">
        <v>17.899999999999999</v>
      </c>
      <c r="O361">
        <v>1.68</v>
      </c>
      <c r="P361">
        <v>4.8499999999999996</v>
      </c>
      <c r="Q361">
        <v>9380</v>
      </c>
      <c r="R361">
        <v>12.45</v>
      </c>
      <c r="S361">
        <v>24.92</v>
      </c>
      <c r="T361">
        <v>17.989999999999998</v>
      </c>
      <c r="U361">
        <v>25.9</v>
      </c>
      <c r="V361">
        <v>13.73</v>
      </c>
      <c r="W361">
        <v>62.25</v>
      </c>
      <c r="X361">
        <v>54.49</v>
      </c>
      <c r="Y361">
        <v>61.84</v>
      </c>
      <c r="Z361">
        <v>22.48</v>
      </c>
      <c r="AA361">
        <v>4950</v>
      </c>
      <c r="AB361">
        <v>4433</v>
      </c>
      <c r="AC361">
        <v>2078.5</v>
      </c>
    </row>
    <row r="362" spans="1:29" x14ac:dyDescent="0.3">
      <c r="A362" s="9">
        <v>43553</v>
      </c>
      <c r="B362">
        <v>19140</v>
      </c>
      <c r="C362">
        <v>12875</v>
      </c>
      <c r="D362">
        <v>115.1</v>
      </c>
      <c r="E362">
        <v>13.25</v>
      </c>
      <c r="F362">
        <v>20.41</v>
      </c>
      <c r="G362">
        <v>193</v>
      </c>
      <c r="H362">
        <v>56</v>
      </c>
      <c r="I362">
        <v>79.599999999999994</v>
      </c>
      <c r="J362">
        <v>3770</v>
      </c>
      <c r="K362">
        <v>1714</v>
      </c>
      <c r="L362">
        <v>19.899999999999999</v>
      </c>
      <c r="M362" t="e">
        <v>#N/A</v>
      </c>
      <c r="N362">
        <v>18.920000000000002</v>
      </c>
      <c r="O362">
        <v>1.97</v>
      </c>
      <c r="P362">
        <v>5.29</v>
      </c>
      <c r="Q362">
        <v>9470</v>
      </c>
      <c r="R362">
        <v>12.69</v>
      </c>
      <c r="S362">
        <v>24.78</v>
      </c>
      <c r="T362">
        <v>17.89</v>
      </c>
      <c r="U362">
        <v>23.52</v>
      </c>
      <c r="V362">
        <v>13.03</v>
      </c>
      <c r="W362">
        <v>57.67</v>
      </c>
      <c r="X362">
        <v>52.97</v>
      </c>
      <c r="Y362">
        <v>57.33</v>
      </c>
      <c r="Z362">
        <v>21.41</v>
      </c>
      <c r="AA362">
        <v>4831</v>
      </c>
      <c r="AB362">
        <v>4405</v>
      </c>
      <c r="AC362">
        <v>2081</v>
      </c>
    </row>
    <row r="363" spans="1:29" x14ac:dyDescent="0.3">
      <c r="A363" s="9">
        <v>43546</v>
      </c>
      <c r="B363">
        <v>20550</v>
      </c>
      <c r="C363">
        <v>13260</v>
      </c>
      <c r="D363">
        <v>118.6</v>
      </c>
      <c r="E363">
        <v>13.88</v>
      </c>
      <c r="F363">
        <v>20.03</v>
      </c>
      <c r="G363">
        <v>193.5</v>
      </c>
      <c r="H363">
        <v>56.2</v>
      </c>
      <c r="I363">
        <v>79.2</v>
      </c>
      <c r="J363">
        <v>4280</v>
      </c>
      <c r="K363">
        <v>1953</v>
      </c>
      <c r="L363">
        <v>20.45</v>
      </c>
      <c r="M363" t="e">
        <v>#N/A</v>
      </c>
      <c r="N363">
        <v>19.32</v>
      </c>
      <c r="O363">
        <v>1.93</v>
      </c>
      <c r="P363">
        <v>5.31</v>
      </c>
      <c r="Q363">
        <v>9570</v>
      </c>
      <c r="R363">
        <v>12.3</v>
      </c>
      <c r="S363">
        <v>24.96</v>
      </c>
      <c r="T363">
        <v>17.760000000000002</v>
      </c>
      <c r="U363">
        <v>23.38</v>
      </c>
      <c r="V363">
        <v>12.76</v>
      </c>
      <c r="W363">
        <v>55.21</v>
      </c>
      <c r="X363">
        <v>51.13</v>
      </c>
      <c r="Y363">
        <v>55.89</v>
      </c>
      <c r="Z363">
        <v>21.24</v>
      </c>
      <c r="AA363">
        <v>4949</v>
      </c>
      <c r="AB363">
        <v>4575</v>
      </c>
      <c r="AC363">
        <v>2146.5</v>
      </c>
    </row>
    <row r="364" spans="1:29" x14ac:dyDescent="0.3">
      <c r="A364" s="9">
        <v>43539</v>
      </c>
      <c r="B364">
        <v>20750</v>
      </c>
      <c r="C364">
        <v>14645</v>
      </c>
      <c r="D364">
        <v>124</v>
      </c>
      <c r="E364">
        <v>13.68</v>
      </c>
      <c r="F364">
        <v>18.760000000000002</v>
      </c>
      <c r="G364">
        <v>190</v>
      </c>
      <c r="H364">
        <v>54.5</v>
      </c>
      <c r="I364">
        <v>77.2</v>
      </c>
      <c r="J364">
        <v>4055</v>
      </c>
      <c r="K364">
        <v>1897</v>
      </c>
      <c r="L364">
        <v>18.27</v>
      </c>
      <c r="M364" t="e">
        <v>#N/A</v>
      </c>
      <c r="N364">
        <v>18.21</v>
      </c>
      <c r="O364">
        <v>1.75</v>
      </c>
      <c r="P364">
        <v>4.91</v>
      </c>
      <c r="Q364">
        <v>9600</v>
      </c>
      <c r="R364">
        <v>12.19</v>
      </c>
      <c r="S364">
        <v>24.52</v>
      </c>
      <c r="T364">
        <v>17.489999999999998</v>
      </c>
      <c r="U364">
        <v>22.86</v>
      </c>
      <c r="V364">
        <v>12.44</v>
      </c>
      <c r="W364">
        <v>53.59</v>
      </c>
      <c r="X364">
        <v>48.55</v>
      </c>
      <c r="Y364">
        <v>51.99</v>
      </c>
      <c r="Z364">
        <v>20.51</v>
      </c>
      <c r="AA364">
        <v>4898</v>
      </c>
      <c r="AB364">
        <v>4503</v>
      </c>
      <c r="AC364">
        <v>2101</v>
      </c>
    </row>
    <row r="365" spans="1:29" x14ac:dyDescent="0.3">
      <c r="A365" s="9">
        <v>43532</v>
      </c>
      <c r="B365">
        <v>20550</v>
      </c>
      <c r="C365">
        <v>14435</v>
      </c>
      <c r="D365">
        <v>113.4</v>
      </c>
      <c r="E365">
        <v>13.53</v>
      </c>
      <c r="F365">
        <v>19.239999999999998</v>
      </c>
      <c r="G365">
        <v>189.5</v>
      </c>
      <c r="H365">
        <v>54.3</v>
      </c>
      <c r="I365">
        <v>75.7</v>
      </c>
      <c r="J365">
        <v>3925</v>
      </c>
      <c r="K365">
        <v>1818</v>
      </c>
      <c r="L365">
        <v>18.3</v>
      </c>
      <c r="M365" t="e">
        <v>#N/A</v>
      </c>
      <c r="N365">
        <v>18.27</v>
      </c>
      <c r="O365">
        <v>1.67</v>
      </c>
      <c r="P365">
        <v>4.8</v>
      </c>
      <c r="Q365">
        <v>9550</v>
      </c>
      <c r="R365">
        <v>12.51</v>
      </c>
      <c r="S365">
        <v>24.54</v>
      </c>
      <c r="T365">
        <v>17.3</v>
      </c>
      <c r="U365">
        <v>21.72</v>
      </c>
      <c r="V365">
        <v>12.23</v>
      </c>
      <c r="W365">
        <v>54.18</v>
      </c>
      <c r="X365">
        <v>48.37</v>
      </c>
      <c r="Y365">
        <v>51.26</v>
      </c>
      <c r="Z365">
        <v>19.53</v>
      </c>
      <c r="AA365">
        <v>5025</v>
      </c>
      <c r="AB365">
        <v>4622</v>
      </c>
      <c r="AC365">
        <v>2157.5</v>
      </c>
    </row>
    <row r="366" spans="1:29" x14ac:dyDescent="0.3">
      <c r="A366" s="9">
        <v>43525</v>
      </c>
      <c r="B366">
        <v>20300</v>
      </c>
      <c r="C366">
        <v>14575</v>
      </c>
      <c r="D366">
        <v>114.8</v>
      </c>
      <c r="E366">
        <v>13.88</v>
      </c>
      <c r="F366">
        <v>21.35</v>
      </c>
      <c r="G366">
        <v>186</v>
      </c>
      <c r="H366">
        <v>53.4</v>
      </c>
      <c r="I366">
        <v>73.5</v>
      </c>
      <c r="J366">
        <v>3905</v>
      </c>
      <c r="K366">
        <v>1760</v>
      </c>
      <c r="L366">
        <v>19.43</v>
      </c>
      <c r="M366" t="e">
        <v>#N/A</v>
      </c>
      <c r="N366">
        <v>18.79</v>
      </c>
      <c r="O366">
        <v>1.7</v>
      </c>
      <c r="P366">
        <v>4.82</v>
      </c>
      <c r="Q366">
        <v>9450</v>
      </c>
      <c r="R366">
        <v>12.7</v>
      </c>
      <c r="S366">
        <v>24.37</v>
      </c>
      <c r="T366">
        <v>17.18</v>
      </c>
      <c r="U366">
        <v>21.81</v>
      </c>
      <c r="V366">
        <v>12.22</v>
      </c>
      <c r="W366">
        <v>54.34</v>
      </c>
      <c r="X366">
        <v>48.54</v>
      </c>
      <c r="Y366">
        <v>51.45</v>
      </c>
      <c r="Z366">
        <v>19.53</v>
      </c>
      <c r="AA366">
        <v>5078</v>
      </c>
      <c r="AB366">
        <v>4710</v>
      </c>
      <c r="AC366">
        <v>2181</v>
      </c>
    </row>
    <row r="367" spans="1:29" x14ac:dyDescent="0.3">
      <c r="A367" s="9">
        <v>43518</v>
      </c>
      <c r="B367">
        <v>20200</v>
      </c>
      <c r="C367">
        <v>14690</v>
      </c>
      <c r="D367">
        <v>117.4</v>
      </c>
      <c r="E367">
        <v>13.9</v>
      </c>
      <c r="F367">
        <v>21.91</v>
      </c>
      <c r="G367">
        <v>187.5</v>
      </c>
      <c r="H367">
        <v>52.2</v>
      </c>
      <c r="I367">
        <v>73.900000000000006</v>
      </c>
      <c r="J367">
        <v>3795</v>
      </c>
      <c r="K367">
        <v>1747</v>
      </c>
      <c r="L367">
        <v>19.37</v>
      </c>
      <c r="M367" t="e">
        <v>#N/A</v>
      </c>
      <c r="N367">
        <v>18.440000000000001</v>
      </c>
      <c r="O367">
        <v>1.68</v>
      </c>
      <c r="P367">
        <v>4.83</v>
      </c>
      <c r="Q367">
        <v>8880</v>
      </c>
      <c r="R367">
        <v>12.8</v>
      </c>
      <c r="S367">
        <v>24.75</v>
      </c>
      <c r="T367">
        <v>17.350000000000001</v>
      </c>
      <c r="U367">
        <v>20.58</v>
      </c>
      <c r="V367">
        <v>11.74</v>
      </c>
      <c r="W367">
        <v>51.5</v>
      </c>
      <c r="X367">
        <v>46.99</v>
      </c>
      <c r="Y367">
        <v>49.69</v>
      </c>
      <c r="Z367">
        <v>19.79</v>
      </c>
      <c r="AA367">
        <v>5274</v>
      </c>
      <c r="AB367">
        <v>4895</v>
      </c>
      <c r="AC367">
        <v>2284</v>
      </c>
    </row>
    <row r="368" spans="1:29" x14ac:dyDescent="0.3">
      <c r="A368" s="9">
        <v>43511</v>
      </c>
      <c r="B368">
        <v>20000</v>
      </c>
      <c r="C368">
        <v>15105</v>
      </c>
      <c r="D368">
        <v>125.3</v>
      </c>
      <c r="E368">
        <v>13.77</v>
      </c>
      <c r="F368">
        <v>22.4</v>
      </c>
      <c r="G368">
        <v>186</v>
      </c>
      <c r="H368">
        <v>53.3</v>
      </c>
      <c r="I368">
        <v>75</v>
      </c>
      <c r="J368">
        <v>3880</v>
      </c>
      <c r="K368">
        <v>1760</v>
      </c>
      <c r="L368">
        <v>19.64</v>
      </c>
      <c r="M368" t="e">
        <v>#N/A</v>
      </c>
      <c r="N368">
        <v>18.8</v>
      </c>
      <c r="O368">
        <v>1.86</v>
      </c>
      <c r="P368">
        <v>5.17</v>
      </c>
      <c r="Q368">
        <v>8720</v>
      </c>
      <c r="R368">
        <v>13.42</v>
      </c>
      <c r="S368">
        <v>27.21</v>
      </c>
      <c r="T368">
        <v>17.95</v>
      </c>
      <c r="U368">
        <v>24.98</v>
      </c>
      <c r="V368">
        <v>13.42</v>
      </c>
      <c r="W368">
        <v>58.93</v>
      </c>
      <c r="X368">
        <v>54.41</v>
      </c>
      <c r="Y368">
        <v>54.81</v>
      </c>
      <c r="Z368">
        <v>22.47</v>
      </c>
      <c r="AA368">
        <v>5150</v>
      </c>
      <c r="AB368">
        <v>4718</v>
      </c>
      <c r="AC368">
        <v>2202</v>
      </c>
    </row>
    <row r="369" spans="1:29" x14ac:dyDescent="0.3">
      <c r="A369" s="9">
        <v>43504</v>
      </c>
      <c r="B369">
        <v>20000</v>
      </c>
      <c r="C369">
        <v>14895</v>
      </c>
      <c r="D369">
        <v>120.2</v>
      </c>
      <c r="E369">
        <v>13.26</v>
      </c>
      <c r="F369">
        <v>21.36</v>
      </c>
      <c r="J369">
        <v>4155</v>
      </c>
      <c r="K369">
        <v>1824</v>
      </c>
      <c r="L369">
        <v>20.37</v>
      </c>
      <c r="M369" t="e">
        <v>#N/A</v>
      </c>
      <c r="N369">
        <v>19.350000000000001</v>
      </c>
      <c r="O369">
        <v>2.0499999999999998</v>
      </c>
      <c r="P369">
        <v>5.12</v>
      </c>
      <c r="Q369">
        <v>8750</v>
      </c>
      <c r="R369">
        <v>14.54</v>
      </c>
      <c r="S369">
        <v>28.49</v>
      </c>
      <c r="T369">
        <v>18</v>
      </c>
      <c r="U369">
        <v>26.29</v>
      </c>
      <c r="V369">
        <v>13.26</v>
      </c>
      <c r="W369">
        <v>60.14</v>
      </c>
      <c r="X369">
        <v>56.37</v>
      </c>
      <c r="Y369">
        <v>59.08</v>
      </c>
      <c r="Z369">
        <v>22.67</v>
      </c>
      <c r="AA369">
        <v>5021</v>
      </c>
      <c r="AB369">
        <v>4728</v>
      </c>
      <c r="AC369">
        <v>2212.5</v>
      </c>
    </row>
    <row r="370" spans="1:29" x14ac:dyDescent="0.3">
      <c r="A370" s="9">
        <v>43497</v>
      </c>
      <c r="B370">
        <v>20350</v>
      </c>
      <c r="C370">
        <v>14410</v>
      </c>
      <c r="D370">
        <v>115</v>
      </c>
      <c r="E370">
        <v>13.3</v>
      </c>
      <c r="F370">
        <v>22.1</v>
      </c>
      <c r="J370">
        <v>4435</v>
      </c>
      <c r="K370">
        <v>1876</v>
      </c>
      <c r="L370">
        <v>21.4</v>
      </c>
      <c r="M370" t="e">
        <v>#N/A</v>
      </c>
      <c r="N370">
        <v>19.97</v>
      </c>
      <c r="O370">
        <v>2.19</v>
      </c>
      <c r="P370">
        <v>5.36</v>
      </c>
      <c r="Q370">
        <v>8830</v>
      </c>
      <c r="R370">
        <v>14.21</v>
      </c>
      <c r="S370">
        <v>27.52</v>
      </c>
      <c r="T370">
        <v>18.39</v>
      </c>
      <c r="U370">
        <v>26.06</v>
      </c>
      <c r="V370">
        <v>13.82</v>
      </c>
      <c r="W370">
        <v>61.78</v>
      </c>
      <c r="X370">
        <v>57.26</v>
      </c>
      <c r="Y370">
        <v>58.53</v>
      </c>
      <c r="Z370">
        <v>22.67</v>
      </c>
      <c r="AA370">
        <v>5072</v>
      </c>
      <c r="AB370">
        <v>4839</v>
      </c>
      <c r="AC370">
        <v>2229</v>
      </c>
    </row>
    <row r="371" spans="1:29" x14ac:dyDescent="0.3">
      <c r="A371" s="9">
        <v>43490</v>
      </c>
      <c r="B371">
        <v>20000</v>
      </c>
      <c r="C371">
        <v>15630</v>
      </c>
      <c r="D371">
        <v>121.2</v>
      </c>
      <c r="E371">
        <v>13.7</v>
      </c>
      <c r="F371">
        <v>22.03</v>
      </c>
      <c r="J371">
        <v>4700</v>
      </c>
      <c r="K371">
        <v>1953</v>
      </c>
      <c r="L371">
        <v>22.95</v>
      </c>
      <c r="M371" t="e">
        <v>#N/A</v>
      </c>
      <c r="N371">
        <v>20.9</v>
      </c>
      <c r="O371">
        <v>2.3199999999999998</v>
      </c>
      <c r="P371">
        <v>5.71</v>
      </c>
      <c r="Q371">
        <v>9700</v>
      </c>
      <c r="R371">
        <v>15.64</v>
      </c>
      <c r="S371">
        <v>29.53</v>
      </c>
      <c r="T371">
        <v>18.53</v>
      </c>
      <c r="U371">
        <v>28.58</v>
      </c>
      <c r="V371">
        <v>14.33</v>
      </c>
      <c r="W371">
        <v>64.52</v>
      </c>
      <c r="X371">
        <v>59.65</v>
      </c>
      <c r="Y371">
        <v>63.62</v>
      </c>
      <c r="Z371">
        <v>24.34</v>
      </c>
      <c r="AA371">
        <v>5051</v>
      </c>
      <c r="AB371">
        <v>5081</v>
      </c>
      <c r="AC371">
        <v>2341</v>
      </c>
    </row>
    <row r="372" spans="1:29" x14ac:dyDescent="0.3">
      <c r="A372" s="9">
        <v>43483</v>
      </c>
      <c r="B372">
        <v>20100</v>
      </c>
      <c r="C372">
        <v>15290</v>
      </c>
      <c r="D372">
        <v>119.8</v>
      </c>
      <c r="E372">
        <v>13.94</v>
      </c>
      <c r="F372">
        <v>20.68</v>
      </c>
      <c r="J372">
        <v>4885</v>
      </c>
      <c r="K372">
        <v>2045</v>
      </c>
      <c r="L372">
        <v>22.72</v>
      </c>
      <c r="M372" t="e">
        <v>#N/A</v>
      </c>
      <c r="N372">
        <v>20.77</v>
      </c>
      <c r="O372">
        <v>2.29</v>
      </c>
      <c r="P372">
        <v>5.58</v>
      </c>
      <c r="Q372">
        <v>10050</v>
      </c>
      <c r="R372">
        <v>16.54</v>
      </c>
      <c r="S372">
        <v>32.35</v>
      </c>
      <c r="T372">
        <v>18.23</v>
      </c>
      <c r="U372">
        <v>29.37</v>
      </c>
      <c r="V372">
        <v>14.87</v>
      </c>
      <c r="W372">
        <v>66.739999999999995</v>
      </c>
      <c r="X372">
        <v>61.06</v>
      </c>
      <c r="Y372">
        <v>68.430000000000007</v>
      </c>
      <c r="Z372">
        <v>24.9</v>
      </c>
      <c r="AA372">
        <v>5049</v>
      </c>
      <c r="AB372">
        <v>5140</v>
      </c>
      <c r="AC372">
        <v>2318.5</v>
      </c>
    </row>
    <row r="373" spans="1:29" x14ac:dyDescent="0.3">
      <c r="A373" s="9">
        <v>43476</v>
      </c>
      <c r="B373">
        <v>21450</v>
      </c>
      <c r="C373">
        <v>15330</v>
      </c>
      <c r="D373">
        <v>120.4</v>
      </c>
      <c r="E373">
        <v>13.78</v>
      </c>
      <c r="F373">
        <v>22.2</v>
      </c>
      <c r="J373">
        <v>5080</v>
      </c>
      <c r="K373">
        <v>2165</v>
      </c>
      <c r="L373">
        <v>23.8</v>
      </c>
      <c r="M373" t="e">
        <v>#N/A</v>
      </c>
      <c r="N373">
        <v>22.21</v>
      </c>
      <c r="O373">
        <v>2.39</v>
      </c>
      <c r="P373">
        <v>5.99</v>
      </c>
      <c r="Q373">
        <v>10600</v>
      </c>
      <c r="R373">
        <v>16.73</v>
      </c>
      <c r="S373">
        <v>33.46</v>
      </c>
      <c r="T373">
        <v>19.3</v>
      </c>
      <c r="U373">
        <v>30.92</v>
      </c>
      <c r="V373">
        <v>15.91</v>
      </c>
      <c r="W373">
        <v>70.55</v>
      </c>
      <c r="X373">
        <v>63.95</v>
      </c>
      <c r="Y373">
        <v>70.510000000000005</v>
      </c>
      <c r="Z373">
        <v>25.89</v>
      </c>
      <c r="AA373">
        <v>5215</v>
      </c>
      <c r="AB373">
        <v>5441</v>
      </c>
      <c r="AC373">
        <v>2405.5</v>
      </c>
    </row>
    <row r="374" spans="1:29" x14ac:dyDescent="0.3">
      <c r="A374" s="9">
        <v>43469</v>
      </c>
      <c r="B374">
        <v>23150</v>
      </c>
      <c r="C374">
        <v>16015</v>
      </c>
      <c r="D374">
        <v>123.9</v>
      </c>
      <c r="E374">
        <v>14.34</v>
      </c>
      <c r="F374">
        <v>29.27</v>
      </c>
      <c r="J374">
        <v>5350</v>
      </c>
      <c r="K374">
        <v>2305</v>
      </c>
      <c r="L374">
        <v>25.24</v>
      </c>
      <c r="M374" t="e">
        <v>#N/A</v>
      </c>
      <c r="N374">
        <v>23.96</v>
      </c>
      <c r="O374">
        <v>2.58</v>
      </c>
      <c r="P374">
        <v>6.15</v>
      </c>
      <c r="Q374">
        <v>11260</v>
      </c>
      <c r="R374">
        <v>17.920000000000002</v>
      </c>
      <c r="S374">
        <v>35.520000000000003</v>
      </c>
      <c r="T374">
        <v>20.190000000000001</v>
      </c>
      <c r="U374">
        <v>34.72</v>
      </c>
      <c r="V374">
        <v>17.45</v>
      </c>
      <c r="W374">
        <v>72.88</v>
      </c>
      <c r="X374">
        <v>67.47</v>
      </c>
      <c r="Y374">
        <v>71.66</v>
      </c>
      <c r="Z374">
        <v>27.47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4"/>
  <sheetViews>
    <sheetView workbookViewId="0">
      <selection activeCell="F374" sqref="A1:F374"/>
    </sheetView>
  </sheetViews>
  <sheetFormatPr defaultRowHeight="16.5" x14ac:dyDescent="0.3"/>
  <cols>
    <col min="1" max="1" width="11.5" style="6" customWidth="1"/>
    <col min="2" max="2" width="13.375" style="6" customWidth="1"/>
    <col min="3" max="3" width="16" style="6" customWidth="1"/>
    <col min="5" max="5" width="10.875" style="6" customWidth="1"/>
    <col min="6" max="6" width="11.25" style="6" customWidth="1"/>
  </cols>
  <sheetData>
    <row r="1" spans="1:6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t="e">
        <f t="array" aca="1" ref="A2:A374" ca="1">_xll.FDS("KOSPI-KRX","P_PRICE(1/4/2019,NOW,W)")</f>
        <v>#NAME?</v>
      </c>
      <c r="B2" t="e">
        <f t="array" aca="1" ref="B2:B374" ca="1">_xll.FDS("SP50-USA","P_PRICE(1/4/2019,NOW,W)")</f>
        <v>#NAME?</v>
      </c>
      <c r="C2" t="e">
        <f t="array" aca="1" ref="C2:C374" ca="1">_xll.FDS("SXXP-STX","P_PRICE(1/4/2019,NOW,W)")</f>
        <v>#NAME?</v>
      </c>
      <c r="D2" t="e">
        <f t="array" aca="1" ref="D2:D374" ca="1">_xll.FDS("180458","P_PRICE(1/4/2019,NOW,W)")</f>
        <v>#NAME?</v>
      </c>
      <c r="E2" t="e">
        <f t="array" aca="1" ref="E2:E368" ca="1">_xll.FDS("180530","P_PRICE(1/4/2019,NOW,W)")</f>
        <v>#NAME?</v>
      </c>
      <c r="F2" t="e">
        <f t="array" aca="1" ref="F2:F373" ca="1">_xll.FDS("180460","P_PRICE(1/4/2019,NOW,W)")</f>
        <v>#NAME?</v>
      </c>
    </row>
    <row r="3" spans="1:6" x14ac:dyDescent="0.3">
      <c r="A3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</row>
    <row r="4" spans="1:6" x14ac:dyDescent="0.3">
      <c r="A4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</row>
    <row r="5" spans="1:6" x14ac:dyDescent="0.3">
      <c r="A5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</row>
    <row r="6" spans="1:6" x14ac:dyDescent="0.3">
      <c r="A6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</row>
    <row r="7" spans="1:6" x14ac:dyDescent="0.3">
      <c r="A7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</row>
    <row r="8" spans="1:6" x14ac:dyDescent="0.3">
      <c r="A8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</row>
    <row r="9" spans="1:6" x14ac:dyDescent="0.3">
      <c r="A9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</row>
    <row r="10" spans="1:6" x14ac:dyDescent="0.3">
      <c r="A10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</row>
    <row r="11" spans="1:6" x14ac:dyDescent="0.3">
      <c r="A11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</row>
    <row r="12" spans="1:6" x14ac:dyDescent="0.3">
      <c r="A1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</row>
    <row r="13" spans="1:6" x14ac:dyDescent="0.3">
      <c r="A13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</row>
    <row r="14" spans="1:6" x14ac:dyDescent="0.3">
      <c r="A14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</row>
    <row r="15" spans="1:6" x14ac:dyDescent="0.3">
      <c r="A15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</row>
    <row r="16" spans="1:6" x14ac:dyDescent="0.3">
      <c r="A16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</row>
    <row r="17" spans="1:6" x14ac:dyDescent="0.3">
      <c r="A17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</row>
    <row r="18" spans="1:6" x14ac:dyDescent="0.3">
      <c r="A18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</row>
    <row r="19" spans="1:6" x14ac:dyDescent="0.3">
      <c r="A19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</row>
    <row r="20" spans="1:6" x14ac:dyDescent="0.3">
      <c r="A20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</row>
    <row r="21" spans="1:6" x14ac:dyDescent="0.3">
      <c r="A21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</row>
    <row r="22" spans="1:6" x14ac:dyDescent="0.3">
      <c r="A2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</row>
    <row r="23" spans="1:6" x14ac:dyDescent="0.3">
      <c r="A23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</row>
    <row r="24" spans="1:6" x14ac:dyDescent="0.3">
      <c r="A24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</row>
    <row r="25" spans="1:6" x14ac:dyDescent="0.3">
      <c r="A25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</row>
    <row r="26" spans="1:6" x14ac:dyDescent="0.3">
      <c r="A26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</row>
    <row r="27" spans="1:6" x14ac:dyDescent="0.3">
      <c r="A27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</row>
    <row r="28" spans="1:6" x14ac:dyDescent="0.3">
      <c r="A28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</row>
    <row r="29" spans="1:6" x14ac:dyDescent="0.3">
      <c r="A29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</row>
    <row r="30" spans="1:6" x14ac:dyDescent="0.3">
      <c r="A30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</row>
    <row r="31" spans="1:6" x14ac:dyDescent="0.3">
      <c r="A31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</row>
    <row r="32" spans="1:6" x14ac:dyDescent="0.3">
      <c r="A3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</row>
    <row r="33" spans="1:6" x14ac:dyDescent="0.3">
      <c r="A33" t="e">
        <f ca="1"/>
        <v>#NAME?</v>
      </c>
      <c r="B33" t="e">
        <f ca="1"/>
        <v>#NAME?</v>
      </c>
      <c r="C33" t="e">
        <f ca="1"/>
        <v>#NAME?</v>
      </c>
      <c r="D33" t="e">
        <f ca="1"/>
        <v>#NAME?</v>
      </c>
      <c r="E33" t="e">
        <f ca="1"/>
        <v>#NAME?</v>
      </c>
      <c r="F33" t="e">
        <f ca="1"/>
        <v>#NAME?</v>
      </c>
    </row>
    <row r="34" spans="1:6" x14ac:dyDescent="0.3">
      <c r="A34" t="e">
        <f ca="1"/>
        <v>#NAME?</v>
      </c>
      <c r="B34" t="e">
        <f ca="1"/>
        <v>#NAME?</v>
      </c>
      <c r="C34" t="e">
        <f ca="1"/>
        <v>#NAME?</v>
      </c>
      <c r="D34" t="e">
        <f ca="1"/>
        <v>#NAME?</v>
      </c>
      <c r="E34" t="e">
        <f ca="1"/>
        <v>#NAME?</v>
      </c>
      <c r="F34" t="e">
        <f ca="1"/>
        <v>#NAME?</v>
      </c>
    </row>
    <row r="35" spans="1:6" x14ac:dyDescent="0.3">
      <c r="A35" t="e">
        <f ca="1"/>
        <v>#NAME?</v>
      </c>
      <c r="B35" t="e">
        <f ca="1"/>
        <v>#NAME?</v>
      </c>
      <c r="C35" t="e">
        <f ca="1"/>
        <v>#NAME?</v>
      </c>
      <c r="D35" t="e">
        <f ca="1"/>
        <v>#NAME?</v>
      </c>
      <c r="E35" t="e">
        <f ca="1"/>
        <v>#NAME?</v>
      </c>
      <c r="F35" t="e">
        <f ca="1"/>
        <v>#NAME?</v>
      </c>
    </row>
    <row r="36" spans="1:6" x14ac:dyDescent="0.3">
      <c r="A36" t="e">
        <f ca="1"/>
        <v>#NAME?</v>
      </c>
      <c r="B36" t="e">
        <f ca="1"/>
        <v>#NAME?</v>
      </c>
      <c r="C36" t="e">
        <f ca="1"/>
        <v>#NAME?</v>
      </c>
      <c r="D36" t="e">
        <f ca="1"/>
        <v>#NAME?</v>
      </c>
      <c r="E36" t="e">
        <f ca="1"/>
        <v>#NAME?</v>
      </c>
      <c r="F36" t="e">
        <f ca="1"/>
        <v>#NAME?</v>
      </c>
    </row>
    <row r="37" spans="1:6" x14ac:dyDescent="0.3">
      <c r="A37" t="e">
        <f ca="1"/>
        <v>#NAME?</v>
      </c>
      <c r="B37" t="e">
        <f ca="1"/>
        <v>#NAME?</v>
      </c>
      <c r="C37" t="e">
        <f ca="1"/>
        <v>#NAME?</v>
      </c>
      <c r="D37" t="e">
        <f ca="1"/>
        <v>#NAME?</v>
      </c>
      <c r="E37" t="e">
        <f ca="1"/>
        <v>#NAME?</v>
      </c>
      <c r="F37" t="e">
        <f ca="1"/>
        <v>#NAME?</v>
      </c>
    </row>
    <row r="38" spans="1:6" x14ac:dyDescent="0.3">
      <c r="A38" t="e">
        <f ca="1"/>
        <v>#NAME?</v>
      </c>
      <c r="B38" t="e">
        <f ca="1"/>
        <v>#NAME?</v>
      </c>
      <c r="C38" t="e">
        <f ca="1"/>
        <v>#NAME?</v>
      </c>
      <c r="D38" t="e">
        <f ca="1"/>
        <v>#NAME?</v>
      </c>
      <c r="E38" t="e">
        <f ca="1"/>
        <v>#NAME?</v>
      </c>
      <c r="F38" t="e">
        <f ca="1"/>
        <v>#NAME?</v>
      </c>
    </row>
    <row r="39" spans="1:6" x14ac:dyDescent="0.3">
      <c r="A39" t="e">
        <f ca="1"/>
        <v>#NAME?</v>
      </c>
      <c r="B39" t="e">
        <f ca="1"/>
        <v>#NAME?</v>
      </c>
      <c r="C39" t="e">
        <f ca="1"/>
        <v>#NAME?</v>
      </c>
      <c r="D39" t="e">
        <f ca="1"/>
        <v>#NAME?</v>
      </c>
      <c r="E39" t="e">
        <f ca="1"/>
        <v>#NAME?</v>
      </c>
      <c r="F39" t="e">
        <f ca="1"/>
        <v>#NAME?</v>
      </c>
    </row>
    <row r="40" spans="1:6" x14ac:dyDescent="0.3">
      <c r="A40" t="e">
        <f ca="1"/>
        <v>#NAME?</v>
      </c>
      <c r="B40" t="e">
        <f ca="1"/>
        <v>#NAME?</v>
      </c>
      <c r="C40" t="e">
        <f ca="1"/>
        <v>#NAME?</v>
      </c>
      <c r="D40" t="e">
        <f ca="1"/>
        <v>#NAME?</v>
      </c>
      <c r="E40" t="e">
        <f ca="1"/>
        <v>#NAME?</v>
      </c>
      <c r="F40" t="e">
        <f ca="1"/>
        <v>#NAME?</v>
      </c>
    </row>
    <row r="41" spans="1:6" x14ac:dyDescent="0.3">
      <c r="A41" t="e">
        <f ca="1"/>
        <v>#NAME?</v>
      </c>
      <c r="B41" t="e">
        <f ca="1"/>
        <v>#NAME?</v>
      </c>
      <c r="C41" t="e">
        <f ca="1"/>
        <v>#NAME?</v>
      </c>
      <c r="D41" t="e">
        <f ca="1"/>
        <v>#NAME?</v>
      </c>
      <c r="E41" t="e">
        <f ca="1"/>
        <v>#NAME?</v>
      </c>
      <c r="F41" t="e">
        <f ca="1"/>
        <v>#NAME?</v>
      </c>
    </row>
    <row r="42" spans="1:6" x14ac:dyDescent="0.3">
      <c r="A42" t="e">
        <f ca="1"/>
        <v>#NAME?</v>
      </c>
      <c r="B42" t="e">
        <f ca="1"/>
        <v>#NAME?</v>
      </c>
      <c r="C42" t="e">
        <f ca="1"/>
        <v>#NAME?</v>
      </c>
      <c r="D42" t="e">
        <f ca="1"/>
        <v>#NAME?</v>
      </c>
      <c r="E42" t="e">
        <f ca="1"/>
        <v>#NAME?</v>
      </c>
      <c r="F42" t="e">
        <f ca="1"/>
        <v>#NAME?</v>
      </c>
    </row>
    <row r="43" spans="1:6" x14ac:dyDescent="0.3">
      <c r="A43" t="e">
        <f ca="1"/>
        <v>#NAME?</v>
      </c>
      <c r="B43" t="e">
        <f ca="1"/>
        <v>#NAME?</v>
      </c>
      <c r="C43" t="e">
        <f ca="1"/>
        <v>#NAME?</v>
      </c>
      <c r="D43" t="e">
        <f ca="1"/>
        <v>#NAME?</v>
      </c>
      <c r="E43" t="e">
        <f ca="1"/>
        <v>#NAME?</v>
      </c>
      <c r="F43" t="e">
        <f ca="1"/>
        <v>#NAME?</v>
      </c>
    </row>
    <row r="44" spans="1:6" x14ac:dyDescent="0.3">
      <c r="A44" t="e">
        <f ca="1"/>
        <v>#NAME?</v>
      </c>
      <c r="B44" t="e">
        <f ca="1"/>
        <v>#NAME?</v>
      </c>
      <c r="C44" t="e">
        <f ca="1"/>
        <v>#NAME?</v>
      </c>
      <c r="D44" t="e">
        <f ca="1"/>
        <v>#NAME?</v>
      </c>
      <c r="E44" t="e">
        <f ca="1"/>
        <v>#NAME?</v>
      </c>
      <c r="F44" t="e">
        <f ca="1"/>
        <v>#NAME?</v>
      </c>
    </row>
    <row r="45" spans="1:6" x14ac:dyDescent="0.3">
      <c r="A45" t="e">
        <f ca="1"/>
        <v>#NAME?</v>
      </c>
      <c r="B45" t="e">
        <f ca="1"/>
        <v>#NAME?</v>
      </c>
      <c r="C45" t="e">
        <f ca="1"/>
        <v>#NAME?</v>
      </c>
      <c r="D45" t="e">
        <f ca="1"/>
        <v>#NAME?</v>
      </c>
      <c r="E45" t="e">
        <f ca="1"/>
        <v>#NAME?</v>
      </c>
      <c r="F45" t="e">
        <f ca="1"/>
        <v>#NAME?</v>
      </c>
    </row>
    <row r="46" spans="1:6" x14ac:dyDescent="0.3">
      <c r="A46" t="e">
        <f ca="1"/>
        <v>#NAME?</v>
      </c>
      <c r="B46" t="e">
        <f ca="1"/>
        <v>#NAME?</v>
      </c>
      <c r="C46" t="e">
        <f ca="1"/>
        <v>#NAME?</v>
      </c>
      <c r="D46" t="e">
        <f ca="1"/>
        <v>#NAME?</v>
      </c>
      <c r="E46" t="e">
        <f ca="1"/>
        <v>#NAME?</v>
      </c>
      <c r="F46" t="e">
        <f ca="1"/>
        <v>#NAME?</v>
      </c>
    </row>
    <row r="47" spans="1:6" x14ac:dyDescent="0.3">
      <c r="A47" t="e">
        <f ca="1"/>
        <v>#NAME?</v>
      </c>
      <c r="B47" t="e">
        <f ca="1"/>
        <v>#NAME?</v>
      </c>
      <c r="C47" t="e">
        <f ca="1"/>
        <v>#NAME?</v>
      </c>
      <c r="D47" t="e">
        <f ca="1"/>
        <v>#NAME?</v>
      </c>
      <c r="E47" t="e">
        <f ca="1"/>
        <v>#NAME?</v>
      </c>
      <c r="F47" t="e">
        <f ca="1"/>
        <v>#NAME?</v>
      </c>
    </row>
    <row r="48" spans="1:6" x14ac:dyDescent="0.3">
      <c r="A48" t="e">
        <f ca="1"/>
        <v>#NAME?</v>
      </c>
      <c r="B48" t="e">
        <f ca="1"/>
        <v>#NAME?</v>
      </c>
      <c r="C48" t="e">
        <f ca="1"/>
        <v>#NAME?</v>
      </c>
      <c r="D48" t="e">
        <f ca="1"/>
        <v>#NAME?</v>
      </c>
      <c r="E48" t="e">
        <f ca="1"/>
        <v>#NAME?</v>
      </c>
      <c r="F48" t="e">
        <f ca="1"/>
        <v>#NAME?</v>
      </c>
    </row>
    <row r="49" spans="1:6" x14ac:dyDescent="0.3">
      <c r="A49" t="e">
        <f ca="1"/>
        <v>#NAME?</v>
      </c>
      <c r="B49" t="e">
        <f ca="1"/>
        <v>#NAME?</v>
      </c>
      <c r="C49" t="e">
        <f ca="1"/>
        <v>#NAME?</v>
      </c>
      <c r="D49" t="e">
        <f ca="1"/>
        <v>#NAME?</v>
      </c>
      <c r="E49" t="e">
        <f ca="1"/>
        <v>#NAME?</v>
      </c>
      <c r="F49" t="e">
        <f ca="1"/>
        <v>#NAME?</v>
      </c>
    </row>
    <row r="50" spans="1:6" x14ac:dyDescent="0.3">
      <c r="A50" t="e">
        <f ca="1"/>
        <v>#NAME?</v>
      </c>
      <c r="B50" t="e">
        <f ca="1"/>
        <v>#NAME?</v>
      </c>
      <c r="C50" t="e">
        <f ca="1"/>
        <v>#NAME?</v>
      </c>
      <c r="D50" t="e">
        <f ca="1"/>
        <v>#NAME?</v>
      </c>
      <c r="E50" t="e">
        <f ca="1"/>
        <v>#NAME?</v>
      </c>
      <c r="F50" t="e">
        <f ca="1"/>
        <v>#NAME?</v>
      </c>
    </row>
    <row r="51" spans="1:6" x14ac:dyDescent="0.3">
      <c r="A51" t="e">
        <f ca="1"/>
        <v>#NAME?</v>
      </c>
      <c r="B51" t="e">
        <f ca="1"/>
        <v>#NAME?</v>
      </c>
      <c r="C51" t="e">
        <f ca="1"/>
        <v>#NAME?</v>
      </c>
      <c r="D51" t="e">
        <f ca="1"/>
        <v>#NAME?</v>
      </c>
      <c r="E51" t="e">
        <f ca="1"/>
        <v>#NAME?</v>
      </c>
      <c r="F51" t="e">
        <f ca="1"/>
        <v>#NAME?</v>
      </c>
    </row>
    <row r="52" spans="1:6" x14ac:dyDescent="0.3">
      <c r="A52" t="e">
        <f ca="1"/>
        <v>#NAME?</v>
      </c>
      <c r="B52" t="e">
        <f ca="1"/>
        <v>#NAME?</v>
      </c>
      <c r="C52" t="e">
        <f ca="1"/>
        <v>#NAME?</v>
      </c>
      <c r="D52" t="e">
        <f ca="1"/>
        <v>#NAME?</v>
      </c>
      <c r="E52" t="e">
        <f ca="1"/>
        <v>#NAME?</v>
      </c>
      <c r="F52" t="e">
        <f ca="1"/>
        <v>#NAME?</v>
      </c>
    </row>
    <row r="53" spans="1:6" x14ac:dyDescent="0.3">
      <c r="A53" t="e">
        <f ca="1"/>
        <v>#NAME?</v>
      </c>
      <c r="B53" t="e">
        <f ca="1"/>
        <v>#NAME?</v>
      </c>
      <c r="C53" t="e">
        <f ca="1"/>
        <v>#NAME?</v>
      </c>
      <c r="D53" t="e">
        <f ca="1"/>
        <v>#NAME?</v>
      </c>
      <c r="E53" t="e">
        <f ca="1"/>
        <v>#NAME?</v>
      </c>
      <c r="F53" t="e">
        <f ca="1"/>
        <v>#NAME?</v>
      </c>
    </row>
    <row r="54" spans="1:6" x14ac:dyDescent="0.3">
      <c r="A54" t="e">
        <f ca="1"/>
        <v>#NAME?</v>
      </c>
      <c r="B54" t="e">
        <f ca="1"/>
        <v>#NAME?</v>
      </c>
      <c r="C54" t="e">
        <f ca="1"/>
        <v>#NAME?</v>
      </c>
      <c r="D54" t="e">
        <f ca="1"/>
        <v>#NAME?</v>
      </c>
      <c r="E54" t="e">
        <f ca="1"/>
        <v>#NAME?</v>
      </c>
      <c r="F54" t="e">
        <f ca="1"/>
        <v>#NAME?</v>
      </c>
    </row>
    <row r="55" spans="1:6" x14ac:dyDescent="0.3">
      <c r="A55" t="e">
        <f ca="1"/>
        <v>#NAME?</v>
      </c>
      <c r="B55" t="e">
        <f ca="1"/>
        <v>#NAME?</v>
      </c>
      <c r="C55" t="e">
        <f ca="1"/>
        <v>#NAME?</v>
      </c>
      <c r="D55" t="e">
        <f ca="1"/>
        <v>#NAME?</v>
      </c>
      <c r="E55" t="e">
        <f ca="1"/>
        <v>#NAME?</v>
      </c>
      <c r="F55" t="e">
        <f ca="1"/>
        <v>#NAME?</v>
      </c>
    </row>
    <row r="56" spans="1:6" x14ac:dyDescent="0.3">
      <c r="A56" t="e">
        <f ca="1"/>
        <v>#NAME?</v>
      </c>
      <c r="B56" t="e">
        <f ca="1"/>
        <v>#NAME?</v>
      </c>
      <c r="C56" t="e">
        <f ca="1"/>
        <v>#NAME?</v>
      </c>
      <c r="D56" t="e">
        <f ca="1"/>
        <v>#NAME?</v>
      </c>
      <c r="E56" t="e">
        <f ca="1"/>
        <v>#NAME?</v>
      </c>
      <c r="F56" t="e">
        <f ca="1"/>
        <v>#NAME?</v>
      </c>
    </row>
    <row r="57" spans="1:6" x14ac:dyDescent="0.3">
      <c r="A57" t="e">
        <f ca="1"/>
        <v>#NAME?</v>
      </c>
      <c r="B57" t="e">
        <f ca="1"/>
        <v>#NAME?</v>
      </c>
      <c r="C57" t="e">
        <f ca="1"/>
        <v>#NAME?</v>
      </c>
      <c r="D57" t="e">
        <f ca="1"/>
        <v>#NAME?</v>
      </c>
      <c r="E57" t="e">
        <f ca="1"/>
        <v>#NAME?</v>
      </c>
      <c r="F57" t="e">
        <f ca="1"/>
        <v>#NAME?</v>
      </c>
    </row>
    <row r="58" spans="1:6" x14ac:dyDescent="0.3">
      <c r="A58" t="e">
        <f ca="1"/>
        <v>#NAME?</v>
      </c>
      <c r="B58" t="e">
        <f ca="1"/>
        <v>#NAME?</v>
      </c>
      <c r="C58" t="e">
        <f ca="1"/>
        <v>#NAME?</v>
      </c>
      <c r="D58" t="e">
        <f ca="1"/>
        <v>#NAME?</v>
      </c>
      <c r="E58" t="e">
        <f ca="1"/>
        <v>#NAME?</v>
      </c>
      <c r="F58" t="e">
        <f ca="1"/>
        <v>#NAME?</v>
      </c>
    </row>
    <row r="59" spans="1:6" x14ac:dyDescent="0.3">
      <c r="A59" t="e">
        <f ca="1"/>
        <v>#NAME?</v>
      </c>
      <c r="B59" t="e">
        <f ca="1"/>
        <v>#NAME?</v>
      </c>
      <c r="C59" t="e">
        <f ca="1"/>
        <v>#NAME?</v>
      </c>
      <c r="D59" t="e">
        <f ca="1"/>
        <v>#NAME?</v>
      </c>
      <c r="E59" t="e">
        <f ca="1"/>
        <v>#NAME?</v>
      </c>
      <c r="F59" t="e">
        <f ca="1"/>
        <v>#NAME?</v>
      </c>
    </row>
    <row r="60" spans="1:6" x14ac:dyDescent="0.3">
      <c r="A60" t="e">
        <f ca="1"/>
        <v>#NAME?</v>
      </c>
      <c r="B60" t="e">
        <f ca="1"/>
        <v>#NAME?</v>
      </c>
      <c r="C60" t="e">
        <f ca="1"/>
        <v>#NAME?</v>
      </c>
      <c r="D60" t="e">
        <f ca="1"/>
        <v>#NAME?</v>
      </c>
      <c r="E60" t="e">
        <f ca="1"/>
        <v>#NAME?</v>
      </c>
      <c r="F60" t="e">
        <f ca="1"/>
        <v>#NAME?</v>
      </c>
    </row>
    <row r="61" spans="1:6" x14ac:dyDescent="0.3">
      <c r="A61" t="e">
        <f ca="1"/>
        <v>#NAME?</v>
      </c>
      <c r="B61" t="e">
        <f ca="1"/>
        <v>#NAME?</v>
      </c>
      <c r="C61" t="e">
        <f ca="1"/>
        <v>#NAME?</v>
      </c>
      <c r="D61" t="e">
        <f ca="1"/>
        <v>#NAME?</v>
      </c>
      <c r="E61" t="e">
        <f ca="1"/>
        <v>#NAME?</v>
      </c>
      <c r="F61" t="e">
        <f ca="1"/>
        <v>#NAME?</v>
      </c>
    </row>
    <row r="62" spans="1:6" x14ac:dyDescent="0.3">
      <c r="A62" t="e">
        <f ca="1"/>
        <v>#NAME?</v>
      </c>
      <c r="B62" t="e">
        <f ca="1"/>
        <v>#NAME?</v>
      </c>
      <c r="C62" t="e">
        <f ca="1"/>
        <v>#NAME?</v>
      </c>
      <c r="D62" t="e">
        <f ca="1"/>
        <v>#NAME?</v>
      </c>
      <c r="E62" t="e">
        <f ca="1"/>
        <v>#NAME?</v>
      </c>
      <c r="F62" t="e">
        <f ca="1"/>
        <v>#NAME?</v>
      </c>
    </row>
    <row r="63" spans="1:6" x14ac:dyDescent="0.3">
      <c r="A63" t="e">
        <f ca="1"/>
        <v>#NAME?</v>
      </c>
      <c r="B63" t="e">
        <f ca="1"/>
        <v>#NAME?</v>
      </c>
      <c r="C63" t="e">
        <f ca="1"/>
        <v>#NAME?</v>
      </c>
      <c r="D63" t="e">
        <f ca="1"/>
        <v>#NAME?</v>
      </c>
      <c r="E63" t="e">
        <f ca="1"/>
        <v>#NAME?</v>
      </c>
      <c r="F63" t="e">
        <f ca="1"/>
        <v>#NAME?</v>
      </c>
    </row>
    <row r="64" spans="1:6" x14ac:dyDescent="0.3">
      <c r="A64" t="e">
        <f ca="1"/>
        <v>#NAME?</v>
      </c>
      <c r="B64" t="e">
        <f ca="1"/>
        <v>#NAME?</v>
      </c>
      <c r="C64" t="e">
        <f ca="1"/>
        <v>#NAME?</v>
      </c>
      <c r="D64" t="e">
        <f ca="1"/>
        <v>#NAME?</v>
      </c>
      <c r="E64" t="e">
        <f ca="1"/>
        <v>#NAME?</v>
      </c>
      <c r="F64" t="e">
        <f ca="1"/>
        <v>#NAME?</v>
      </c>
    </row>
    <row r="65" spans="1:6" x14ac:dyDescent="0.3">
      <c r="A65" t="e">
        <f ca="1"/>
        <v>#NAME?</v>
      </c>
      <c r="B65" t="e">
        <f ca="1"/>
        <v>#NAME?</v>
      </c>
      <c r="C65" t="e">
        <f ca="1"/>
        <v>#NAME?</v>
      </c>
      <c r="D65" t="e">
        <f ca="1"/>
        <v>#NAME?</v>
      </c>
      <c r="E65" t="e">
        <f ca="1"/>
        <v>#NAME?</v>
      </c>
      <c r="F65" t="e">
        <f ca="1"/>
        <v>#NAME?</v>
      </c>
    </row>
    <row r="66" spans="1:6" x14ac:dyDescent="0.3">
      <c r="A66" t="e">
        <f ca="1"/>
        <v>#NAME?</v>
      </c>
      <c r="B66" t="e">
        <f ca="1"/>
        <v>#NAME?</v>
      </c>
      <c r="C66" t="e">
        <f ca="1"/>
        <v>#NAME?</v>
      </c>
      <c r="D66" t="e">
        <f ca="1"/>
        <v>#NAME?</v>
      </c>
      <c r="E66" t="e">
        <f ca="1"/>
        <v>#NAME?</v>
      </c>
      <c r="F66" t="e">
        <f ca="1"/>
        <v>#NAME?</v>
      </c>
    </row>
    <row r="67" spans="1:6" x14ac:dyDescent="0.3">
      <c r="A67" t="e">
        <f ca="1"/>
        <v>#NAME?</v>
      </c>
      <c r="B67" t="e">
        <f ca="1"/>
        <v>#NAME?</v>
      </c>
      <c r="C67" t="e">
        <f ca="1"/>
        <v>#NAME?</v>
      </c>
      <c r="D67" t="e">
        <f ca="1"/>
        <v>#NAME?</v>
      </c>
      <c r="E67" t="e">
        <f ca="1"/>
        <v>#NAME?</v>
      </c>
      <c r="F67" t="e">
        <f ca="1"/>
        <v>#NAME?</v>
      </c>
    </row>
    <row r="68" spans="1:6" x14ac:dyDescent="0.3">
      <c r="A68" t="e">
        <f ca="1"/>
        <v>#NAME?</v>
      </c>
      <c r="B68" t="e">
        <f ca="1"/>
        <v>#NAME?</v>
      </c>
      <c r="C68" t="e">
        <f ca="1"/>
        <v>#NAME?</v>
      </c>
      <c r="D68" t="e">
        <f ca="1"/>
        <v>#NAME?</v>
      </c>
      <c r="E68" t="e">
        <f ca="1"/>
        <v>#NAME?</v>
      </c>
      <c r="F68" t="e">
        <f ca="1"/>
        <v>#NAME?</v>
      </c>
    </row>
    <row r="69" spans="1:6" x14ac:dyDescent="0.3">
      <c r="A69" t="e">
        <f ca="1"/>
        <v>#NAME?</v>
      </c>
      <c r="B69" t="e">
        <f ca="1"/>
        <v>#NAME?</v>
      </c>
      <c r="C69" t="e">
        <f ca="1"/>
        <v>#NAME?</v>
      </c>
      <c r="D69" t="e">
        <f ca="1"/>
        <v>#NAME?</v>
      </c>
      <c r="E69" t="e">
        <f ca="1"/>
        <v>#NAME?</v>
      </c>
      <c r="F69" t="e">
        <f ca="1"/>
        <v>#NAME?</v>
      </c>
    </row>
    <row r="70" spans="1:6" x14ac:dyDescent="0.3">
      <c r="A70" t="e">
        <f ca="1"/>
        <v>#NAME?</v>
      </c>
      <c r="B70" t="e">
        <f ca="1"/>
        <v>#NAME?</v>
      </c>
      <c r="C70" t="e">
        <f ca="1"/>
        <v>#NAME?</v>
      </c>
      <c r="D70" t="e">
        <f ca="1"/>
        <v>#NAME?</v>
      </c>
      <c r="E70" t="e">
        <f ca="1"/>
        <v>#NAME?</v>
      </c>
      <c r="F70" t="e">
        <f ca="1"/>
        <v>#NAME?</v>
      </c>
    </row>
    <row r="71" spans="1:6" x14ac:dyDescent="0.3">
      <c r="A71" t="e">
        <f ca="1"/>
        <v>#NAME?</v>
      </c>
      <c r="B71" t="e">
        <f ca="1"/>
        <v>#NAME?</v>
      </c>
      <c r="C71" t="e">
        <f ca="1"/>
        <v>#NAME?</v>
      </c>
      <c r="D71" t="e">
        <f ca="1"/>
        <v>#NAME?</v>
      </c>
      <c r="E71" t="e">
        <f ca="1"/>
        <v>#NAME?</v>
      </c>
      <c r="F71" t="e">
        <f ca="1"/>
        <v>#NAME?</v>
      </c>
    </row>
    <row r="72" spans="1:6" x14ac:dyDescent="0.3">
      <c r="A72" t="e">
        <f ca="1"/>
        <v>#NAME?</v>
      </c>
      <c r="B72" t="e">
        <f ca="1"/>
        <v>#NAME?</v>
      </c>
      <c r="C72" t="e">
        <f ca="1"/>
        <v>#NAME?</v>
      </c>
      <c r="D72" t="e">
        <f ca="1"/>
        <v>#NAME?</v>
      </c>
      <c r="E72" t="e">
        <f ca="1"/>
        <v>#NAME?</v>
      </c>
      <c r="F72" t="e">
        <f ca="1"/>
        <v>#NAME?</v>
      </c>
    </row>
    <row r="73" spans="1:6" x14ac:dyDescent="0.3">
      <c r="A73" t="e">
        <f ca="1"/>
        <v>#NAME?</v>
      </c>
      <c r="B73" t="e">
        <f ca="1"/>
        <v>#NAME?</v>
      </c>
      <c r="C73" t="e">
        <f ca="1"/>
        <v>#NAME?</v>
      </c>
      <c r="D73" t="e">
        <f ca="1"/>
        <v>#NAME?</v>
      </c>
      <c r="E73" t="e">
        <f ca="1"/>
        <v>#NAME?</v>
      </c>
      <c r="F73" t="e">
        <f ca="1"/>
        <v>#NAME?</v>
      </c>
    </row>
    <row r="74" spans="1:6" x14ac:dyDescent="0.3">
      <c r="A74" t="e">
        <f ca="1"/>
        <v>#NAME?</v>
      </c>
      <c r="B74" t="e">
        <f ca="1"/>
        <v>#NAME?</v>
      </c>
      <c r="C74" t="e">
        <f ca="1"/>
        <v>#NAME?</v>
      </c>
      <c r="D74" t="e">
        <f ca="1"/>
        <v>#NAME?</v>
      </c>
      <c r="E74" t="e">
        <f ca="1"/>
        <v>#NAME?</v>
      </c>
      <c r="F74" t="e">
        <f ca="1"/>
        <v>#NAME?</v>
      </c>
    </row>
    <row r="75" spans="1:6" x14ac:dyDescent="0.3">
      <c r="A75" t="e">
        <f ca="1"/>
        <v>#NAME?</v>
      </c>
      <c r="B75" t="e">
        <f ca="1"/>
        <v>#NAME?</v>
      </c>
      <c r="C75" t="e">
        <f ca="1"/>
        <v>#NAME?</v>
      </c>
      <c r="D75" t="e">
        <f ca="1"/>
        <v>#NAME?</v>
      </c>
      <c r="E75" t="e">
        <f ca="1"/>
        <v>#NAME?</v>
      </c>
      <c r="F75" t="e">
        <f ca="1"/>
        <v>#NAME?</v>
      </c>
    </row>
    <row r="76" spans="1:6" x14ac:dyDescent="0.3">
      <c r="A76" t="e">
        <f ca="1"/>
        <v>#NAME?</v>
      </c>
      <c r="B76" t="e">
        <f ca="1"/>
        <v>#NAME?</v>
      </c>
      <c r="C76" t="e">
        <f ca="1"/>
        <v>#NAME?</v>
      </c>
      <c r="D76" t="e">
        <f ca="1"/>
        <v>#NAME?</v>
      </c>
      <c r="E76" t="e">
        <f ca="1"/>
        <v>#NAME?</v>
      </c>
      <c r="F76" t="e">
        <f ca="1"/>
        <v>#NAME?</v>
      </c>
    </row>
    <row r="77" spans="1:6" x14ac:dyDescent="0.3">
      <c r="A77" t="e">
        <f ca="1"/>
        <v>#NAME?</v>
      </c>
      <c r="B77" t="e">
        <f ca="1"/>
        <v>#NAME?</v>
      </c>
      <c r="C77" t="e">
        <f ca="1"/>
        <v>#NAME?</v>
      </c>
      <c r="D77" t="e">
        <f ca="1"/>
        <v>#NAME?</v>
      </c>
      <c r="E77" t="e">
        <f ca="1"/>
        <v>#NAME?</v>
      </c>
      <c r="F77" t="e">
        <f ca="1"/>
        <v>#NAME?</v>
      </c>
    </row>
    <row r="78" spans="1:6" x14ac:dyDescent="0.3">
      <c r="A78" t="e">
        <f ca="1"/>
        <v>#NAME?</v>
      </c>
      <c r="B78" t="e">
        <f ca="1"/>
        <v>#NAME?</v>
      </c>
      <c r="C78" t="e">
        <f ca="1"/>
        <v>#NAME?</v>
      </c>
      <c r="D78" t="e">
        <f ca="1"/>
        <v>#NAME?</v>
      </c>
      <c r="E78" t="e">
        <f ca="1"/>
        <v>#NAME?</v>
      </c>
      <c r="F78" t="e">
        <f ca="1"/>
        <v>#NAME?</v>
      </c>
    </row>
    <row r="79" spans="1:6" x14ac:dyDescent="0.3">
      <c r="A79" t="e">
        <f ca="1"/>
        <v>#NAME?</v>
      </c>
      <c r="B79" t="e">
        <f ca="1"/>
        <v>#NAME?</v>
      </c>
      <c r="C79" t="e">
        <f ca="1"/>
        <v>#NAME?</v>
      </c>
      <c r="D79" t="e">
        <f ca="1"/>
        <v>#NAME?</v>
      </c>
      <c r="E79" t="e">
        <f ca="1"/>
        <v>#NAME?</v>
      </c>
      <c r="F79" t="e">
        <f ca="1"/>
        <v>#NAME?</v>
      </c>
    </row>
    <row r="80" spans="1:6" x14ac:dyDescent="0.3">
      <c r="A80" t="e">
        <f ca="1"/>
        <v>#NAME?</v>
      </c>
      <c r="B80" t="e">
        <f ca="1"/>
        <v>#NAME?</v>
      </c>
      <c r="C80" t="e">
        <f ca="1"/>
        <v>#NAME?</v>
      </c>
      <c r="D80" t="e">
        <f ca="1"/>
        <v>#NAME?</v>
      </c>
      <c r="E80" t="e">
        <f ca="1"/>
        <v>#NAME?</v>
      </c>
      <c r="F80" t="e">
        <f ca="1"/>
        <v>#NAME?</v>
      </c>
    </row>
    <row r="81" spans="1:6" x14ac:dyDescent="0.3">
      <c r="A81" t="e">
        <f ca="1"/>
        <v>#NAME?</v>
      </c>
      <c r="B81" t="e">
        <f ca="1"/>
        <v>#NAME?</v>
      </c>
      <c r="C81" t="e">
        <f ca="1"/>
        <v>#NAME?</v>
      </c>
      <c r="D81" t="e">
        <f ca="1"/>
        <v>#NAME?</v>
      </c>
      <c r="E81" t="e">
        <f ca="1"/>
        <v>#NAME?</v>
      </c>
      <c r="F81" t="e">
        <f ca="1"/>
        <v>#NAME?</v>
      </c>
    </row>
    <row r="82" spans="1:6" x14ac:dyDescent="0.3">
      <c r="A82" t="e">
        <f ca="1"/>
        <v>#NAME?</v>
      </c>
      <c r="B82" t="e">
        <f ca="1"/>
        <v>#NAME?</v>
      </c>
      <c r="C82" t="e">
        <f ca="1"/>
        <v>#NAME?</v>
      </c>
      <c r="D82" t="e">
        <f ca="1"/>
        <v>#NAME?</v>
      </c>
      <c r="E82" t="e">
        <f ca="1"/>
        <v>#NAME?</v>
      </c>
      <c r="F82" t="e">
        <f ca="1"/>
        <v>#NAME?</v>
      </c>
    </row>
    <row r="83" spans="1:6" x14ac:dyDescent="0.3">
      <c r="A83" t="e">
        <f ca="1"/>
        <v>#NAME?</v>
      </c>
      <c r="B83" t="e">
        <f ca="1"/>
        <v>#NAME?</v>
      </c>
      <c r="C83" t="e">
        <f ca="1"/>
        <v>#NAME?</v>
      </c>
      <c r="D83" t="e">
        <f ca="1"/>
        <v>#NAME?</v>
      </c>
      <c r="E83" t="e">
        <f ca="1"/>
        <v>#NAME?</v>
      </c>
      <c r="F83" t="e">
        <f ca="1"/>
        <v>#NAME?</v>
      </c>
    </row>
    <row r="84" spans="1:6" x14ac:dyDescent="0.3">
      <c r="A84" t="e">
        <f ca="1"/>
        <v>#NAME?</v>
      </c>
      <c r="B84" t="e">
        <f ca="1"/>
        <v>#NAME?</v>
      </c>
      <c r="C84" t="e">
        <f ca="1"/>
        <v>#NAME?</v>
      </c>
      <c r="D84" t="e">
        <f ca="1"/>
        <v>#NAME?</v>
      </c>
      <c r="E84" t="e">
        <f ca="1"/>
        <v>#NAME?</v>
      </c>
      <c r="F84" t="e">
        <f ca="1"/>
        <v>#NAME?</v>
      </c>
    </row>
    <row r="85" spans="1:6" x14ac:dyDescent="0.3">
      <c r="A85" t="e">
        <f ca="1"/>
        <v>#NAME?</v>
      </c>
      <c r="B85" t="e">
        <f ca="1"/>
        <v>#NAME?</v>
      </c>
      <c r="C85" t="e">
        <f ca="1"/>
        <v>#NAME?</v>
      </c>
      <c r="D85" t="e">
        <f ca="1"/>
        <v>#NAME?</v>
      </c>
      <c r="E85" t="e">
        <f ca="1"/>
        <v>#NAME?</v>
      </c>
      <c r="F85" t="e">
        <f ca="1"/>
        <v>#NAME?</v>
      </c>
    </row>
    <row r="86" spans="1:6" x14ac:dyDescent="0.3">
      <c r="A86" t="e">
        <f ca="1"/>
        <v>#NAME?</v>
      </c>
      <c r="B86" t="e">
        <f ca="1"/>
        <v>#NAME?</v>
      </c>
      <c r="C86" t="e">
        <f ca="1"/>
        <v>#NAME?</v>
      </c>
      <c r="D86" t="e">
        <f ca="1"/>
        <v>#NAME?</v>
      </c>
      <c r="E86" t="e">
        <f ca="1"/>
        <v>#NAME?</v>
      </c>
      <c r="F86" t="e">
        <f ca="1"/>
        <v>#NAME?</v>
      </c>
    </row>
    <row r="87" spans="1:6" x14ac:dyDescent="0.3">
      <c r="A87" t="e">
        <f ca="1"/>
        <v>#NAME?</v>
      </c>
      <c r="B87" t="e">
        <f ca="1"/>
        <v>#NAME?</v>
      </c>
      <c r="C87" t="e">
        <f ca="1"/>
        <v>#NAME?</v>
      </c>
      <c r="D87" t="e">
        <f ca="1"/>
        <v>#NAME?</v>
      </c>
      <c r="E87" t="e">
        <f ca="1"/>
        <v>#NAME?</v>
      </c>
      <c r="F87" t="e">
        <f ca="1"/>
        <v>#NAME?</v>
      </c>
    </row>
    <row r="88" spans="1:6" x14ac:dyDescent="0.3">
      <c r="A88" t="e">
        <f ca="1"/>
        <v>#NAME?</v>
      </c>
      <c r="B88" t="e">
        <f ca="1"/>
        <v>#NAME?</v>
      </c>
      <c r="C88" t="e">
        <f ca="1"/>
        <v>#NAME?</v>
      </c>
      <c r="D88" t="e">
        <f ca="1"/>
        <v>#NAME?</v>
      </c>
      <c r="E88" t="e">
        <f ca="1"/>
        <v>#NAME?</v>
      </c>
      <c r="F88" t="e">
        <f ca="1"/>
        <v>#NAME?</v>
      </c>
    </row>
    <row r="89" spans="1:6" x14ac:dyDescent="0.3">
      <c r="A89" t="e">
        <f ca="1"/>
        <v>#NAME?</v>
      </c>
      <c r="B89" t="e">
        <f ca="1"/>
        <v>#NAME?</v>
      </c>
      <c r="C89" t="e">
        <f ca="1"/>
        <v>#NAME?</v>
      </c>
      <c r="D89" t="e">
        <f ca="1"/>
        <v>#NAME?</v>
      </c>
      <c r="E89" t="e">
        <f ca="1"/>
        <v>#NAME?</v>
      </c>
      <c r="F89" t="e">
        <f ca="1"/>
        <v>#NAME?</v>
      </c>
    </row>
    <row r="90" spans="1:6" x14ac:dyDescent="0.3">
      <c r="A90" t="e">
        <f ca="1"/>
        <v>#NAME?</v>
      </c>
      <c r="B90" t="e">
        <f ca="1"/>
        <v>#NAME?</v>
      </c>
      <c r="C90" t="e">
        <f ca="1"/>
        <v>#NAME?</v>
      </c>
      <c r="D90" t="e">
        <f ca="1"/>
        <v>#NAME?</v>
      </c>
      <c r="E90" t="e">
        <f ca="1"/>
        <v>#NAME?</v>
      </c>
      <c r="F90" t="e">
        <f ca="1"/>
        <v>#NAME?</v>
      </c>
    </row>
    <row r="91" spans="1:6" x14ac:dyDescent="0.3">
      <c r="A91" t="e">
        <f ca="1"/>
        <v>#NAME?</v>
      </c>
      <c r="B91" t="e">
        <f ca="1"/>
        <v>#NAME?</v>
      </c>
      <c r="C91" t="e">
        <f ca="1"/>
        <v>#NAME?</v>
      </c>
      <c r="D91" t="e">
        <f ca="1"/>
        <v>#NAME?</v>
      </c>
      <c r="E91" t="e">
        <f ca="1"/>
        <v>#NAME?</v>
      </c>
      <c r="F91" t="e">
        <f ca="1"/>
        <v>#NAME?</v>
      </c>
    </row>
    <row r="92" spans="1:6" x14ac:dyDescent="0.3">
      <c r="A92" t="e">
        <f ca="1"/>
        <v>#NAME?</v>
      </c>
      <c r="B92" t="e">
        <f ca="1"/>
        <v>#NAME?</v>
      </c>
      <c r="C92" t="e">
        <f ca="1"/>
        <v>#NAME?</v>
      </c>
      <c r="D92" t="e">
        <f ca="1"/>
        <v>#NAME?</v>
      </c>
      <c r="E92" t="e">
        <f ca="1"/>
        <v>#NAME?</v>
      </c>
      <c r="F92" t="e">
        <f ca="1"/>
        <v>#NAME?</v>
      </c>
    </row>
    <row r="93" spans="1:6" x14ac:dyDescent="0.3">
      <c r="A93" t="e">
        <f ca="1"/>
        <v>#NAME?</v>
      </c>
      <c r="B93" t="e">
        <f ca="1"/>
        <v>#NAME?</v>
      </c>
      <c r="C93" t="e">
        <f ca="1"/>
        <v>#NAME?</v>
      </c>
      <c r="D93" t="e">
        <f ca="1"/>
        <v>#NAME?</v>
      </c>
      <c r="E93" t="e">
        <f ca="1"/>
        <v>#NAME?</v>
      </c>
      <c r="F93" t="e">
        <f ca="1"/>
        <v>#NAME?</v>
      </c>
    </row>
    <row r="94" spans="1:6" x14ac:dyDescent="0.3">
      <c r="A94" t="e">
        <f ca="1"/>
        <v>#NAME?</v>
      </c>
      <c r="B94" t="e">
        <f ca="1"/>
        <v>#NAME?</v>
      </c>
      <c r="C94" t="e">
        <f ca="1"/>
        <v>#NAME?</v>
      </c>
      <c r="D94" t="e">
        <f ca="1"/>
        <v>#NAME?</v>
      </c>
      <c r="E94" t="e">
        <f ca="1"/>
        <v>#NAME?</v>
      </c>
      <c r="F94" t="e">
        <f ca="1"/>
        <v>#NAME?</v>
      </c>
    </row>
    <row r="95" spans="1:6" x14ac:dyDescent="0.3">
      <c r="A95" t="e">
        <f ca="1"/>
        <v>#NAME?</v>
      </c>
      <c r="B95" t="e">
        <f ca="1"/>
        <v>#NAME?</v>
      </c>
      <c r="C95" t="e">
        <f ca="1"/>
        <v>#NAME?</v>
      </c>
      <c r="D95" t="e">
        <f ca="1"/>
        <v>#NAME?</v>
      </c>
      <c r="E95" t="e">
        <f ca="1"/>
        <v>#NAME?</v>
      </c>
      <c r="F95" t="e">
        <f ca="1"/>
        <v>#NAME?</v>
      </c>
    </row>
    <row r="96" spans="1:6" x14ac:dyDescent="0.3">
      <c r="A96" t="e">
        <f ca="1"/>
        <v>#NAME?</v>
      </c>
      <c r="B96" t="e">
        <f ca="1"/>
        <v>#NAME?</v>
      </c>
      <c r="C96" t="e">
        <f ca="1"/>
        <v>#NAME?</v>
      </c>
      <c r="D96" t="e">
        <f ca="1"/>
        <v>#NAME?</v>
      </c>
      <c r="E96" t="e">
        <f ca="1"/>
        <v>#NAME?</v>
      </c>
      <c r="F96" t="e">
        <f ca="1"/>
        <v>#NAME?</v>
      </c>
    </row>
    <row r="97" spans="1:6" x14ac:dyDescent="0.3">
      <c r="A97" t="e">
        <f ca="1"/>
        <v>#NAME?</v>
      </c>
      <c r="B97" t="e">
        <f ca="1"/>
        <v>#NAME?</v>
      </c>
      <c r="C97" t="e">
        <f ca="1"/>
        <v>#NAME?</v>
      </c>
      <c r="D97" t="e">
        <f ca="1"/>
        <v>#NAME?</v>
      </c>
      <c r="E97" t="e">
        <f ca="1"/>
        <v>#NAME?</v>
      </c>
      <c r="F97" t="e">
        <f ca="1"/>
        <v>#NAME?</v>
      </c>
    </row>
    <row r="98" spans="1:6" x14ac:dyDescent="0.3">
      <c r="A98" t="e">
        <f ca="1"/>
        <v>#NAME?</v>
      </c>
      <c r="B98" t="e">
        <f ca="1"/>
        <v>#NAME?</v>
      </c>
      <c r="C98" t="e">
        <f ca="1"/>
        <v>#NAME?</v>
      </c>
      <c r="D98" t="e">
        <f ca="1"/>
        <v>#NAME?</v>
      </c>
      <c r="E98" t="e">
        <f ca="1"/>
        <v>#NAME?</v>
      </c>
      <c r="F98" t="e">
        <f ca="1"/>
        <v>#NAME?</v>
      </c>
    </row>
    <row r="99" spans="1:6" x14ac:dyDescent="0.3">
      <c r="A99" t="e">
        <f ca="1"/>
        <v>#NAME?</v>
      </c>
      <c r="B99" t="e">
        <f ca="1"/>
        <v>#NAME?</v>
      </c>
      <c r="C99" t="e">
        <f ca="1"/>
        <v>#NAME?</v>
      </c>
      <c r="D99" t="e">
        <f ca="1"/>
        <v>#NAME?</v>
      </c>
      <c r="E99" t="e">
        <f ca="1"/>
        <v>#NAME?</v>
      </c>
      <c r="F99" t="e">
        <f ca="1"/>
        <v>#NAME?</v>
      </c>
    </row>
    <row r="100" spans="1:6" x14ac:dyDescent="0.3">
      <c r="A100" t="e">
        <f ca="1"/>
        <v>#NAME?</v>
      </c>
      <c r="B100" t="e">
        <f ca="1"/>
        <v>#NAME?</v>
      </c>
      <c r="C100" t="e">
        <f ca="1"/>
        <v>#NAME?</v>
      </c>
      <c r="D100" t="e">
        <f ca="1"/>
        <v>#NAME?</v>
      </c>
      <c r="E100" t="e">
        <f ca="1"/>
        <v>#NAME?</v>
      </c>
      <c r="F100" t="e">
        <f ca="1"/>
        <v>#NAME?</v>
      </c>
    </row>
    <row r="101" spans="1:6" x14ac:dyDescent="0.3">
      <c r="A101" t="e">
        <f ca="1"/>
        <v>#NAME?</v>
      </c>
      <c r="B101" t="e">
        <f ca="1"/>
        <v>#NAME?</v>
      </c>
      <c r="C101" t="e">
        <f ca="1"/>
        <v>#NAME?</v>
      </c>
      <c r="D101" t="e">
        <f ca="1"/>
        <v>#NAME?</v>
      </c>
      <c r="E101" t="e">
        <f ca="1"/>
        <v>#NAME?</v>
      </c>
      <c r="F101" t="e">
        <f ca="1"/>
        <v>#NAME?</v>
      </c>
    </row>
    <row r="102" spans="1:6" x14ac:dyDescent="0.3">
      <c r="A102" t="e">
        <f ca="1"/>
        <v>#NAME?</v>
      </c>
      <c r="B102" t="e">
        <f ca="1"/>
        <v>#NAME?</v>
      </c>
      <c r="C102" t="e">
        <f ca="1"/>
        <v>#NAME?</v>
      </c>
      <c r="D102" t="e">
        <f ca="1"/>
        <v>#NAME?</v>
      </c>
      <c r="E102" t="e">
        <f ca="1"/>
        <v>#NAME?</v>
      </c>
      <c r="F102" t="e">
        <f ca="1"/>
        <v>#NAME?</v>
      </c>
    </row>
    <row r="103" spans="1:6" x14ac:dyDescent="0.3">
      <c r="A103" t="e">
        <f ca="1"/>
        <v>#NAME?</v>
      </c>
      <c r="B103" t="e">
        <f ca="1"/>
        <v>#NAME?</v>
      </c>
      <c r="C103" t="e">
        <f ca="1"/>
        <v>#NAME?</v>
      </c>
      <c r="D103" t="e">
        <f ca="1"/>
        <v>#NAME?</v>
      </c>
      <c r="E103" t="e">
        <f ca="1"/>
        <v>#NAME?</v>
      </c>
      <c r="F103" t="e">
        <f ca="1"/>
        <v>#NAME?</v>
      </c>
    </row>
    <row r="104" spans="1:6" x14ac:dyDescent="0.3">
      <c r="A104" t="e">
        <f ca="1"/>
        <v>#NAME?</v>
      </c>
      <c r="B104" t="e">
        <f ca="1"/>
        <v>#NAME?</v>
      </c>
      <c r="C104" t="e">
        <f ca="1"/>
        <v>#NAME?</v>
      </c>
      <c r="D104" t="e">
        <f ca="1"/>
        <v>#NAME?</v>
      </c>
      <c r="E104" t="e">
        <f ca="1"/>
        <v>#NAME?</v>
      </c>
      <c r="F104" t="e">
        <f ca="1"/>
        <v>#NAME?</v>
      </c>
    </row>
    <row r="105" spans="1:6" x14ac:dyDescent="0.3">
      <c r="A105" t="e">
        <f ca="1"/>
        <v>#NAME?</v>
      </c>
      <c r="B105" t="e">
        <f ca="1"/>
        <v>#NAME?</v>
      </c>
      <c r="C105" t="e">
        <f ca="1"/>
        <v>#NAME?</v>
      </c>
      <c r="D105" t="e">
        <f ca="1"/>
        <v>#NAME?</v>
      </c>
      <c r="E105" t="e">
        <f ca="1"/>
        <v>#NAME?</v>
      </c>
      <c r="F105" t="e">
        <f ca="1"/>
        <v>#NAME?</v>
      </c>
    </row>
    <row r="106" spans="1:6" x14ac:dyDescent="0.3">
      <c r="A106" t="e">
        <f ca="1"/>
        <v>#NAME?</v>
      </c>
      <c r="B106" t="e">
        <f ca="1"/>
        <v>#NAME?</v>
      </c>
      <c r="C106" t="e">
        <f ca="1"/>
        <v>#NAME?</v>
      </c>
      <c r="D106" t="e">
        <f ca="1"/>
        <v>#NAME?</v>
      </c>
      <c r="E106" t="e">
        <f ca="1"/>
        <v>#NAME?</v>
      </c>
      <c r="F106" t="e">
        <f ca="1"/>
        <v>#NAME?</v>
      </c>
    </row>
    <row r="107" spans="1:6" x14ac:dyDescent="0.3">
      <c r="A107" t="e">
        <f ca="1"/>
        <v>#NAME?</v>
      </c>
      <c r="B107" t="e">
        <f ca="1"/>
        <v>#NAME?</v>
      </c>
      <c r="C107" t="e">
        <f ca="1"/>
        <v>#NAME?</v>
      </c>
      <c r="D107" t="e">
        <f ca="1"/>
        <v>#NAME?</v>
      </c>
      <c r="E107" t="e">
        <f ca="1"/>
        <v>#NAME?</v>
      </c>
      <c r="F107" t="e">
        <f ca="1"/>
        <v>#NAME?</v>
      </c>
    </row>
    <row r="108" spans="1:6" x14ac:dyDescent="0.3">
      <c r="A108" t="e">
        <f ca="1"/>
        <v>#NAME?</v>
      </c>
      <c r="B108" t="e">
        <f ca="1"/>
        <v>#NAME?</v>
      </c>
      <c r="C108" t="e">
        <f ca="1"/>
        <v>#NAME?</v>
      </c>
      <c r="D108" t="e">
        <f ca="1"/>
        <v>#NAME?</v>
      </c>
      <c r="E108" t="e">
        <f ca="1"/>
        <v>#NAME?</v>
      </c>
      <c r="F108" t="e">
        <f ca="1"/>
        <v>#NAME?</v>
      </c>
    </row>
    <row r="109" spans="1:6" x14ac:dyDescent="0.3">
      <c r="A109" t="e">
        <f ca="1"/>
        <v>#NAME?</v>
      </c>
      <c r="B109" t="e">
        <f ca="1"/>
        <v>#NAME?</v>
      </c>
      <c r="C109" t="e">
        <f ca="1"/>
        <v>#NAME?</v>
      </c>
      <c r="D109" t="e">
        <f ca="1"/>
        <v>#NAME?</v>
      </c>
      <c r="E109" t="e">
        <f ca="1"/>
        <v>#NAME?</v>
      </c>
      <c r="F109" t="e">
        <f ca="1"/>
        <v>#NAME?</v>
      </c>
    </row>
    <row r="110" spans="1:6" x14ac:dyDescent="0.3">
      <c r="A110" t="e">
        <f ca="1"/>
        <v>#NAME?</v>
      </c>
      <c r="B110" t="e">
        <f ca="1"/>
        <v>#NAME?</v>
      </c>
      <c r="C110" t="e">
        <f ca="1"/>
        <v>#NAME?</v>
      </c>
      <c r="D110" t="e">
        <f ca="1"/>
        <v>#NAME?</v>
      </c>
      <c r="E110" t="e">
        <f ca="1"/>
        <v>#NAME?</v>
      </c>
      <c r="F110" t="e">
        <f ca="1"/>
        <v>#NAME?</v>
      </c>
    </row>
    <row r="111" spans="1:6" x14ac:dyDescent="0.3">
      <c r="A111" t="e">
        <f ca="1"/>
        <v>#NAME?</v>
      </c>
      <c r="B111" t="e">
        <f ca="1"/>
        <v>#NAME?</v>
      </c>
      <c r="C111" t="e">
        <f ca="1"/>
        <v>#NAME?</v>
      </c>
      <c r="D111" t="e">
        <f ca="1"/>
        <v>#NAME?</v>
      </c>
      <c r="E111" t="e">
        <f ca="1"/>
        <v>#NAME?</v>
      </c>
      <c r="F111" t="e">
        <f ca="1"/>
        <v>#NAME?</v>
      </c>
    </row>
    <row r="112" spans="1:6" x14ac:dyDescent="0.3">
      <c r="A112" t="e">
        <f ca="1"/>
        <v>#NAME?</v>
      </c>
      <c r="B112" t="e">
        <f ca="1"/>
        <v>#NAME?</v>
      </c>
      <c r="C112" t="e">
        <f ca="1"/>
        <v>#NAME?</v>
      </c>
      <c r="D112" t="e">
        <f ca="1"/>
        <v>#NAME?</v>
      </c>
      <c r="E112" t="e">
        <f ca="1"/>
        <v>#NAME?</v>
      </c>
      <c r="F112" t="e">
        <f ca="1"/>
        <v>#NAME?</v>
      </c>
    </row>
    <row r="113" spans="1:6" x14ac:dyDescent="0.3">
      <c r="A113" t="e">
        <f ca="1"/>
        <v>#NAME?</v>
      </c>
      <c r="B113" t="e">
        <f ca="1"/>
        <v>#NAME?</v>
      </c>
      <c r="C113" t="e">
        <f ca="1"/>
        <v>#NAME?</v>
      </c>
      <c r="D113" t="e">
        <f ca="1"/>
        <v>#NAME?</v>
      </c>
      <c r="E113" t="e">
        <f ca="1"/>
        <v>#NAME?</v>
      </c>
      <c r="F113" t="e">
        <f ca="1"/>
        <v>#NAME?</v>
      </c>
    </row>
    <row r="114" spans="1:6" x14ac:dyDescent="0.3">
      <c r="A114" t="e">
        <f ca="1"/>
        <v>#NAME?</v>
      </c>
      <c r="B114" t="e">
        <f ca="1"/>
        <v>#NAME?</v>
      </c>
      <c r="C114" t="e">
        <f ca="1"/>
        <v>#NAME?</v>
      </c>
      <c r="D114" t="e">
        <f ca="1"/>
        <v>#NAME?</v>
      </c>
      <c r="E114" t="e">
        <f ca="1"/>
        <v>#NAME?</v>
      </c>
      <c r="F114" t="e">
        <f ca="1"/>
        <v>#NAME?</v>
      </c>
    </row>
    <row r="115" spans="1:6" x14ac:dyDescent="0.3">
      <c r="A115" t="e">
        <f ca="1"/>
        <v>#NAME?</v>
      </c>
      <c r="B115" t="e">
        <f ca="1"/>
        <v>#NAME?</v>
      </c>
      <c r="C115" t="e">
        <f ca="1"/>
        <v>#NAME?</v>
      </c>
      <c r="D115" t="e">
        <f ca="1"/>
        <v>#NAME?</v>
      </c>
      <c r="E115" t="e">
        <f ca="1"/>
        <v>#NAME?</v>
      </c>
      <c r="F115" t="e">
        <f ca="1"/>
        <v>#NAME?</v>
      </c>
    </row>
    <row r="116" spans="1:6" x14ac:dyDescent="0.3">
      <c r="A116" t="e">
        <f ca="1"/>
        <v>#NAME?</v>
      </c>
      <c r="B116" t="e">
        <f ca="1"/>
        <v>#NAME?</v>
      </c>
      <c r="C116" t="e">
        <f ca="1"/>
        <v>#NAME?</v>
      </c>
      <c r="D116" t="e">
        <f ca="1"/>
        <v>#NAME?</v>
      </c>
      <c r="E116" t="e">
        <f ca="1"/>
        <v>#NAME?</v>
      </c>
      <c r="F116" t="e">
        <f ca="1"/>
        <v>#NAME?</v>
      </c>
    </row>
    <row r="117" spans="1:6" x14ac:dyDescent="0.3">
      <c r="A117" t="e">
        <f ca="1"/>
        <v>#NAME?</v>
      </c>
      <c r="B117" t="e">
        <f ca="1"/>
        <v>#NAME?</v>
      </c>
      <c r="C117" t="e">
        <f ca="1"/>
        <v>#NAME?</v>
      </c>
      <c r="D117" t="e">
        <f ca="1"/>
        <v>#NAME?</v>
      </c>
      <c r="E117" t="e">
        <f ca="1"/>
        <v>#NAME?</v>
      </c>
      <c r="F117" t="e">
        <f ca="1"/>
        <v>#NAME?</v>
      </c>
    </row>
    <row r="118" spans="1:6" x14ac:dyDescent="0.3">
      <c r="A118" t="e">
        <f ca="1"/>
        <v>#NAME?</v>
      </c>
      <c r="B118" t="e">
        <f ca="1"/>
        <v>#NAME?</v>
      </c>
      <c r="C118" t="e">
        <f ca="1"/>
        <v>#NAME?</v>
      </c>
      <c r="D118" t="e">
        <f ca="1"/>
        <v>#NAME?</v>
      </c>
      <c r="E118" t="e">
        <f ca="1"/>
        <v>#NAME?</v>
      </c>
      <c r="F118" t="e">
        <f ca="1"/>
        <v>#NAME?</v>
      </c>
    </row>
    <row r="119" spans="1:6" x14ac:dyDescent="0.3">
      <c r="A119" t="e">
        <f ca="1"/>
        <v>#NAME?</v>
      </c>
      <c r="B119" t="e">
        <f ca="1"/>
        <v>#NAME?</v>
      </c>
      <c r="C119" t="e">
        <f ca="1"/>
        <v>#NAME?</v>
      </c>
      <c r="D119" t="e">
        <f ca="1"/>
        <v>#NAME?</v>
      </c>
      <c r="E119" t="e">
        <f ca="1"/>
        <v>#NAME?</v>
      </c>
      <c r="F119" t="e">
        <f ca="1"/>
        <v>#NAME?</v>
      </c>
    </row>
    <row r="120" spans="1:6" x14ac:dyDescent="0.3">
      <c r="A120" t="e">
        <f ca="1"/>
        <v>#NAME?</v>
      </c>
      <c r="B120" t="e">
        <f ca="1"/>
        <v>#NAME?</v>
      </c>
      <c r="C120" t="e">
        <f ca="1"/>
        <v>#NAME?</v>
      </c>
      <c r="D120" t="e">
        <f ca="1"/>
        <v>#NAME?</v>
      </c>
      <c r="E120" t="e">
        <f ca="1"/>
        <v>#NAME?</v>
      </c>
      <c r="F120" t="e">
        <f ca="1"/>
        <v>#NAME?</v>
      </c>
    </row>
    <row r="121" spans="1:6" x14ac:dyDescent="0.3">
      <c r="A121" t="e">
        <f ca="1"/>
        <v>#NAME?</v>
      </c>
      <c r="B121" t="e">
        <f ca="1"/>
        <v>#NAME?</v>
      </c>
      <c r="C121" t="e">
        <f ca="1"/>
        <v>#NAME?</v>
      </c>
      <c r="D121" t="e">
        <f ca="1"/>
        <v>#NAME?</v>
      </c>
      <c r="E121" t="e">
        <f ca="1"/>
        <v>#NAME?</v>
      </c>
      <c r="F121" t="e">
        <f ca="1"/>
        <v>#NAME?</v>
      </c>
    </row>
    <row r="122" spans="1:6" x14ac:dyDescent="0.3">
      <c r="A122" t="e">
        <f ca="1"/>
        <v>#NAME?</v>
      </c>
      <c r="B122" t="e">
        <f ca="1"/>
        <v>#NAME?</v>
      </c>
      <c r="C122" t="e">
        <f ca="1"/>
        <v>#NAME?</v>
      </c>
      <c r="D122" t="e">
        <f ca="1"/>
        <v>#NAME?</v>
      </c>
      <c r="E122" t="e">
        <f ca="1"/>
        <v>#NAME?</v>
      </c>
      <c r="F122" t="e">
        <f ca="1"/>
        <v>#NAME?</v>
      </c>
    </row>
    <row r="123" spans="1:6" x14ac:dyDescent="0.3">
      <c r="A123" t="e">
        <f ca="1"/>
        <v>#NAME?</v>
      </c>
      <c r="B123" t="e">
        <f ca="1"/>
        <v>#NAME?</v>
      </c>
      <c r="C123" t="e">
        <f ca="1"/>
        <v>#NAME?</v>
      </c>
      <c r="D123" t="e">
        <f ca="1"/>
        <v>#NAME?</v>
      </c>
      <c r="E123" t="e">
        <f ca="1"/>
        <v>#NAME?</v>
      </c>
      <c r="F123" t="e">
        <f ca="1"/>
        <v>#NAME?</v>
      </c>
    </row>
    <row r="124" spans="1:6" x14ac:dyDescent="0.3">
      <c r="A124" t="e">
        <f ca="1"/>
        <v>#NAME?</v>
      </c>
      <c r="B124" t="e">
        <f ca="1"/>
        <v>#NAME?</v>
      </c>
      <c r="C124" t="e">
        <f ca="1"/>
        <v>#NAME?</v>
      </c>
      <c r="D124" t="e">
        <f ca="1"/>
        <v>#NAME?</v>
      </c>
      <c r="E124" t="e">
        <f ca="1"/>
        <v>#NAME?</v>
      </c>
      <c r="F124" t="e">
        <f ca="1"/>
        <v>#NAME?</v>
      </c>
    </row>
    <row r="125" spans="1:6" x14ac:dyDescent="0.3">
      <c r="A125" t="e">
        <f ca="1"/>
        <v>#NAME?</v>
      </c>
      <c r="B125" t="e">
        <f ca="1"/>
        <v>#NAME?</v>
      </c>
      <c r="C125" t="e">
        <f ca="1"/>
        <v>#NAME?</v>
      </c>
      <c r="D125" t="e">
        <f ca="1"/>
        <v>#NAME?</v>
      </c>
      <c r="E125" t="e">
        <f ca="1"/>
        <v>#NAME?</v>
      </c>
      <c r="F125" t="e">
        <f ca="1"/>
        <v>#NAME?</v>
      </c>
    </row>
    <row r="126" spans="1:6" x14ac:dyDescent="0.3">
      <c r="A126" t="e">
        <f ca="1"/>
        <v>#NAME?</v>
      </c>
      <c r="B126" t="e">
        <f ca="1"/>
        <v>#NAME?</v>
      </c>
      <c r="C126" t="e">
        <f ca="1"/>
        <v>#NAME?</v>
      </c>
      <c r="D126" t="e">
        <f ca="1"/>
        <v>#NAME?</v>
      </c>
      <c r="E126" t="e">
        <f ca="1"/>
        <v>#NAME?</v>
      </c>
      <c r="F126" t="e">
        <f ca="1"/>
        <v>#NAME?</v>
      </c>
    </row>
    <row r="127" spans="1:6" x14ac:dyDescent="0.3">
      <c r="A127" t="e">
        <f ca="1"/>
        <v>#NAME?</v>
      </c>
      <c r="B127" t="e">
        <f ca="1"/>
        <v>#NAME?</v>
      </c>
      <c r="C127" t="e">
        <f ca="1"/>
        <v>#NAME?</v>
      </c>
      <c r="D127" t="e">
        <f ca="1"/>
        <v>#NAME?</v>
      </c>
      <c r="E127" t="e">
        <f ca="1"/>
        <v>#NAME?</v>
      </c>
      <c r="F127" t="e">
        <f ca="1"/>
        <v>#NAME?</v>
      </c>
    </row>
    <row r="128" spans="1:6" x14ac:dyDescent="0.3">
      <c r="A128" t="e">
        <f ca="1"/>
        <v>#NAME?</v>
      </c>
      <c r="B128" t="e">
        <f ca="1"/>
        <v>#NAME?</v>
      </c>
      <c r="C128" t="e">
        <f ca="1"/>
        <v>#NAME?</v>
      </c>
      <c r="D128" t="e">
        <f ca="1"/>
        <v>#NAME?</v>
      </c>
      <c r="E128" t="e">
        <f ca="1"/>
        <v>#NAME?</v>
      </c>
      <c r="F128" t="e">
        <f ca="1"/>
        <v>#NAME?</v>
      </c>
    </row>
    <row r="129" spans="1:6" x14ac:dyDescent="0.3">
      <c r="A129" t="e">
        <f ca="1"/>
        <v>#NAME?</v>
      </c>
      <c r="B129" t="e">
        <f ca="1"/>
        <v>#NAME?</v>
      </c>
      <c r="C129" t="e">
        <f ca="1"/>
        <v>#NAME?</v>
      </c>
      <c r="D129" t="e">
        <f ca="1"/>
        <v>#NAME?</v>
      </c>
      <c r="E129" t="e">
        <f ca="1"/>
        <v>#NAME?</v>
      </c>
      <c r="F129" t="e">
        <f ca="1"/>
        <v>#NAME?</v>
      </c>
    </row>
    <row r="130" spans="1:6" x14ac:dyDescent="0.3">
      <c r="A130" t="e">
        <f ca="1"/>
        <v>#NAME?</v>
      </c>
      <c r="B130" t="e">
        <f ca="1"/>
        <v>#NAME?</v>
      </c>
      <c r="C130" t="e">
        <f ca="1"/>
        <v>#NAME?</v>
      </c>
      <c r="D130" t="e">
        <f ca="1"/>
        <v>#NAME?</v>
      </c>
      <c r="E130" t="e">
        <f ca="1"/>
        <v>#NAME?</v>
      </c>
      <c r="F130" t="e">
        <f ca="1"/>
        <v>#NAME?</v>
      </c>
    </row>
    <row r="131" spans="1:6" x14ac:dyDescent="0.3">
      <c r="A131" t="e">
        <f ca="1"/>
        <v>#NAME?</v>
      </c>
      <c r="B131" t="e">
        <f ca="1"/>
        <v>#NAME?</v>
      </c>
      <c r="C131" t="e">
        <f ca="1"/>
        <v>#NAME?</v>
      </c>
      <c r="D131" t="e">
        <f ca="1"/>
        <v>#NAME?</v>
      </c>
      <c r="E131" t="e">
        <f ca="1"/>
        <v>#NAME?</v>
      </c>
      <c r="F131" t="e">
        <f ca="1"/>
        <v>#NAME?</v>
      </c>
    </row>
    <row r="132" spans="1:6" x14ac:dyDescent="0.3">
      <c r="A132" t="e">
        <f ca="1"/>
        <v>#NAME?</v>
      </c>
      <c r="B132" t="e">
        <f ca="1"/>
        <v>#NAME?</v>
      </c>
      <c r="C132" t="e">
        <f ca="1"/>
        <v>#NAME?</v>
      </c>
      <c r="D132" t="e">
        <f ca="1"/>
        <v>#NAME?</v>
      </c>
      <c r="E132" t="e">
        <f ca="1"/>
        <v>#NAME?</v>
      </c>
      <c r="F132" t="e">
        <f ca="1"/>
        <v>#NAME?</v>
      </c>
    </row>
    <row r="133" spans="1:6" x14ac:dyDescent="0.3">
      <c r="A133" t="e">
        <f ca="1"/>
        <v>#NAME?</v>
      </c>
      <c r="B133" t="e">
        <f ca="1"/>
        <v>#NAME?</v>
      </c>
      <c r="C133" t="e">
        <f ca="1"/>
        <v>#NAME?</v>
      </c>
      <c r="D133" t="e">
        <f ca="1"/>
        <v>#NAME?</v>
      </c>
      <c r="E133" t="e">
        <f ca="1"/>
        <v>#NAME?</v>
      </c>
      <c r="F133" t="e">
        <f ca="1"/>
        <v>#NAME?</v>
      </c>
    </row>
    <row r="134" spans="1:6" x14ac:dyDescent="0.3">
      <c r="A134" t="e">
        <f ca="1"/>
        <v>#NAME?</v>
      </c>
      <c r="B134" t="e">
        <f ca="1"/>
        <v>#NAME?</v>
      </c>
      <c r="C134" t="e">
        <f ca="1"/>
        <v>#NAME?</v>
      </c>
      <c r="D134" t="e">
        <f ca="1"/>
        <v>#NAME?</v>
      </c>
      <c r="E134" t="e">
        <f ca="1"/>
        <v>#NAME?</v>
      </c>
      <c r="F134" t="e">
        <f ca="1"/>
        <v>#NAME?</v>
      </c>
    </row>
    <row r="135" spans="1:6" x14ac:dyDescent="0.3">
      <c r="A135" t="e">
        <f ca="1"/>
        <v>#NAME?</v>
      </c>
      <c r="B135" t="e">
        <f ca="1"/>
        <v>#NAME?</v>
      </c>
      <c r="C135" t="e">
        <f ca="1"/>
        <v>#NAME?</v>
      </c>
      <c r="D135" t="e">
        <f ca="1"/>
        <v>#NAME?</v>
      </c>
      <c r="E135" t="e">
        <f ca="1"/>
        <v>#NAME?</v>
      </c>
      <c r="F135" t="e">
        <f ca="1"/>
        <v>#NAME?</v>
      </c>
    </row>
    <row r="136" spans="1:6" x14ac:dyDescent="0.3">
      <c r="A136" t="e">
        <f ca="1"/>
        <v>#NAME?</v>
      </c>
      <c r="B136" t="e">
        <f ca="1"/>
        <v>#NAME?</v>
      </c>
      <c r="C136" t="e">
        <f ca="1"/>
        <v>#NAME?</v>
      </c>
      <c r="D136" t="e">
        <f ca="1"/>
        <v>#NAME?</v>
      </c>
      <c r="E136" t="e">
        <f ca="1"/>
        <v>#NAME?</v>
      </c>
      <c r="F136" t="e">
        <f ca="1"/>
        <v>#NAME?</v>
      </c>
    </row>
    <row r="137" spans="1:6" x14ac:dyDescent="0.3">
      <c r="A137" t="e">
        <f ca="1"/>
        <v>#NAME?</v>
      </c>
      <c r="B137" t="e">
        <f ca="1"/>
        <v>#NAME?</v>
      </c>
      <c r="C137" t="e">
        <f ca="1"/>
        <v>#NAME?</v>
      </c>
      <c r="D137" t="e">
        <f ca="1"/>
        <v>#NAME?</v>
      </c>
      <c r="E137" t="e">
        <f ca="1"/>
        <v>#NAME?</v>
      </c>
      <c r="F137" t="e">
        <f ca="1"/>
        <v>#NAME?</v>
      </c>
    </row>
    <row r="138" spans="1:6" x14ac:dyDescent="0.3">
      <c r="A138" t="e">
        <f ca="1"/>
        <v>#NAME?</v>
      </c>
      <c r="B138" t="e">
        <f ca="1"/>
        <v>#NAME?</v>
      </c>
      <c r="C138" t="e">
        <f ca="1"/>
        <v>#NAME?</v>
      </c>
      <c r="D138" t="e">
        <f ca="1"/>
        <v>#NAME?</v>
      </c>
      <c r="E138" t="e">
        <f ca="1"/>
        <v>#NAME?</v>
      </c>
      <c r="F138" t="e">
        <f ca="1"/>
        <v>#NAME?</v>
      </c>
    </row>
    <row r="139" spans="1:6" x14ac:dyDescent="0.3">
      <c r="A139" t="e">
        <f ca="1"/>
        <v>#NAME?</v>
      </c>
      <c r="B139" t="e">
        <f ca="1"/>
        <v>#NAME?</v>
      </c>
      <c r="C139" t="e">
        <f ca="1"/>
        <v>#NAME?</v>
      </c>
      <c r="D139" t="e">
        <f ca="1"/>
        <v>#NAME?</v>
      </c>
      <c r="E139" t="e">
        <f ca="1"/>
        <v>#NAME?</v>
      </c>
      <c r="F139" t="e">
        <f ca="1"/>
        <v>#NAME?</v>
      </c>
    </row>
    <row r="140" spans="1:6" x14ac:dyDescent="0.3">
      <c r="A140" t="e">
        <f ca="1"/>
        <v>#NAME?</v>
      </c>
      <c r="B140" t="e">
        <f ca="1"/>
        <v>#NAME?</v>
      </c>
      <c r="C140" t="e">
        <f ca="1"/>
        <v>#NAME?</v>
      </c>
      <c r="D140" t="e">
        <f ca="1"/>
        <v>#NAME?</v>
      </c>
      <c r="E140" t="e">
        <f ca="1"/>
        <v>#NAME?</v>
      </c>
      <c r="F140" t="e">
        <f ca="1"/>
        <v>#NAME?</v>
      </c>
    </row>
    <row r="141" spans="1:6" x14ac:dyDescent="0.3">
      <c r="A141" t="e">
        <f ca="1"/>
        <v>#NAME?</v>
      </c>
      <c r="B141" t="e">
        <f ca="1"/>
        <v>#NAME?</v>
      </c>
      <c r="C141" t="e">
        <f ca="1"/>
        <v>#NAME?</v>
      </c>
      <c r="D141" t="e">
        <f ca="1"/>
        <v>#NAME?</v>
      </c>
      <c r="E141" t="e">
        <f ca="1"/>
        <v>#NAME?</v>
      </c>
      <c r="F141" t="e">
        <f ca="1"/>
        <v>#NAME?</v>
      </c>
    </row>
    <row r="142" spans="1:6" x14ac:dyDescent="0.3">
      <c r="A142" t="e">
        <f ca="1"/>
        <v>#NAME?</v>
      </c>
      <c r="B142" t="e">
        <f ca="1"/>
        <v>#NAME?</v>
      </c>
      <c r="C142" t="e">
        <f ca="1"/>
        <v>#NAME?</v>
      </c>
      <c r="D142" t="e">
        <f ca="1"/>
        <v>#NAME?</v>
      </c>
      <c r="E142" t="e">
        <f ca="1"/>
        <v>#NAME?</v>
      </c>
      <c r="F142" t="e">
        <f ca="1"/>
        <v>#NAME?</v>
      </c>
    </row>
    <row r="143" spans="1:6" x14ac:dyDescent="0.3">
      <c r="A143" t="e">
        <f ca="1"/>
        <v>#NAME?</v>
      </c>
      <c r="B143" t="e">
        <f ca="1"/>
        <v>#NAME?</v>
      </c>
      <c r="C143" t="e">
        <f ca="1"/>
        <v>#NAME?</v>
      </c>
      <c r="D143" t="e">
        <f ca="1"/>
        <v>#NAME?</v>
      </c>
      <c r="E143" t="e">
        <f ca="1"/>
        <v>#NAME?</v>
      </c>
      <c r="F143" t="e">
        <f ca="1"/>
        <v>#NAME?</v>
      </c>
    </row>
    <row r="144" spans="1:6" x14ac:dyDescent="0.3">
      <c r="A144" t="e">
        <f ca="1"/>
        <v>#NAME?</v>
      </c>
      <c r="B144" t="e">
        <f ca="1"/>
        <v>#NAME?</v>
      </c>
      <c r="C144" t="e">
        <f ca="1"/>
        <v>#NAME?</v>
      </c>
      <c r="D144" t="e">
        <f ca="1"/>
        <v>#NAME?</v>
      </c>
      <c r="E144" t="e">
        <f ca="1"/>
        <v>#NAME?</v>
      </c>
      <c r="F144" t="e">
        <f ca="1"/>
        <v>#NAME?</v>
      </c>
    </row>
    <row r="145" spans="1:6" x14ac:dyDescent="0.3">
      <c r="A145" t="e">
        <f ca="1"/>
        <v>#NAME?</v>
      </c>
      <c r="B145" t="e">
        <f ca="1"/>
        <v>#NAME?</v>
      </c>
      <c r="C145" t="e">
        <f ca="1"/>
        <v>#NAME?</v>
      </c>
      <c r="D145" t="e">
        <f ca="1"/>
        <v>#NAME?</v>
      </c>
      <c r="E145" t="e">
        <f ca="1"/>
        <v>#NAME?</v>
      </c>
      <c r="F145" t="e">
        <f ca="1"/>
        <v>#NAME?</v>
      </c>
    </row>
    <row r="146" spans="1:6" x14ac:dyDescent="0.3">
      <c r="A146" t="e">
        <f ca="1"/>
        <v>#NAME?</v>
      </c>
      <c r="B146" t="e">
        <f ca="1"/>
        <v>#NAME?</v>
      </c>
      <c r="C146" t="e">
        <f ca="1"/>
        <v>#NAME?</v>
      </c>
      <c r="D146" t="e">
        <f ca="1"/>
        <v>#NAME?</v>
      </c>
      <c r="E146" t="e">
        <f ca="1"/>
        <v>#NAME?</v>
      </c>
      <c r="F146" t="e">
        <f ca="1"/>
        <v>#NAME?</v>
      </c>
    </row>
    <row r="147" spans="1:6" x14ac:dyDescent="0.3">
      <c r="A147" t="e">
        <f ca="1"/>
        <v>#NAME?</v>
      </c>
      <c r="B147" t="e">
        <f ca="1"/>
        <v>#NAME?</v>
      </c>
      <c r="C147" t="e">
        <f ca="1"/>
        <v>#NAME?</v>
      </c>
      <c r="D147" t="e">
        <f ca="1"/>
        <v>#NAME?</v>
      </c>
      <c r="E147" t="e">
        <f ca="1"/>
        <v>#NAME?</v>
      </c>
      <c r="F147" t="e">
        <f ca="1"/>
        <v>#NAME?</v>
      </c>
    </row>
    <row r="148" spans="1:6" x14ac:dyDescent="0.3">
      <c r="A148" t="e">
        <f ca="1"/>
        <v>#NAME?</v>
      </c>
      <c r="B148" t="e">
        <f ca="1"/>
        <v>#NAME?</v>
      </c>
      <c r="C148" t="e">
        <f ca="1"/>
        <v>#NAME?</v>
      </c>
      <c r="D148" t="e">
        <f ca="1"/>
        <v>#NAME?</v>
      </c>
      <c r="E148" t="e">
        <f ca="1"/>
        <v>#NAME?</v>
      </c>
      <c r="F148" t="e">
        <f ca="1"/>
        <v>#NAME?</v>
      </c>
    </row>
    <row r="149" spans="1:6" x14ac:dyDescent="0.3">
      <c r="A149" t="e">
        <f ca="1"/>
        <v>#NAME?</v>
      </c>
      <c r="B149" t="e">
        <f ca="1"/>
        <v>#NAME?</v>
      </c>
      <c r="C149" t="e">
        <f ca="1"/>
        <v>#NAME?</v>
      </c>
      <c r="D149" t="e">
        <f ca="1"/>
        <v>#NAME?</v>
      </c>
      <c r="E149" t="e">
        <f ca="1"/>
        <v>#NAME?</v>
      </c>
      <c r="F149" t="e">
        <f ca="1"/>
        <v>#NAME?</v>
      </c>
    </row>
    <row r="150" spans="1:6" x14ac:dyDescent="0.3">
      <c r="A150" t="e">
        <f ca="1"/>
        <v>#NAME?</v>
      </c>
      <c r="B150" t="e">
        <f ca="1"/>
        <v>#NAME?</v>
      </c>
      <c r="C150" t="e">
        <f ca="1"/>
        <v>#NAME?</v>
      </c>
      <c r="D150" t="e">
        <f ca="1"/>
        <v>#NAME?</v>
      </c>
      <c r="E150" t="e">
        <f ca="1"/>
        <v>#NAME?</v>
      </c>
      <c r="F150" t="e">
        <f ca="1"/>
        <v>#NAME?</v>
      </c>
    </row>
    <row r="151" spans="1:6" x14ac:dyDescent="0.3">
      <c r="A151" t="e">
        <f ca="1"/>
        <v>#NAME?</v>
      </c>
      <c r="B151" t="e">
        <f ca="1"/>
        <v>#NAME?</v>
      </c>
      <c r="C151" t="e">
        <f ca="1"/>
        <v>#NAME?</v>
      </c>
      <c r="D151" t="e">
        <f ca="1"/>
        <v>#NAME?</v>
      </c>
      <c r="E151" t="e">
        <f ca="1"/>
        <v>#NAME?</v>
      </c>
      <c r="F151" t="e">
        <f ca="1"/>
        <v>#NAME?</v>
      </c>
    </row>
    <row r="152" spans="1:6" x14ac:dyDescent="0.3">
      <c r="A152" t="e">
        <f ca="1"/>
        <v>#NAME?</v>
      </c>
      <c r="B152" t="e">
        <f ca="1"/>
        <v>#NAME?</v>
      </c>
      <c r="C152" t="e">
        <f ca="1"/>
        <v>#NAME?</v>
      </c>
      <c r="D152" t="e">
        <f ca="1"/>
        <v>#NAME?</v>
      </c>
      <c r="E152" t="e">
        <f ca="1"/>
        <v>#NAME?</v>
      </c>
      <c r="F152" t="e">
        <f ca="1"/>
        <v>#NAME?</v>
      </c>
    </row>
    <row r="153" spans="1:6" x14ac:dyDescent="0.3">
      <c r="A153" t="e">
        <f ca="1"/>
        <v>#NAME?</v>
      </c>
      <c r="B153" t="e">
        <f ca="1"/>
        <v>#NAME?</v>
      </c>
      <c r="C153" t="e">
        <f ca="1"/>
        <v>#NAME?</v>
      </c>
      <c r="D153" t="e">
        <f ca="1"/>
        <v>#NAME?</v>
      </c>
      <c r="E153" t="e">
        <f ca="1"/>
        <v>#NAME?</v>
      </c>
      <c r="F153" t="e">
        <f ca="1"/>
        <v>#NAME?</v>
      </c>
    </row>
    <row r="154" spans="1:6" x14ac:dyDescent="0.3">
      <c r="A154" t="e">
        <f ca="1"/>
        <v>#NAME?</v>
      </c>
      <c r="B154" t="e">
        <f ca="1"/>
        <v>#NAME?</v>
      </c>
      <c r="C154" t="e">
        <f ca="1"/>
        <v>#NAME?</v>
      </c>
      <c r="D154" t="e">
        <f ca="1"/>
        <v>#NAME?</v>
      </c>
      <c r="E154" t="e">
        <f ca="1"/>
        <v>#NAME?</v>
      </c>
      <c r="F154" t="e">
        <f ca="1"/>
        <v>#NAME?</v>
      </c>
    </row>
    <row r="155" spans="1:6" x14ac:dyDescent="0.3">
      <c r="A155" t="e">
        <f ca="1"/>
        <v>#NAME?</v>
      </c>
      <c r="B155" t="e">
        <f ca="1"/>
        <v>#NAME?</v>
      </c>
      <c r="C155" t="e">
        <f ca="1"/>
        <v>#NAME?</v>
      </c>
      <c r="D155" t="e">
        <f ca="1"/>
        <v>#NAME?</v>
      </c>
      <c r="E155" t="e">
        <f ca="1"/>
        <v>#NAME?</v>
      </c>
      <c r="F155" t="e">
        <f ca="1"/>
        <v>#NAME?</v>
      </c>
    </row>
    <row r="156" spans="1:6" x14ac:dyDescent="0.3">
      <c r="A156" t="e">
        <f ca="1"/>
        <v>#NAME?</v>
      </c>
      <c r="B156" t="e">
        <f ca="1"/>
        <v>#NAME?</v>
      </c>
      <c r="C156" t="e">
        <f ca="1"/>
        <v>#NAME?</v>
      </c>
      <c r="D156" t="e">
        <f ca="1"/>
        <v>#NAME?</v>
      </c>
      <c r="E156" t="e">
        <f ca="1"/>
        <v>#NAME?</v>
      </c>
      <c r="F156" t="e">
        <f ca="1"/>
        <v>#NAME?</v>
      </c>
    </row>
    <row r="157" spans="1:6" x14ac:dyDescent="0.3">
      <c r="A157" t="e">
        <f ca="1"/>
        <v>#NAME?</v>
      </c>
      <c r="B157" t="e">
        <f ca="1"/>
        <v>#NAME?</v>
      </c>
      <c r="C157" t="e">
        <f ca="1"/>
        <v>#NAME?</v>
      </c>
      <c r="D157" t="e">
        <f ca="1"/>
        <v>#NAME?</v>
      </c>
      <c r="E157" t="e">
        <f ca="1"/>
        <v>#NAME?</v>
      </c>
      <c r="F157" t="e">
        <f ca="1"/>
        <v>#NAME?</v>
      </c>
    </row>
    <row r="158" spans="1:6" x14ac:dyDescent="0.3">
      <c r="A158" t="e">
        <f ca="1"/>
        <v>#NAME?</v>
      </c>
      <c r="B158" t="e">
        <f ca="1"/>
        <v>#NAME?</v>
      </c>
      <c r="C158" t="e">
        <f ca="1"/>
        <v>#NAME?</v>
      </c>
      <c r="D158" t="e">
        <f ca="1"/>
        <v>#NAME?</v>
      </c>
      <c r="E158" t="e">
        <f ca="1"/>
        <v>#NAME?</v>
      </c>
      <c r="F158" t="e">
        <f ca="1"/>
        <v>#NAME?</v>
      </c>
    </row>
    <row r="159" spans="1:6" x14ac:dyDescent="0.3">
      <c r="A159" t="e">
        <f ca="1"/>
        <v>#NAME?</v>
      </c>
      <c r="B159" t="e">
        <f ca="1"/>
        <v>#NAME?</v>
      </c>
      <c r="C159" t="e">
        <f ca="1"/>
        <v>#NAME?</v>
      </c>
      <c r="D159" t="e">
        <f ca="1"/>
        <v>#NAME?</v>
      </c>
      <c r="E159" t="e">
        <f ca="1"/>
        <v>#NAME?</v>
      </c>
      <c r="F159" t="e">
        <f ca="1"/>
        <v>#NAME?</v>
      </c>
    </row>
    <row r="160" spans="1:6" x14ac:dyDescent="0.3">
      <c r="A160" t="e">
        <f ca="1"/>
        <v>#NAME?</v>
      </c>
      <c r="B160" t="e">
        <f ca="1"/>
        <v>#NAME?</v>
      </c>
      <c r="C160" t="e">
        <f ca="1"/>
        <v>#NAME?</v>
      </c>
      <c r="D160" t="e">
        <f ca="1"/>
        <v>#NAME?</v>
      </c>
      <c r="E160" t="e">
        <f ca="1"/>
        <v>#NAME?</v>
      </c>
      <c r="F160" t="e">
        <f ca="1"/>
        <v>#NAME?</v>
      </c>
    </row>
    <row r="161" spans="1:6" x14ac:dyDescent="0.3">
      <c r="A161" t="e">
        <f ca="1"/>
        <v>#NAME?</v>
      </c>
      <c r="B161" t="e">
        <f ca="1"/>
        <v>#NAME?</v>
      </c>
      <c r="C161" t="e">
        <f ca="1"/>
        <v>#NAME?</v>
      </c>
      <c r="D161" t="e">
        <f ca="1"/>
        <v>#NAME?</v>
      </c>
      <c r="E161" t="e">
        <f ca="1"/>
        <v>#NAME?</v>
      </c>
      <c r="F161" t="e">
        <f ca="1"/>
        <v>#NAME?</v>
      </c>
    </row>
    <row r="162" spans="1:6" x14ac:dyDescent="0.3">
      <c r="A162" t="e">
        <f ca="1"/>
        <v>#NAME?</v>
      </c>
      <c r="B162" t="e">
        <f ca="1"/>
        <v>#NAME?</v>
      </c>
      <c r="C162" t="e">
        <f ca="1"/>
        <v>#NAME?</v>
      </c>
      <c r="D162" t="e">
        <f ca="1"/>
        <v>#NAME?</v>
      </c>
      <c r="E162" t="e">
        <f ca="1"/>
        <v>#NAME?</v>
      </c>
      <c r="F162" t="e">
        <f ca="1"/>
        <v>#NAME?</v>
      </c>
    </row>
    <row r="163" spans="1:6" x14ac:dyDescent="0.3">
      <c r="A163" t="e">
        <f ca="1"/>
        <v>#NAME?</v>
      </c>
      <c r="B163" t="e">
        <f ca="1"/>
        <v>#NAME?</v>
      </c>
      <c r="C163" t="e">
        <f ca="1"/>
        <v>#NAME?</v>
      </c>
      <c r="D163" t="e">
        <f ca="1"/>
        <v>#NAME?</v>
      </c>
      <c r="E163" t="e">
        <f ca="1"/>
        <v>#NAME?</v>
      </c>
      <c r="F163" t="e">
        <f ca="1"/>
        <v>#NAME?</v>
      </c>
    </row>
    <row r="164" spans="1:6" x14ac:dyDescent="0.3">
      <c r="A164" t="e">
        <f ca="1"/>
        <v>#NAME?</v>
      </c>
      <c r="B164" t="e">
        <f ca="1"/>
        <v>#NAME?</v>
      </c>
      <c r="C164" t="e">
        <f ca="1"/>
        <v>#NAME?</v>
      </c>
      <c r="D164" t="e">
        <f ca="1"/>
        <v>#NAME?</v>
      </c>
      <c r="E164" t="e">
        <f ca="1"/>
        <v>#NAME?</v>
      </c>
      <c r="F164" t="e">
        <f ca="1"/>
        <v>#NAME?</v>
      </c>
    </row>
    <row r="165" spans="1:6" x14ac:dyDescent="0.3">
      <c r="A165" t="e">
        <f ca="1"/>
        <v>#NAME?</v>
      </c>
      <c r="B165" t="e">
        <f ca="1"/>
        <v>#NAME?</v>
      </c>
      <c r="C165" t="e">
        <f ca="1"/>
        <v>#NAME?</v>
      </c>
      <c r="D165" t="e">
        <f ca="1"/>
        <v>#NAME?</v>
      </c>
      <c r="E165" t="e">
        <f ca="1"/>
        <v>#NAME?</v>
      </c>
      <c r="F165" t="e">
        <f ca="1"/>
        <v>#NAME?</v>
      </c>
    </row>
    <row r="166" spans="1:6" x14ac:dyDescent="0.3">
      <c r="A166" t="e">
        <f ca="1"/>
        <v>#NAME?</v>
      </c>
      <c r="B166" t="e">
        <f ca="1"/>
        <v>#NAME?</v>
      </c>
      <c r="C166" t="e">
        <f ca="1"/>
        <v>#NAME?</v>
      </c>
      <c r="D166" t="e">
        <f ca="1"/>
        <v>#NAME?</v>
      </c>
      <c r="E166" t="e">
        <f ca="1"/>
        <v>#NAME?</v>
      </c>
      <c r="F166" t="e">
        <f ca="1"/>
        <v>#NAME?</v>
      </c>
    </row>
    <row r="167" spans="1:6" x14ac:dyDescent="0.3">
      <c r="A167" t="e">
        <f ca="1"/>
        <v>#NAME?</v>
      </c>
      <c r="B167" t="e">
        <f ca="1"/>
        <v>#NAME?</v>
      </c>
      <c r="C167" t="e">
        <f ca="1"/>
        <v>#NAME?</v>
      </c>
      <c r="D167" t="e">
        <f ca="1"/>
        <v>#NAME?</v>
      </c>
      <c r="E167" t="e">
        <f ca="1"/>
        <v>#NAME?</v>
      </c>
      <c r="F167" t="e">
        <f ca="1"/>
        <v>#NAME?</v>
      </c>
    </row>
    <row r="168" spans="1:6" x14ac:dyDescent="0.3">
      <c r="A168" t="e">
        <f ca="1"/>
        <v>#NAME?</v>
      </c>
      <c r="B168" t="e">
        <f ca="1"/>
        <v>#NAME?</v>
      </c>
      <c r="C168" t="e">
        <f ca="1"/>
        <v>#NAME?</v>
      </c>
      <c r="D168" t="e">
        <f ca="1"/>
        <v>#NAME?</v>
      </c>
      <c r="E168" t="e">
        <f ca="1"/>
        <v>#NAME?</v>
      </c>
      <c r="F168" t="e">
        <f ca="1"/>
        <v>#NAME?</v>
      </c>
    </row>
    <row r="169" spans="1:6" x14ac:dyDescent="0.3">
      <c r="A169" t="e">
        <f ca="1"/>
        <v>#NAME?</v>
      </c>
      <c r="B169" t="e">
        <f ca="1"/>
        <v>#NAME?</v>
      </c>
      <c r="C169" t="e">
        <f ca="1"/>
        <v>#NAME?</v>
      </c>
      <c r="D169" t="e">
        <f ca="1"/>
        <v>#NAME?</v>
      </c>
      <c r="E169" t="e">
        <f ca="1"/>
        <v>#NAME?</v>
      </c>
      <c r="F169" t="e">
        <f ca="1"/>
        <v>#NAME?</v>
      </c>
    </row>
    <row r="170" spans="1:6" x14ac:dyDescent="0.3">
      <c r="A170" t="e">
        <f ca="1"/>
        <v>#NAME?</v>
      </c>
      <c r="B170" t="e">
        <f ca="1"/>
        <v>#NAME?</v>
      </c>
      <c r="C170" t="e">
        <f ca="1"/>
        <v>#NAME?</v>
      </c>
      <c r="D170" t="e">
        <f ca="1"/>
        <v>#NAME?</v>
      </c>
      <c r="E170" t="e">
        <f ca="1"/>
        <v>#NAME?</v>
      </c>
      <c r="F170" t="e">
        <f ca="1"/>
        <v>#NAME?</v>
      </c>
    </row>
    <row r="171" spans="1:6" x14ac:dyDescent="0.3">
      <c r="A171" t="e">
        <f ca="1"/>
        <v>#NAME?</v>
      </c>
      <c r="B171" t="e">
        <f ca="1"/>
        <v>#NAME?</v>
      </c>
      <c r="C171" t="e">
        <f ca="1"/>
        <v>#NAME?</v>
      </c>
      <c r="D171" t="e">
        <f ca="1"/>
        <v>#NAME?</v>
      </c>
      <c r="E171" t="e">
        <f ca="1"/>
        <v>#NAME?</v>
      </c>
      <c r="F171" t="e">
        <f ca="1"/>
        <v>#NAME?</v>
      </c>
    </row>
    <row r="172" spans="1:6" x14ac:dyDescent="0.3">
      <c r="A172" t="e">
        <f ca="1"/>
        <v>#NAME?</v>
      </c>
      <c r="B172" t="e">
        <f ca="1"/>
        <v>#NAME?</v>
      </c>
      <c r="C172" t="e">
        <f ca="1"/>
        <v>#NAME?</v>
      </c>
      <c r="D172" t="e">
        <f ca="1"/>
        <v>#NAME?</v>
      </c>
      <c r="E172" t="e">
        <f ca="1"/>
        <v>#NAME?</v>
      </c>
      <c r="F172" t="e">
        <f ca="1"/>
        <v>#NAME?</v>
      </c>
    </row>
    <row r="173" spans="1:6" x14ac:dyDescent="0.3">
      <c r="A173" t="e">
        <f ca="1"/>
        <v>#NAME?</v>
      </c>
      <c r="B173" t="e">
        <f ca="1"/>
        <v>#NAME?</v>
      </c>
      <c r="C173" t="e">
        <f ca="1"/>
        <v>#NAME?</v>
      </c>
      <c r="D173" t="e">
        <f ca="1"/>
        <v>#NAME?</v>
      </c>
      <c r="E173" t="e">
        <f ca="1"/>
        <v>#NAME?</v>
      </c>
      <c r="F173" t="e">
        <f ca="1"/>
        <v>#NAME?</v>
      </c>
    </row>
    <row r="174" spans="1:6" x14ac:dyDescent="0.3">
      <c r="A174" t="e">
        <f ca="1"/>
        <v>#NAME?</v>
      </c>
      <c r="B174" t="e">
        <f ca="1"/>
        <v>#NAME?</v>
      </c>
      <c r="C174" t="e">
        <f ca="1"/>
        <v>#NAME?</v>
      </c>
      <c r="D174" t="e">
        <f ca="1"/>
        <v>#NAME?</v>
      </c>
      <c r="E174" t="e">
        <f ca="1"/>
        <v>#NAME?</v>
      </c>
      <c r="F174" t="e">
        <f ca="1"/>
        <v>#NAME?</v>
      </c>
    </row>
    <row r="175" spans="1:6" x14ac:dyDescent="0.3">
      <c r="A175" t="e">
        <f ca="1"/>
        <v>#NAME?</v>
      </c>
      <c r="B175" t="e">
        <f ca="1"/>
        <v>#NAME?</v>
      </c>
      <c r="C175" t="e">
        <f ca="1"/>
        <v>#NAME?</v>
      </c>
      <c r="D175" t="e">
        <f ca="1"/>
        <v>#NAME?</v>
      </c>
      <c r="E175" t="e">
        <f ca="1"/>
        <v>#NAME?</v>
      </c>
      <c r="F175" t="e">
        <f ca="1"/>
        <v>#NAME?</v>
      </c>
    </row>
    <row r="176" spans="1:6" x14ac:dyDescent="0.3">
      <c r="A176" t="e">
        <f ca="1"/>
        <v>#NAME?</v>
      </c>
      <c r="B176" t="e">
        <f ca="1"/>
        <v>#NAME?</v>
      </c>
      <c r="C176" t="e">
        <f ca="1"/>
        <v>#NAME?</v>
      </c>
      <c r="D176" t="e">
        <f ca="1"/>
        <v>#NAME?</v>
      </c>
      <c r="E176" t="e">
        <f ca="1"/>
        <v>#NAME?</v>
      </c>
      <c r="F176" t="e">
        <f ca="1"/>
        <v>#NAME?</v>
      </c>
    </row>
    <row r="177" spans="1:6" x14ac:dyDescent="0.3">
      <c r="A177" t="e">
        <f ca="1"/>
        <v>#NAME?</v>
      </c>
      <c r="B177" t="e">
        <f ca="1"/>
        <v>#NAME?</v>
      </c>
      <c r="C177" t="e">
        <f ca="1"/>
        <v>#NAME?</v>
      </c>
      <c r="D177" t="e">
        <f ca="1"/>
        <v>#NAME?</v>
      </c>
      <c r="E177" t="e">
        <f ca="1"/>
        <v>#NAME?</v>
      </c>
      <c r="F177" t="e">
        <f ca="1"/>
        <v>#NAME?</v>
      </c>
    </row>
    <row r="178" spans="1:6" x14ac:dyDescent="0.3">
      <c r="A178" t="e">
        <f ca="1"/>
        <v>#NAME?</v>
      </c>
      <c r="B178" t="e">
        <f ca="1"/>
        <v>#NAME?</v>
      </c>
      <c r="C178" t="e">
        <f ca="1"/>
        <v>#NAME?</v>
      </c>
      <c r="D178" t="e">
        <f ca="1"/>
        <v>#NAME?</v>
      </c>
      <c r="E178" t="e">
        <f ca="1"/>
        <v>#NAME?</v>
      </c>
      <c r="F178" t="e">
        <f ca="1"/>
        <v>#NAME?</v>
      </c>
    </row>
    <row r="179" spans="1:6" x14ac:dyDescent="0.3">
      <c r="A179" t="e">
        <f ca="1"/>
        <v>#NAME?</v>
      </c>
      <c r="B179" t="e">
        <f ca="1"/>
        <v>#NAME?</v>
      </c>
      <c r="C179" t="e">
        <f ca="1"/>
        <v>#NAME?</v>
      </c>
      <c r="D179" t="e">
        <f ca="1"/>
        <v>#NAME?</v>
      </c>
      <c r="E179" t="e">
        <f ca="1"/>
        <v>#NAME?</v>
      </c>
      <c r="F179" t="e">
        <f ca="1"/>
        <v>#NAME?</v>
      </c>
    </row>
    <row r="180" spans="1:6" x14ac:dyDescent="0.3">
      <c r="A180" t="e">
        <f ca="1"/>
        <v>#NAME?</v>
      </c>
      <c r="B180" t="e">
        <f ca="1"/>
        <v>#NAME?</v>
      </c>
      <c r="C180" t="e">
        <f ca="1"/>
        <v>#NAME?</v>
      </c>
      <c r="D180" t="e">
        <f ca="1"/>
        <v>#NAME?</v>
      </c>
      <c r="E180" t="e">
        <f ca="1"/>
        <v>#NAME?</v>
      </c>
      <c r="F180" t="e">
        <f ca="1"/>
        <v>#NAME?</v>
      </c>
    </row>
    <row r="181" spans="1:6" x14ac:dyDescent="0.3">
      <c r="A181" t="e">
        <f ca="1"/>
        <v>#NAME?</v>
      </c>
      <c r="B181" t="e">
        <f ca="1"/>
        <v>#NAME?</v>
      </c>
      <c r="C181" t="e">
        <f ca="1"/>
        <v>#NAME?</v>
      </c>
      <c r="D181" t="e">
        <f ca="1"/>
        <v>#NAME?</v>
      </c>
      <c r="E181" t="e">
        <f ca="1"/>
        <v>#NAME?</v>
      </c>
      <c r="F181" t="e">
        <f ca="1"/>
        <v>#NAME?</v>
      </c>
    </row>
    <row r="182" spans="1:6" x14ac:dyDescent="0.3">
      <c r="A182" t="e">
        <f ca="1"/>
        <v>#NAME?</v>
      </c>
      <c r="B182" t="e">
        <f ca="1"/>
        <v>#NAME?</v>
      </c>
      <c r="C182" t="e">
        <f ca="1"/>
        <v>#NAME?</v>
      </c>
      <c r="D182" t="e">
        <f ca="1"/>
        <v>#NAME?</v>
      </c>
      <c r="E182" t="e">
        <f ca="1"/>
        <v>#NAME?</v>
      </c>
      <c r="F182" t="e">
        <f ca="1"/>
        <v>#NAME?</v>
      </c>
    </row>
    <row r="183" spans="1:6" x14ac:dyDescent="0.3">
      <c r="A183" t="e">
        <f ca="1"/>
        <v>#NAME?</v>
      </c>
      <c r="B183" t="e">
        <f ca="1"/>
        <v>#NAME?</v>
      </c>
      <c r="C183" t="e">
        <f ca="1"/>
        <v>#NAME?</v>
      </c>
      <c r="D183" t="e">
        <f ca="1"/>
        <v>#NAME?</v>
      </c>
      <c r="E183" t="e">
        <f ca="1"/>
        <v>#NAME?</v>
      </c>
      <c r="F183" t="e">
        <f ca="1"/>
        <v>#NAME?</v>
      </c>
    </row>
    <row r="184" spans="1:6" x14ac:dyDescent="0.3">
      <c r="A184" t="e">
        <f ca="1"/>
        <v>#NAME?</v>
      </c>
      <c r="B184" t="e">
        <f ca="1"/>
        <v>#NAME?</v>
      </c>
      <c r="C184" t="e">
        <f ca="1"/>
        <v>#NAME?</v>
      </c>
      <c r="D184" t="e">
        <f ca="1"/>
        <v>#NAME?</v>
      </c>
      <c r="E184" t="e">
        <f ca="1"/>
        <v>#NAME?</v>
      </c>
      <c r="F184" t="e">
        <f ca="1"/>
        <v>#NAME?</v>
      </c>
    </row>
    <row r="185" spans="1:6" x14ac:dyDescent="0.3">
      <c r="A185" t="e">
        <f ca="1"/>
        <v>#NAME?</v>
      </c>
      <c r="B185" t="e">
        <f ca="1"/>
        <v>#NAME?</v>
      </c>
      <c r="C185" t="e">
        <f ca="1"/>
        <v>#NAME?</v>
      </c>
      <c r="D185" t="e">
        <f ca="1"/>
        <v>#NAME?</v>
      </c>
      <c r="E185" t="e">
        <f ca="1"/>
        <v>#NAME?</v>
      </c>
      <c r="F185" t="e">
        <f ca="1"/>
        <v>#NAME?</v>
      </c>
    </row>
    <row r="186" spans="1:6" x14ac:dyDescent="0.3">
      <c r="A186" t="e">
        <f ca="1"/>
        <v>#NAME?</v>
      </c>
      <c r="B186" t="e">
        <f ca="1"/>
        <v>#NAME?</v>
      </c>
      <c r="C186" t="e">
        <f ca="1"/>
        <v>#NAME?</v>
      </c>
      <c r="D186" t="e">
        <f ca="1"/>
        <v>#NAME?</v>
      </c>
      <c r="E186" t="e">
        <f ca="1"/>
        <v>#NAME?</v>
      </c>
      <c r="F186" t="e">
        <f ca="1"/>
        <v>#NAME?</v>
      </c>
    </row>
    <row r="187" spans="1:6" x14ac:dyDescent="0.3">
      <c r="A187" t="e">
        <f ca="1"/>
        <v>#NAME?</v>
      </c>
      <c r="B187" t="e">
        <f ca="1"/>
        <v>#NAME?</v>
      </c>
      <c r="C187" t="e">
        <f ca="1"/>
        <v>#NAME?</v>
      </c>
      <c r="D187" t="e">
        <f ca="1"/>
        <v>#NAME?</v>
      </c>
      <c r="E187" t="e">
        <f ca="1"/>
        <v>#NAME?</v>
      </c>
      <c r="F187" t="e">
        <f ca="1"/>
        <v>#NAME?</v>
      </c>
    </row>
    <row r="188" spans="1:6" x14ac:dyDescent="0.3">
      <c r="A188" t="e">
        <f ca="1"/>
        <v>#NAME?</v>
      </c>
      <c r="B188" t="e">
        <f ca="1"/>
        <v>#NAME?</v>
      </c>
      <c r="C188" t="e">
        <f ca="1"/>
        <v>#NAME?</v>
      </c>
      <c r="D188" t="e">
        <f ca="1"/>
        <v>#NAME?</v>
      </c>
      <c r="E188" t="e">
        <f ca="1"/>
        <v>#NAME?</v>
      </c>
      <c r="F188" t="e">
        <f ca="1"/>
        <v>#NAME?</v>
      </c>
    </row>
    <row r="189" spans="1:6" x14ac:dyDescent="0.3">
      <c r="A189" t="e">
        <f ca="1"/>
        <v>#NAME?</v>
      </c>
      <c r="B189" t="e">
        <f ca="1"/>
        <v>#NAME?</v>
      </c>
      <c r="C189" t="e">
        <f ca="1"/>
        <v>#NAME?</v>
      </c>
      <c r="D189" t="e">
        <f ca="1"/>
        <v>#NAME?</v>
      </c>
      <c r="E189" t="e">
        <f ca="1"/>
        <v>#NAME?</v>
      </c>
      <c r="F189" t="e">
        <f ca="1"/>
        <v>#NAME?</v>
      </c>
    </row>
    <row r="190" spans="1:6" x14ac:dyDescent="0.3">
      <c r="A190" t="e">
        <f ca="1"/>
        <v>#NAME?</v>
      </c>
      <c r="B190" t="e">
        <f ca="1"/>
        <v>#NAME?</v>
      </c>
      <c r="C190" t="e">
        <f ca="1"/>
        <v>#NAME?</v>
      </c>
      <c r="D190" t="e">
        <f ca="1"/>
        <v>#NAME?</v>
      </c>
      <c r="E190" t="e">
        <f ca="1"/>
        <v>#NAME?</v>
      </c>
      <c r="F190" t="e">
        <f ca="1"/>
        <v>#NAME?</v>
      </c>
    </row>
    <row r="191" spans="1:6" x14ac:dyDescent="0.3">
      <c r="A191" t="e">
        <f ca="1"/>
        <v>#NAME?</v>
      </c>
      <c r="B191" t="e">
        <f ca="1"/>
        <v>#NAME?</v>
      </c>
      <c r="C191" t="e">
        <f ca="1"/>
        <v>#NAME?</v>
      </c>
      <c r="D191" t="e">
        <f ca="1"/>
        <v>#NAME?</v>
      </c>
      <c r="E191" t="e">
        <f ca="1"/>
        <v>#NAME?</v>
      </c>
      <c r="F191" t="e">
        <f ca="1"/>
        <v>#NAME?</v>
      </c>
    </row>
    <row r="192" spans="1:6" x14ac:dyDescent="0.3">
      <c r="A192" t="e">
        <f ca="1"/>
        <v>#NAME?</v>
      </c>
      <c r="B192" t="e">
        <f ca="1"/>
        <v>#NAME?</v>
      </c>
      <c r="C192" t="e">
        <f ca="1"/>
        <v>#NAME?</v>
      </c>
      <c r="D192" t="e">
        <f ca="1"/>
        <v>#NAME?</v>
      </c>
      <c r="E192" t="e">
        <f ca="1"/>
        <v>#NAME?</v>
      </c>
      <c r="F192" t="e">
        <f ca="1"/>
        <v>#NAME?</v>
      </c>
    </row>
    <row r="193" spans="1:6" x14ac:dyDescent="0.3">
      <c r="A193" t="e">
        <f ca="1"/>
        <v>#NAME?</v>
      </c>
      <c r="B193" t="e">
        <f ca="1"/>
        <v>#NAME?</v>
      </c>
      <c r="C193" t="e">
        <f ca="1"/>
        <v>#NAME?</v>
      </c>
      <c r="D193" t="e">
        <f ca="1"/>
        <v>#NAME?</v>
      </c>
      <c r="E193" t="e">
        <f ca="1"/>
        <v>#NAME?</v>
      </c>
      <c r="F193" t="e">
        <f ca="1"/>
        <v>#NAME?</v>
      </c>
    </row>
    <row r="194" spans="1:6" x14ac:dyDescent="0.3">
      <c r="A194" t="e">
        <f ca="1"/>
        <v>#NAME?</v>
      </c>
      <c r="B194" t="e">
        <f ca="1"/>
        <v>#NAME?</v>
      </c>
      <c r="C194" t="e">
        <f ca="1"/>
        <v>#NAME?</v>
      </c>
      <c r="D194" t="e">
        <f ca="1"/>
        <v>#NAME?</v>
      </c>
      <c r="E194" t="e">
        <f ca="1"/>
        <v>#NAME?</v>
      </c>
      <c r="F194" t="e">
        <f ca="1"/>
        <v>#NAME?</v>
      </c>
    </row>
    <row r="195" spans="1:6" x14ac:dyDescent="0.3">
      <c r="A195" t="e">
        <f ca="1"/>
        <v>#NAME?</v>
      </c>
      <c r="B195" t="e">
        <f ca="1"/>
        <v>#NAME?</v>
      </c>
      <c r="C195" t="e">
        <f ca="1"/>
        <v>#NAME?</v>
      </c>
      <c r="D195" t="e">
        <f ca="1"/>
        <v>#NAME?</v>
      </c>
      <c r="E195" t="e">
        <f ca="1"/>
        <v>#NAME?</v>
      </c>
      <c r="F195" t="e">
        <f ca="1"/>
        <v>#NAME?</v>
      </c>
    </row>
    <row r="196" spans="1:6" x14ac:dyDescent="0.3">
      <c r="A196" t="e">
        <f ca="1"/>
        <v>#NAME?</v>
      </c>
      <c r="B196" t="e">
        <f ca="1"/>
        <v>#NAME?</v>
      </c>
      <c r="C196" t="e">
        <f ca="1"/>
        <v>#NAME?</v>
      </c>
      <c r="D196" t="e">
        <f ca="1"/>
        <v>#NAME?</v>
      </c>
      <c r="E196" t="e">
        <f ca="1"/>
        <v>#NAME?</v>
      </c>
      <c r="F196" t="e">
        <f ca="1"/>
        <v>#NAME?</v>
      </c>
    </row>
    <row r="197" spans="1:6" x14ac:dyDescent="0.3">
      <c r="A197" t="e">
        <f ca="1"/>
        <v>#NAME?</v>
      </c>
      <c r="B197" t="e">
        <f ca="1"/>
        <v>#NAME?</v>
      </c>
      <c r="C197" t="e">
        <f ca="1"/>
        <v>#NAME?</v>
      </c>
      <c r="D197" t="e">
        <f ca="1"/>
        <v>#NAME?</v>
      </c>
      <c r="E197" t="e">
        <f ca="1"/>
        <v>#NAME?</v>
      </c>
      <c r="F197" t="e">
        <f ca="1"/>
        <v>#NAME?</v>
      </c>
    </row>
    <row r="198" spans="1:6" x14ac:dyDescent="0.3">
      <c r="A198" t="e">
        <f ca="1"/>
        <v>#NAME?</v>
      </c>
      <c r="B198" t="e">
        <f ca="1"/>
        <v>#NAME?</v>
      </c>
      <c r="C198" t="e">
        <f ca="1"/>
        <v>#NAME?</v>
      </c>
      <c r="D198" t="e">
        <f ca="1"/>
        <v>#NAME?</v>
      </c>
      <c r="E198" t="e">
        <f ca="1"/>
        <v>#NAME?</v>
      </c>
      <c r="F198" t="e">
        <f ca="1"/>
        <v>#NAME?</v>
      </c>
    </row>
    <row r="199" spans="1:6" x14ac:dyDescent="0.3">
      <c r="A199" t="e">
        <f ca="1"/>
        <v>#NAME?</v>
      </c>
      <c r="B199" t="e">
        <f ca="1"/>
        <v>#NAME?</v>
      </c>
      <c r="C199" t="e">
        <f ca="1"/>
        <v>#NAME?</v>
      </c>
      <c r="D199" t="e">
        <f ca="1"/>
        <v>#NAME?</v>
      </c>
      <c r="E199" t="e">
        <f ca="1"/>
        <v>#NAME?</v>
      </c>
      <c r="F199" t="e">
        <f ca="1"/>
        <v>#NAME?</v>
      </c>
    </row>
    <row r="200" spans="1:6" x14ac:dyDescent="0.3">
      <c r="A200" t="e">
        <f ca="1"/>
        <v>#NAME?</v>
      </c>
      <c r="B200" t="e">
        <f ca="1"/>
        <v>#NAME?</v>
      </c>
      <c r="C200" t="e">
        <f ca="1"/>
        <v>#NAME?</v>
      </c>
      <c r="D200" t="e">
        <f ca="1"/>
        <v>#NAME?</v>
      </c>
      <c r="E200" t="e">
        <f ca="1"/>
        <v>#NAME?</v>
      </c>
      <c r="F200" t="e">
        <f ca="1"/>
        <v>#NAME?</v>
      </c>
    </row>
    <row r="201" spans="1:6" x14ac:dyDescent="0.3">
      <c r="A201" t="e">
        <f ca="1"/>
        <v>#NAME?</v>
      </c>
      <c r="B201" t="e">
        <f ca="1"/>
        <v>#NAME?</v>
      </c>
      <c r="C201" t="e">
        <f ca="1"/>
        <v>#NAME?</v>
      </c>
      <c r="D201" t="e">
        <f ca="1"/>
        <v>#NAME?</v>
      </c>
      <c r="E201" t="e">
        <f ca="1"/>
        <v>#NAME?</v>
      </c>
      <c r="F201" t="e">
        <f ca="1"/>
        <v>#NAME?</v>
      </c>
    </row>
    <row r="202" spans="1:6" x14ac:dyDescent="0.3">
      <c r="A202" t="e">
        <f ca="1"/>
        <v>#NAME?</v>
      </c>
      <c r="B202" t="e">
        <f ca="1"/>
        <v>#NAME?</v>
      </c>
      <c r="C202" t="e">
        <f ca="1"/>
        <v>#NAME?</v>
      </c>
      <c r="D202" t="e">
        <f ca="1"/>
        <v>#NAME?</v>
      </c>
      <c r="E202" t="e">
        <f ca="1"/>
        <v>#NAME?</v>
      </c>
      <c r="F202" t="e">
        <f ca="1"/>
        <v>#NAME?</v>
      </c>
    </row>
    <row r="203" spans="1:6" x14ac:dyDescent="0.3">
      <c r="A203" t="e">
        <f ca="1"/>
        <v>#NAME?</v>
      </c>
      <c r="B203" t="e">
        <f ca="1"/>
        <v>#NAME?</v>
      </c>
      <c r="C203" t="e">
        <f ca="1"/>
        <v>#NAME?</v>
      </c>
      <c r="D203" t="e">
        <f ca="1"/>
        <v>#NAME?</v>
      </c>
      <c r="E203" t="e">
        <f ca="1"/>
        <v>#NAME?</v>
      </c>
      <c r="F203" t="e">
        <f ca="1"/>
        <v>#NAME?</v>
      </c>
    </row>
    <row r="204" spans="1:6" x14ac:dyDescent="0.3">
      <c r="A204" t="e">
        <f ca="1"/>
        <v>#NAME?</v>
      </c>
      <c r="B204" t="e">
        <f ca="1"/>
        <v>#NAME?</v>
      </c>
      <c r="C204" t="e">
        <f ca="1"/>
        <v>#NAME?</v>
      </c>
      <c r="D204" t="e">
        <f ca="1"/>
        <v>#NAME?</v>
      </c>
      <c r="E204" t="e">
        <f ca="1"/>
        <v>#NAME?</v>
      </c>
      <c r="F204" t="e">
        <f ca="1"/>
        <v>#NAME?</v>
      </c>
    </row>
    <row r="205" spans="1:6" x14ac:dyDescent="0.3">
      <c r="A205" t="e">
        <f ca="1"/>
        <v>#NAME?</v>
      </c>
      <c r="B205" t="e">
        <f ca="1"/>
        <v>#NAME?</v>
      </c>
      <c r="C205" t="e">
        <f ca="1"/>
        <v>#NAME?</v>
      </c>
      <c r="D205" t="e">
        <f ca="1"/>
        <v>#NAME?</v>
      </c>
      <c r="E205" t="e">
        <f ca="1"/>
        <v>#NAME?</v>
      </c>
      <c r="F205" t="e">
        <f ca="1"/>
        <v>#NAME?</v>
      </c>
    </row>
    <row r="206" spans="1:6" x14ac:dyDescent="0.3">
      <c r="A206" t="e">
        <f ca="1"/>
        <v>#NAME?</v>
      </c>
      <c r="B206" t="e">
        <f ca="1"/>
        <v>#NAME?</v>
      </c>
      <c r="C206" t="e">
        <f ca="1"/>
        <v>#NAME?</v>
      </c>
      <c r="D206" t="e">
        <f ca="1"/>
        <v>#NAME?</v>
      </c>
      <c r="E206" t="e">
        <f ca="1"/>
        <v>#NAME?</v>
      </c>
      <c r="F206" t="e">
        <f ca="1"/>
        <v>#NAME?</v>
      </c>
    </row>
    <row r="207" spans="1:6" x14ac:dyDescent="0.3">
      <c r="A207" t="e">
        <f ca="1"/>
        <v>#NAME?</v>
      </c>
      <c r="B207" t="e">
        <f ca="1"/>
        <v>#NAME?</v>
      </c>
      <c r="C207" t="e">
        <f ca="1"/>
        <v>#NAME?</v>
      </c>
      <c r="D207" t="e">
        <f ca="1"/>
        <v>#NAME?</v>
      </c>
      <c r="E207" t="e">
        <f ca="1"/>
        <v>#NAME?</v>
      </c>
      <c r="F207" t="e">
        <f ca="1"/>
        <v>#NAME?</v>
      </c>
    </row>
    <row r="208" spans="1:6" x14ac:dyDescent="0.3">
      <c r="A208" t="e">
        <f ca="1"/>
        <v>#NAME?</v>
      </c>
      <c r="B208" t="e">
        <f ca="1"/>
        <v>#NAME?</v>
      </c>
      <c r="C208" t="e">
        <f ca="1"/>
        <v>#NAME?</v>
      </c>
      <c r="D208" t="e">
        <f ca="1"/>
        <v>#NAME?</v>
      </c>
      <c r="E208" t="e">
        <f ca="1"/>
        <v>#NAME?</v>
      </c>
      <c r="F208" t="e">
        <f ca="1"/>
        <v>#NAME?</v>
      </c>
    </row>
    <row r="209" spans="1:6" x14ac:dyDescent="0.3">
      <c r="A209" t="e">
        <f ca="1"/>
        <v>#NAME?</v>
      </c>
      <c r="B209" t="e">
        <f ca="1"/>
        <v>#NAME?</v>
      </c>
      <c r="C209" t="e">
        <f ca="1"/>
        <v>#NAME?</v>
      </c>
      <c r="D209" t="e">
        <f ca="1"/>
        <v>#NAME?</v>
      </c>
      <c r="E209" t="e">
        <f ca="1"/>
        <v>#NAME?</v>
      </c>
      <c r="F209" t="e">
        <f ca="1"/>
        <v>#NAME?</v>
      </c>
    </row>
    <row r="210" spans="1:6" x14ac:dyDescent="0.3">
      <c r="A210" t="e">
        <f ca="1"/>
        <v>#NAME?</v>
      </c>
      <c r="B210" t="e">
        <f ca="1"/>
        <v>#NAME?</v>
      </c>
      <c r="C210" t="e">
        <f ca="1"/>
        <v>#NAME?</v>
      </c>
      <c r="D210" t="e">
        <f ca="1"/>
        <v>#NAME?</v>
      </c>
      <c r="E210" t="e">
        <f ca="1"/>
        <v>#NAME?</v>
      </c>
      <c r="F210" t="e">
        <f ca="1"/>
        <v>#NAME?</v>
      </c>
    </row>
    <row r="211" spans="1:6" x14ac:dyDescent="0.3">
      <c r="A211" t="e">
        <f ca="1"/>
        <v>#NAME?</v>
      </c>
      <c r="B211" t="e">
        <f ca="1"/>
        <v>#NAME?</v>
      </c>
      <c r="C211" t="e">
        <f ca="1"/>
        <v>#NAME?</v>
      </c>
      <c r="D211" t="e">
        <f ca="1"/>
        <v>#NAME?</v>
      </c>
      <c r="E211" t="e">
        <f ca="1"/>
        <v>#NAME?</v>
      </c>
      <c r="F211" t="e">
        <f ca="1"/>
        <v>#NAME?</v>
      </c>
    </row>
    <row r="212" spans="1:6" x14ac:dyDescent="0.3">
      <c r="A212" t="e">
        <f ca="1"/>
        <v>#NAME?</v>
      </c>
      <c r="B212" t="e">
        <f ca="1"/>
        <v>#NAME?</v>
      </c>
      <c r="C212" t="e">
        <f ca="1"/>
        <v>#NAME?</v>
      </c>
      <c r="D212" t="e">
        <f ca="1"/>
        <v>#NAME?</v>
      </c>
      <c r="E212" t="e">
        <f ca="1"/>
        <v>#NAME?</v>
      </c>
      <c r="F212" t="e">
        <f ca="1"/>
        <v>#NAME?</v>
      </c>
    </row>
    <row r="213" spans="1:6" x14ac:dyDescent="0.3">
      <c r="A213" t="e">
        <f ca="1"/>
        <v>#NAME?</v>
      </c>
      <c r="B213" t="e">
        <f ca="1"/>
        <v>#NAME?</v>
      </c>
      <c r="C213" t="e">
        <f ca="1"/>
        <v>#NAME?</v>
      </c>
      <c r="D213" t="e">
        <f ca="1"/>
        <v>#NAME?</v>
      </c>
      <c r="E213" t="e">
        <f ca="1"/>
        <v>#NAME?</v>
      </c>
      <c r="F213" t="e">
        <f ca="1"/>
        <v>#NAME?</v>
      </c>
    </row>
    <row r="214" spans="1:6" x14ac:dyDescent="0.3">
      <c r="A214" t="e">
        <f ca="1"/>
        <v>#NAME?</v>
      </c>
      <c r="B214" t="e">
        <f ca="1"/>
        <v>#NAME?</v>
      </c>
      <c r="C214" t="e">
        <f ca="1"/>
        <v>#NAME?</v>
      </c>
      <c r="D214" t="e">
        <f ca="1"/>
        <v>#NAME?</v>
      </c>
      <c r="E214" t="e">
        <f ca="1"/>
        <v>#NAME?</v>
      </c>
      <c r="F214" t="e">
        <f ca="1"/>
        <v>#NAME?</v>
      </c>
    </row>
    <row r="215" spans="1:6" x14ac:dyDescent="0.3">
      <c r="A215" t="e">
        <f ca="1"/>
        <v>#NAME?</v>
      </c>
      <c r="B215" t="e">
        <f ca="1"/>
        <v>#NAME?</v>
      </c>
      <c r="C215" t="e">
        <f ca="1"/>
        <v>#NAME?</v>
      </c>
      <c r="D215" t="e">
        <f ca="1"/>
        <v>#NAME?</v>
      </c>
      <c r="E215" t="e">
        <f ca="1"/>
        <v>#NAME?</v>
      </c>
      <c r="F215" t="e">
        <f ca="1"/>
        <v>#NAME?</v>
      </c>
    </row>
    <row r="216" spans="1:6" x14ac:dyDescent="0.3">
      <c r="A216" t="e">
        <f ca="1"/>
        <v>#NAME?</v>
      </c>
      <c r="B216" t="e">
        <f ca="1"/>
        <v>#NAME?</v>
      </c>
      <c r="C216" t="e">
        <f ca="1"/>
        <v>#NAME?</v>
      </c>
      <c r="D216" t="e">
        <f ca="1"/>
        <v>#NAME?</v>
      </c>
      <c r="E216" t="e">
        <f ca="1"/>
        <v>#NAME?</v>
      </c>
      <c r="F216" t="e">
        <f ca="1"/>
        <v>#NAME?</v>
      </c>
    </row>
    <row r="217" spans="1:6" x14ac:dyDescent="0.3">
      <c r="A217" t="e">
        <f ca="1"/>
        <v>#NAME?</v>
      </c>
      <c r="B217" t="e">
        <f ca="1"/>
        <v>#NAME?</v>
      </c>
      <c r="C217" t="e">
        <f ca="1"/>
        <v>#NAME?</v>
      </c>
      <c r="D217" t="e">
        <f ca="1"/>
        <v>#NAME?</v>
      </c>
      <c r="E217" t="e">
        <f ca="1"/>
        <v>#NAME?</v>
      </c>
      <c r="F217" t="e">
        <f ca="1"/>
        <v>#NAME?</v>
      </c>
    </row>
    <row r="218" spans="1:6" x14ac:dyDescent="0.3">
      <c r="A218" t="e">
        <f ca="1"/>
        <v>#NAME?</v>
      </c>
      <c r="B218" t="e">
        <f ca="1"/>
        <v>#NAME?</v>
      </c>
      <c r="C218" t="e">
        <f ca="1"/>
        <v>#NAME?</v>
      </c>
      <c r="D218" t="e">
        <f ca="1"/>
        <v>#NAME?</v>
      </c>
      <c r="E218" t="e">
        <f ca="1"/>
        <v>#NAME?</v>
      </c>
      <c r="F218" t="e">
        <f ca="1"/>
        <v>#NAME?</v>
      </c>
    </row>
    <row r="219" spans="1:6" x14ac:dyDescent="0.3">
      <c r="A219" t="e">
        <f ca="1"/>
        <v>#NAME?</v>
      </c>
      <c r="B219" t="e">
        <f ca="1"/>
        <v>#NAME?</v>
      </c>
      <c r="C219" t="e">
        <f ca="1"/>
        <v>#NAME?</v>
      </c>
      <c r="D219" t="e">
        <f ca="1"/>
        <v>#NAME?</v>
      </c>
      <c r="E219" t="e">
        <f ca="1"/>
        <v>#NAME?</v>
      </c>
      <c r="F219" t="e">
        <f ca="1"/>
        <v>#NAME?</v>
      </c>
    </row>
    <row r="220" spans="1:6" x14ac:dyDescent="0.3">
      <c r="A220" t="e">
        <f ca="1"/>
        <v>#NAME?</v>
      </c>
      <c r="B220" t="e">
        <f ca="1"/>
        <v>#NAME?</v>
      </c>
      <c r="C220" t="e">
        <f ca="1"/>
        <v>#NAME?</v>
      </c>
      <c r="D220" t="e">
        <f ca="1"/>
        <v>#NAME?</v>
      </c>
      <c r="E220" t="e">
        <f ca="1"/>
        <v>#NAME?</v>
      </c>
      <c r="F220" t="e">
        <f ca="1"/>
        <v>#NAME?</v>
      </c>
    </row>
    <row r="221" spans="1:6" x14ac:dyDescent="0.3">
      <c r="A221" t="e">
        <f ca="1"/>
        <v>#NAME?</v>
      </c>
      <c r="B221" t="e">
        <f ca="1"/>
        <v>#NAME?</v>
      </c>
      <c r="C221" t="e">
        <f ca="1"/>
        <v>#NAME?</v>
      </c>
      <c r="D221" t="e">
        <f ca="1"/>
        <v>#NAME?</v>
      </c>
      <c r="E221" t="e">
        <f ca="1"/>
        <v>#NAME?</v>
      </c>
      <c r="F221" t="e">
        <f ca="1"/>
        <v>#NAME?</v>
      </c>
    </row>
    <row r="222" spans="1:6" x14ac:dyDescent="0.3">
      <c r="A222" t="e">
        <f ca="1"/>
        <v>#NAME?</v>
      </c>
      <c r="B222" t="e">
        <f ca="1"/>
        <v>#NAME?</v>
      </c>
      <c r="C222" t="e">
        <f ca="1"/>
        <v>#NAME?</v>
      </c>
      <c r="D222" t="e">
        <f ca="1"/>
        <v>#NAME?</v>
      </c>
      <c r="E222" t="e">
        <f ca="1"/>
        <v>#NAME?</v>
      </c>
      <c r="F222" t="e">
        <f ca="1"/>
        <v>#NAME?</v>
      </c>
    </row>
    <row r="223" spans="1:6" x14ac:dyDescent="0.3">
      <c r="A223" t="e">
        <f ca="1"/>
        <v>#NAME?</v>
      </c>
      <c r="B223" t="e">
        <f ca="1"/>
        <v>#NAME?</v>
      </c>
      <c r="C223" t="e">
        <f ca="1"/>
        <v>#NAME?</v>
      </c>
      <c r="D223" t="e">
        <f ca="1"/>
        <v>#NAME?</v>
      </c>
      <c r="E223" t="e">
        <f ca="1"/>
        <v>#NAME?</v>
      </c>
      <c r="F223" t="e">
        <f ca="1"/>
        <v>#NAME?</v>
      </c>
    </row>
    <row r="224" spans="1:6" x14ac:dyDescent="0.3">
      <c r="A224" t="e">
        <f ca="1"/>
        <v>#NAME?</v>
      </c>
      <c r="B224" t="e">
        <f ca="1"/>
        <v>#NAME?</v>
      </c>
      <c r="C224" t="e">
        <f ca="1"/>
        <v>#NAME?</v>
      </c>
      <c r="D224" t="e">
        <f ca="1"/>
        <v>#NAME?</v>
      </c>
      <c r="E224" t="e">
        <f ca="1"/>
        <v>#NAME?</v>
      </c>
      <c r="F224" t="e">
        <f ca="1"/>
        <v>#NAME?</v>
      </c>
    </row>
    <row r="225" spans="1:6" x14ac:dyDescent="0.3">
      <c r="A225" t="e">
        <f ca="1"/>
        <v>#NAME?</v>
      </c>
      <c r="B225" t="e">
        <f ca="1"/>
        <v>#NAME?</v>
      </c>
      <c r="C225" t="e">
        <f ca="1"/>
        <v>#NAME?</v>
      </c>
      <c r="D225" t="e">
        <f ca="1"/>
        <v>#NAME?</v>
      </c>
      <c r="E225" t="e">
        <f ca="1"/>
        <v>#NAME?</v>
      </c>
      <c r="F225" t="e">
        <f ca="1"/>
        <v>#NAME?</v>
      </c>
    </row>
    <row r="226" spans="1:6" x14ac:dyDescent="0.3">
      <c r="A226" t="e">
        <f ca="1"/>
        <v>#NAME?</v>
      </c>
      <c r="B226" t="e">
        <f ca="1"/>
        <v>#NAME?</v>
      </c>
      <c r="C226" t="e">
        <f ca="1"/>
        <v>#NAME?</v>
      </c>
      <c r="D226" t="e">
        <f ca="1"/>
        <v>#NAME?</v>
      </c>
      <c r="E226" t="e">
        <f ca="1"/>
        <v>#NAME?</v>
      </c>
      <c r="F226" t="e">
        <f ca="1"/>
        <v>#NAME?</v>
      </c>
    </row>
    <row r="227" spans="1:6" x14ac:dyDescent="0.3">
      <c r="A227" t="e">
        <f ca="1"/>
        <v>#NAME?</v>
      </c>
      <c r="B227" t="e">
        <f ca="1"/>
        <v>#NAME?</v>
      </c>
      <c r="C227" t="e">
        <f ca="1"/>
        <v>#NAME?</v>
      </c>
      <c r="D227" t="e">
        <f ca="1"/>
        <v>#NAME?</v>
      </c>
      <c r="E227" t="e">
        <f ca="1"/>
        <v>#NAME?</v>
      </c>
      <c r="F227" t="e">
        <f ca="1"/>
        <v>#NAME?</v>
      </c>
    </row>
    <row r="228" spans="1:6" x14ac:dyDescent="0.3">
      <c r="A228" t="e">
        <f ca="1"/>
        <v>#NAME?</v>
      </c>
      <c r="B228" t="e">
        <f ca="1"/>
        <v>#NAME?</v>
      </c>
      <c r="C228" t="e">
        <f ca="1"/>
        <v>#NAME?</v>
      </c>
      <c r="D228" t="e">
        <f ca="1"/>
        <v>#NAME?</v>
      </c>
      <c r="E228" t="e">
        <f ca="1"/>
        <v>#NAME?</v>
      </c>
      <c r="F228" t="e">
        <f ca="1"/>
        <v>#NAME?</v>
      </c>
    </row>
    <row r="229" spans="1:6" x14ac:dyDescent="0.3">
      <c r="A229" t="e">
        <f ca="1"/>
        <v>#NAME?</v>
      </c>
      <c r="B229" t="e">
        <f ca="1"/>
        <v>#NAME?</v>
      </c>
      <c r="C229" t="e">
        <f ca="1"/>
        <v>#NAME?</v>
      </c>
      <c r="D229" t="e">
        <f ca="1"/>
        <v>#NAME?</v>
      </c>
      <c r="E229" t="e">
        <f ca="1"/>
        <v>#NAME?</v>
      </c>
      <c r="F229" t="e">
        <f ca="1"/>
        <v>#NAME?</v>
      </c>
    </row>
    <row r="230" spans="1:6" x14ac:dyDescent="0.3">
      <c r="A230" t="e">
        <f ca="1"/>
        <v>#NAME?</v>
      </c>
      <c r="B230" t="e">
        <f ca="1"/>
        <v>#NAME?</v>
      </c>
      <c r="C230" t="e">
        <f ca="1"/>
        <v>#NAME?</v>
      </c>
      <c r="D230" t="e">
        <f ca="1"/>
        <v>#NAME?</v>
      </c>
      <c r="E230" t="e">
        <f ca="1"/>
        <v>#NAME?</v>
      </c>
      <c r="F230" t="e">
        <f ca="1"/>
        <v>#NAME?</v>
      </c>
    </row>
    <row r="231" spans="1:6" x14ac:dyDescent="0.3">
      <c r="A231" t="e">
        <f ca="1"/>
        <v>#NAME?</v>
      </c>
      <c r="B231" t="e">
        <f ca="1"/>
        <v>#NAME?</v>
      </c>
      <c r="C231" t="e">
        <f ca="1"/>
        <v>#NAME?</v>
      </c>
      <c r="D231" t="e">
        <f ca="1"/>
        <v>#NAME?</v>
      </c>
      <c r="E231" t="e">
        <f ca="1"/>
        <v>#NAME?</v>
      </c>
      <c r="F231" t="e">
        <f ca="1"/>
        <v>#NAME?</v>
      </c>
    </row>
    <row r="232" spans="1:6" x14ac:dyDescent="0.3">
      <c r="A232" t="e">
        <f ca="1"/>
        <v>#NAME?</v>
      </c>
      <c r="B232" t="e">
        <f ca="1"/>
        <v>#NAME?</v>
      </c>
      <c r="C232" t="e">
        <f ca="1"/>
        <v>#NAME?</v>
      </c>
      <c r="D232" t="e">
        <f ca="1"/>
        <v>#NAME?</v>
      </c>
      <c r="E232" t="e">
        <f ca="1"/>
        <v>#NAME?</v>
      </c>
      <c r="F232" t="e">
        <f ca="1"/>
        <v>#NAME?</v>
      </c>
    </row>
    <row r="233" spans="1:6" x14ac:dyDescent="0.3">
      <c r="A233" t="e">
        <f ca="1"/>
        <v>#NAME?</v>
      </c>
      <c r="B233" t="e">
        <f ca="1"/>
        <v>#NAME?</v>
      </c>
      <c r="C233" t="e">
        <f ca="1"/>
        <v>#NAME?</v>
      </c>
      <c r="D233" t="e">
        <f ca="1"/>
        <v>#NAME?</v>
      </c>
      <c r="E233" t="e">
        <f ca="1"/>
        <v>#NAME?</v>
      </c>
      <c r="F233" t="e">
        <f ca="1"/>
        <v>#NAME?</v>
      </c>
    </row>
    <row r="234" spans="1:6" x14ac:dyDescent="0.3">
      <c r="A234" t="e">
        <f ca="1"/>
        <v>#NAME?</v>
      </c>
      <c r="B234" t="e">
        <f ca="1"/>
        <v>#NAME?</v>
      </c>
      <c r="C234" t="e">
        <f ca="1"/>
        <v>#NAME?</v>
      </c>
      <c r="D234" t="e">
        <f ca="1"/>
        <v>#NAME?</v>
      </c>
      <c r="E234" t="e">
        <f ca="1"/>
        <v>#NAME?</v>
      </c>
      <c r="F234" t="e">
        <f ca="1"/>
        <v>#NAME?</v>
      </c>
    </row>
    <row r="235" spans="1:6" x14ac:dyDescent="0.3">
      <c r="A235" t="e">
        <f ca="1"/>
        <v>#NAME?</v>
      </c>
      <c r="B235" t="e">
        <f ca="1"/>
        <v>#NAME?</v>
      </c>
      <c r="C235" t="e">
        <f ca="1"/>
        <v>#NAME?</v>
      </c>
      <c r="D235" t="e">
        <f ca="1"/>
        <v>#NAME?</v>
      </c>
      <c r="E235" t="e">
        <f ca="1"/>
        <v>#NAME?</v>
      </c>
      <c r="F235" t="e">
        <f ca="1"/>
        <v>#NAME?</v>
      </c>
    </row>
    <row r="236" spans="1:6" x14ac:dyDescent="0.3">
      <c r="A236" t="e">
        <f ca="1"/>
        <v>#NAME?</v>
      </c>
      <c r="B236" t="e">
        <f ca="1"/>
        <v>#NAME?</v>
      </c>
      <c r="C236" t="e">
        <f ca="1"/>
        <v>#NAME?</v>
      </c>
      <c r="D236" t="e">
        <f ca="1"/>
        <v>#NAME?</v>
      </c>
      <c r="E236" t="e">
        <f ca="1"/>
        <v>#NAME?</v>
      </c>
      <c r="F236" t="e">
        <f ca="1"/>
        <v>#NAME?</v>
      </c>
    </row>
    <row r="237" spans="1:6" x14ac:dyDescent="0.3">
      <c r="A237" t="e">
        <f ca="1"/>
        <v>#NAME?</v>
      </c>
      <c r="B237" t="e">
        <f ca="1"/>
        <v>#NAME?</v>
      </c>
      <c r="C237" t="e">
        <f ca="1"/>
        <v>#NAME?</v>
      </c>
      <c r="D237" t="e">
        <f ca="1"/>
        <v>#NAME?</v>
      </c>
      <c r="E237" t="e">
        <f ca="1"/>
        <v>#NAME?</v>
      </c>
      <c r="F237" t="e">
        <f ca="1"/>
        <v>#NAME?</v>
      </c>
    </row>
    <row r="238" spans="1:6" x14ac:dyDescent="0.3">
      <c r="A238" t="e">
        <f ca="1"/>
        <v>#NAME?</v>
      </c>
      <c r="B238" t="e">
        <f ca="1"/>
        <v>#NAME?</v>
      </c>
      <c r="C238" t="e">
        <f ca="1"/>
        <v>#NAME?</v>
      </c>
      <c r="D238" t="e">
        <f ca="1"/>
        <v>#NAME?</v>
      </c>
      <c r="E238" t="e">
        <f ca="1"/>
        <v>#NAME?</v>
      </c>
      <c r="F238" t="e">
        <f ca="1"/>
        <v>#NAME?</v>
      </c>
    </row>
    <row r="239" spans="1:6" x14ac:dyDescent="0.3">
      <c r="A239" t="e">
        <f ca="1"/>
        <v>#NAME?</v>
      </c>
      <c r="B239" t="e">
        <f ca="1"/>
        <v>#NAME?</v>
      </c>
      <c r="C239" t="e">
        <f ca="1"/>
        <v>#NAME?</v>
      </c>
      <c r="D239" t="e">
        <f ca="1"/>
        <v>#NAME?</v>
      </c>
      <c r="E239" t="e">
        <f ca="1"/>
        <v>#NAME?</v>
      </c>
      <c r="F239" t="e">
        <f ca="1"/>
        <v>#NAME?</v>
      </c>
    </row>
    <row r="240" spans="1:6" x14ac:dyDescent="0.3">
      <c r="A240" t="e">
        <f ca="1"/>
        <v>#NAME?</v>
      </c>
      <c r="B240" t="e">
        <f ca="1"/>
        <v>#NAME?</v>
      </c>
      <c r="C240" t="e">
        <f ca="1"/>
        <v>#NAME?</v>
      </c>
      <c r="D240" t="e">
        <f ca="1"/>
        <v>#NAME?</v>
      </c>
      <c r="E240" t="e">
        <f ca="1"/>
        <v>#NAME?</v>
      </c>
      <c r="F240" t="e">
        <f ca="1"/>
        <v>#NAME?</v>
      </c>
    </row>
    <row r="241" spans="1:6" x14ac:dyDescent="0.3">
      <c r="A241" t="e">
        <f ca="1"/>
        <v>#NAME?</v>
      </c>
      <c r="B241" t="e">
        <f ca="1"/>
        <v>#NAME?</v>
      </c>
      <c r="C241" t="e">
        <f ca="1"/>
        <v>#NAME?</v>
      </c>
      <c r="D241" t="e">
        <f ca="1"/>
        <v>#NAME?</v>
      </c>
      <c r="E241" t="e">
        <f ca="1"/>
        <v>#NAME?</v>
      </c>
      <c r="F241" t="e">
        <f ca="1"/>
        <v>#NAME?</v>
      </c>
    </row>
    <row r="242" spans="1:6" x14ac:dyDescent="0.3">
      <c r="A242" t="e">
        <f ca="1"/>
        <v>#NAME?</v>
      </c>
      <c r="B242" t="e">
        <f ca="1"/>
        <v>#NAME?</v>
      </c>
      <c r="C242" t="e">
        <f ca="1"/>
        <v>#NAME?</v>
      </c>
      <c r="D242" t="e">
        <f ca="1"/>
        <v>#NAME?</v>
      </c>
      <c r="E242" t="e">
        <f ca="1"/>
        <v>#NAME?</v>
      </c>
      <c r="F242" t="e">
        <f ca="1"/>
        <v>#NAME?</v>
      </c>
    </row>
    <row r="243" spans="1:6" x14ac:dyDescent="0.3">
      <c r="A243" t="e">
        <f ca="1"/>
        <v>#NAME?</v>
      </c>
      <c r="B243" t="e">
        <f ca="1"/>
        <v>#NAME?</v>
      </c>
      <c r="C243" t="e">
        <f ca="1"/>
        <v>#NAME?</v>
      </c>
      <c r="D243" t="e">
        <f ca="1"/>
        <v>#NAME?</v>
      </c>
      <c r="E243" t="e">
        <f ca="1"/>
        <v>#NAME?</v>
      </c>
      <c r="F243" t="e">
        <f ca="1"/>
        <v>#NAME?</v>
      </c>
    </row>
    <row r="244" spans="1:6" x14ac:dyDescent="0.3">
      <c r="A244" t="e">
        <f ca="1"/>
        <v>#NAME?</v>
      </c>
      <c r="B244" t="e">
        <f ca="1"/>
        <v>#NAME?</v>
      </c>
      <c r="C244" t="e">
        <f ca="1"/>
        <v>#NAME?</v>
      </c>
      <c r="D244" t="e">
        <f ca="1"/>
        <v>#NAME?</v>
      </c>
      <c r="E244" t="e">
        <f ca="1"/>
        <v>#NAME?</v>
      </c>
      <c r="F244" t="e">
        <f ca="1"/>
        <v>#NAME?</v>
      </c>
    </row>
    <row r="245" spans="1:6" x14ac:dyDescent="0.3">
      <c r="A245" t="e">
        <f ca="1"/>
        <v>#NAME?</v>
      </c>
      <c r="B245" t="e">
        <f ca="1"/>
        <v>#NAME?</v>
      </c>
      <c r="C245" t="e">
        <f ca="1"/>
        <v>#NAME?</v>
      </c>
      <c r="D245" t="e">
        <f ca="1"/>
        <v>#NAME?</v>
      </c>
      <c r="E245" t="e">
        <f ca="1"/>
        <v>#NAME?</v>
      </c>
      <c r="F245" t="e">
        <f ca="1"/>
        <v>#NAME?</v>
      </c>
    </row>
    <row r="246" spans="1:6" x14ac:dyDescent="0.3">
      <c r="A246" t="e">
        <f ca="1"/>
        <v>#NAME?</v>
      </c>
      <c r="B246" t="e">
        <f ca="1"/>
        <v>#NAME?</v>
      </c>
      <c r="C246" t="e">
        <f ca="1"/>
        <v>#NAME?</v>
      </c>
      <c r="D246" t="e">
        <f ca="1"/>
        <v>#NAME?</v>
      </c>
      <c r="E246" t="e">
        <f ca="1"/>
        <v>#NAME?</v>
      </c>
      <c r="F246" t="e">
        <f ca="1"/>
        <v>#NAME?</v>
      </c>
    </row>
    <row r="247" spans="1:6" x14ac:dyDescent="0.3">
      <c r="A247" t="e">
        <f ca="1"/>
        <v>#NAME?</v>
      </c>
      <c r="B247" t="e">
        <f ca="1"/>
        <v>#NAME?</v>
      </c>
      <c r="C247" t="e">
        <f ca="1"/>
        <v>#NAME?</v>
      </c>
      <c r="D247" t="e">
        <f ca="1"/>
        <v>#NAME?</v>
      </c>
      <c r="E247" t="e">
        <f ca="1"/>
        <v>#NAME?</v>
      </c>
      <c r="F247" t="e">
        <f ca="1"/>
        <v>#NAME?</v>
      </c>
    </row>
    <row r="248" spans="1:6" x14ac:dyDescent="0.3">
      <c r="A248" t="e">
        <f ca="1"/>
        <v>#NAME?</v>
      </c>
      <c r="B248" t="e">
        <f ca="1"/>
        <v>#NAME?</v>
      </c>
      <c r="C248" t="e">
        <f ca="1"/>
        <v>#NAME?</v>
      </c>
      <c r="D248" t="e">
        <f ca="1"/>
        <v>#NAME?</v>
      </c>
      <c r="E248" t="e">
        <f ca="1"/>
        <v>#NAME?</v>
      </c>
      <c r="F248" t="e">
        <f ca="1"/>
        <v>#NAME?</v>
      </c>
    </row>
    <row r="249" spans="1:6" x14ac:dyDescent="0.3">
      <c r="A249" t="e">
        <f ca="1"/>
        <v>#NAME?</v>
      </c>
      <c r="B249" t="e">
        <f ca="1"/>
        <v>#NAME?</v>
      </c>
      <c r="C249" t="e">
        <f ca="1"/>
        <v>#NAME?</v>
      </c>
      <c r="D249" t="e">
        <f ca="1"/>
        <v>#NAME?</v>
      </c>
      <c r="E249" t="e">
        <f ca="1"/>
        <v>#NAME?</v>
      </c>
      <c r="F249" t="e">
        <f ca="1"/>
        <v>#NAME?</v>
      </c>
    </row>
    <row r="250" spans="1:6" x14ac:dyDescent="0.3">
      <c r="A250" t="e">
        <f ca="1"/>
        <v>#NAME?</v>
      </c>
      <c r="B250" t="e">
        <f ca="1"/>
        <v>#NAME?</v>
      </c>
      <c r="C250" t="e">
        <f ca="1"/>
        <v>#NAME?</v>
      </c>
      <c r="D250" t="e">
        <f ca="1"/>
        <v>#NAME?</v>
      </c>
      <c r="E250" t="e">
        <f ca="1"/>
        <v>#NAME?</v>
      </c>
      <c r="F250" t="e">
        <f ca="1"/>
        <v>#NAME?</v>
      </c>
    </row>
    <row r="251" spans="1:6" x14ac:dyDescent="0.3">
      <c r="A251" t="e">
        <f ca="1"/>
        <v>#NAME?</v>
      </c>
      <c r="B251" t="e">
        <f ca="1"/>
        <v>#NAME?</v>
      </c>
      <c r="C251" t="e">
        <f ca="1"/>
        <v>#NAME?</v>
      </c>
      <c r="D251" t="e">
        <f ca="1"/>
        <v>#NAME?</v>
      </c>
      <c r="E251" t="e">
        <f ca="1"/>
        <v>#NAME?</v>
      </c>
      <c r="F251" t="e">
        <f ca="1"/>
        <v>#NAME?</v>
      </c>
    </row>
    <row r="252" spans="1:6" x14ac:dyDescent="0.3">
      <c r="A252" t="e">
        <f ca="1"/>
        <v>#NAME?</v>
      </c>
      <c r="B252" t="e">
        <f ca="1"/>
        <v>#NAME?</v>
      </c>
      <c r="C252" t="e">
        <f ca="1"/>
        <v>#NAME?</v>
      </c>
      <c r="D252" t="e">
        <f ca="1"/>
        <v>#NAME?</v>
      </c>
      <c r="E252" t="e">
        <f ca="1"/>
        <v>#NAME?</v>
      </c>
      <c r="F252" t="e">
        <f ca="1"/>
        <v>#NAME?</v>
      </c>
    </row>
    <row r="253" spans="1:6" x14ac:dyDescent="0.3">
      <c r="A253" t="e">
        <f ca="1"/>
        <v>#NAME?</v>
      </c>
      <c r="B253" t="e">
        <f ca="1"/>
        <v>#NAME?</v>
      </c>
      <c r="C253" t="e">
        <f ca="1"/>
        <v>#NAME?</v>
      </c>
      <c r="D253" t="e">
        <f ca="1"/>
        <v>#NAME?</v>
      </c>
      <c r="E253" t="e">
        <f ca="1"/>
        <v>#NAME?</v>
      </c>
      <c r="F253" t="e">
        <f ca="1"/>
        <v>#NAME?</v>
      </c>
    </row>
    <row r="254" spans="1:6" x14ac:dyDescent="0.3">
      <c r="A254" t="e">
        <f ca="1"/>
        <v>#NAME?</v>
      </c>
      <c r="B254" t="e">
        <f ca="1"/>
        <v>#NAME?</v>
      </c>
      <c r="C254" t="e">
        <f ca="1"/>
        <v>#NAME?</v>
      </c>
      <c r="D254" t="e">
        <f ca="1"/>
        <v>#NAME?</v>
      </c>
      <c r="E254" t="e">
        <f ca="1"/>
        <v>#NAME?</v>
      </c>
      <c r="F254" t="e">
        <f ca="1"/>
        <v>#NAME?</v>
      </c>
    </row>
    <row r="255" spans="1:6" x14ac:dyDescent="0.3">
      <c r="A255" t="e">
        <f ca="1"/>
        <v>#NAME?</v>
      </c>
      <c r="B255" t="e">
        <f ca="1"/>
        <v>#NAME?</v>
      </c>
      <c r="C255" t="e">
        <f ca="1"/>
        <v>#NAME?</v>
      </c>
      <c r="D255" t="e">
        <f ca="1"/>
        <v>#NAME?</v>
      </c>
      <c r="E255" t="e">
        <f ca="1"/>
        <v>#NAME?</v>
      </c>
      <c r="F255" t="e">
        <f ca="1"/>
        <v>#NAME?</v>
      </c>
    </row>
    <row r="256" spans="1:6" x14ac:dyDescent="0.3">
      <c r="A256" t="e">
        <f ca="1"/>
        <v>#NAME?</v>
      </c>
      <c r="B256" t="e">
        <f ca="1"/>
        <v>#NAME?</v>
      </c>
      <c r="C256" t="e">
        <f ca="1"/>
        <v>#NAME?</v>
      </c>
      <c r="D256" t="e">
        <f ca="1"/>
        <v>#NAME?</v>
      </c>
      <c r="E256" t="e">
        <f ca="1"/>
        <v>#NAME?</v>
      </c>
      <c r="F256" t="e">
        <f ca="1"/>
        <v>#NAME?</v>
      </c>
    </row>
    <row r="257" spans="1:6" x14ac:dyDescent="0.3">
      <c r="A257" t="e">
        <f ca="1"/>
        <v>#NAME?</v>
      </c>
      <c r="B257" t="e">
        <f ca="1"/>
        <v>#NAME?</v>
      </c>
      <c r="C257" t="e">
        <f ca="1"/>
        <v>#NAME?</v>
      </c>
      <c r="D257" t="e">
        <f ca="1"/>
        <v>#NAME?</v>
      </c>
      <c r="E257" t="e">
        <f ca="1"/>
        <v>#NAME?</v>
      </c>
      <c r="F257" t="e">
        <f ca="1"/>
        <v>#NAME?</v>
      </c>
    </row>
    <row r="258" spans="1:6" x14ac:dyDescent="0.3">
      <c r="A258" t="e">
        <f ca="1"/>
        <v>#NAME?</v>
      </c>
      <c r="B258" t="e">
        <f ca="1"/>
        <v>#NAME?</v>
      </c>
      <c r="C258" t="e">
        <f ca="1"/>
        <v>#NAME?</v>
      </c>
      <c r="D258" t="e">
        <f ca="1"/>
        <v>#NAME?</v>
      </c>
      <c r="E258" t="e">
        <f ca="1"/>
        <v>#NAME?</v>
      </c>
      <c r="F258" t="e">
        <f ca="1"/>
        <v>#NAME?</v>
      </c>
    </row>
    <row r="259" spans="1:6" x14ac:dyDescent="0.3">
      <c r="A259" t="e">
        <f ca="1"/>
        <v>#NAME?</v>
      </c>
      <c r="B259" t="e">
        <f ca="1"/>
        <v>#NAME?</v>
      </c>
      <c r="C259" t="e">
        <f ca="1"/>
        <v>#NAME?</v>
      </c>
      <c r="D259" t="e">
        <f ca="1"/>
        <v>#NAME?</v>
      </c>
      <c r="E259" t="e">
        <f ca="1"/>
        <v>#NAME?</v>
      </c>
      <c r="F259" t="e">
        <f ca="1"/>
        <v>#NAME?</v>
      </c>
    </row>
    <row r="260" spans="1:6" x14ac:dyDescent="0.3">
      <c r="A260" t="e">
        <f ca="1"/>
        <v>#NAME?</v>
      </c>
      <c r="B260" t="e">
        <f ca="1"/>
        <v>#NAME?</v>
      </c>
      <c r="C260" t="e">
        <f ca="1"/>
        <v>#NAME?</v>
      </c>
      <c r="D260" t="e">
        <f ca="1"/>
        <v>#NAME?</v>
      </c>
      <c r="E260" t="e">
        <f ca="1"/>
        <v>#NAME?</v>
      </c>
      <c r="F260" t="e">
        <f ca="1"/>
        <v>#NAME?</v>
      </c>
    </row>
    <row r="261" spans="1:6" x14ac:dyDescent="0.3">
      <c r="A261" t="e">
        <f ca="1"/>
        <v>#NAME?</v>
      </c>
      <c r="B261" t="e">
        <f ca="1"/>
        <v>#NAME?</v>
      </c>
      <c r="C261" t="e">
        <f ca="1"/>
        <v>#NAME?</v>
      </c>
      <c r="D261" t="e">
        <f ca="1"/>
        <v>#NAME?</v>
      </c>
      <c r="E261" t="e">
        <f ca="1"/>
        <v>#NAME?</v>
      </c>
      <c r="F261" t="e">
        <f ca="1"/>
        <v>#NAME?</v>
      </c>
    </row>
    <row r="262" spans="1:6" x14ac:dyDescent="0.3">
      <c r="A262" t="e">
        <f ca="1"/>
        <v>#NAME?</v>
      </c>
      <c r="B262" t="e">
        <f ca="1"/>
        <v>#NAME?</v>
      </c>
      <c r="C262" t="e">
        <f ca="1"/>
        <v>#NAME?</v>
      </c>
      <c r="D262" t="e">
        <f ca="1"/>
        <v>#NAME?</v>
      </c>
      <c r="E262" t="e">
        <f ca="1"/>
        <v>#NAME?</v>
      </c>
      <c r="F262" t="e">
        <f ca="1"/>
        <v>#NAME?</v>
      </c>
    </row>
    <row r="263" spans="1:6" x14ac:dyDescent="0.3">
      <c r="A263" t="e">
        <f ca="1"/>
        <v>#NAME?</v>
      </c>
      <c r="B263" t="e">
        <f ca="1"/>
        <v>#NAME?</v>
      </c>
      <c r="C263" t="e">
        <f ca="1"/>
        <v>#NAME?</v>
      </c>
      <c r="D263" t="e">
        <f ca="1"/>
        <v>#NAME?</v>
      </c>
      <c r="E263" t="e">
        <f ca="1"/>
        <v>#NAME?</v>
      </c>
      <c r="F263" t="e">
        <f ca="1"/>
        <v>#NAME?</v>
      </c>
    </row>
    <row r="264" spans="1:6" x14ac:dyDescent="0.3">
      <c r="A264" t="e">
        <f ca="1"/>
        <v>#NAME?</v>
      </c>
      <c r="B264" t="e">
        <f ca="1"/>
        <v>#NAME?</v>
      </c>
      <c r="C264" t="e">
        <f ca="1"/>
        <v>#NAME?</v>
      </c>
      <c r="D264" t="e">
        <f ca="1"/>
        <v>#NAME?</v>
      </c>
      <c r="E264" t="e">
        <f ca="1"/>
        <v>#NAME?</v>
      </c>
      <c r="F264" t="e">
        <f ca="1"/>
        <v>#NAME?</v>
      </c>
    </row>
    <row r="265" spans="1:6" x14ac:dyDescent="0.3">
      <c r="A265" t="e">
        <f ca="1"/>
        <v>#NAME?</v>
      </c>
      <c r="B265" t="e">
        <f ca="1"/>
        <v>#NAME?</v>
      </c>
      <c r="C265" t="e">
        <f ca="1"/>
        <v>#NAME?</v>
      </c>
      <c r="D265" t="e">
        <f ca="1"/>
        <v>#NAME?</v>
      </c>
      <c r="E265" t="e">
        <f ca="1"/>
        <v>#NAME?</v>
      </c>
      <c r="F265" t="e">
        <f ca="1"/>
        <v>#NAME?</v>
      </c>
    </row>
    <row r="266" spans="1:6" x14ac:dyDescent="0.3">
      <c r="A266" t="e">
        <f ca="1"/>
        <v>#NAME?</v>
      </c>
      <c r="B266" t="e">
        <f ca="1"/>
        <v>#NAME?</v>
      </c>
      <c r="C266" t="e">
        <f ca="1"/>
        <v>#NAME?</v>
      </c>
      <c r="D266" t="e">
        <f ca="1"/>
        <v>#NAME?</v>
      </c>
      <c r="E266" t="e">
        <f ca="1"/>
        <v>#NAME?</v>
      </c>
      <c r="F266" t="e">
        <f ca="1"/>
        <v>#NAME?</v>
      </c>
    </row>
    <row r="267" spans="1:6" x14ac:dyDescent="0.3">
      <c r="A267" t="e">
        <f ca="1"/>
        <v>#NAME?</v>
      </c>
      <c r="B267" t="e">
        <f ca="1"/>
        <v>#NAME?</v>
      </c>
      <c r="C267" t="e">
        <f ca="1"/>
        <v>#NAME?</v>
      </c>
      <c r="D267" t="e">
        <f ca="1"/>
        <v>#NAME?</v>
      </c>
      <c r="E267" t="e">
        <f ca="1"/>
        <v>#NAME?</v>
      </c>
      <c r="F267" t="e">
        <f ca="1"/>
        <v>#NAME?</v>
      </c>
    </row>
    <row r="268" spans="1:6" x14ac:dyDescent="0.3">
      <c r="A268" t="e">
        <f ca="1"/>
        <v>#NAME?</v>
      </c>
      <c r="B268" t="e">
        <f ca="1"/>
        <v>#NAME?</v>
      </c>
      <c r="C268" t="e">
        <f ca="1"/>
        <v>#NAME?</v>
      </c>
      <c r="D268" t="e">
        <f ca="1"/>
        <v>#NAME?</v>
      </c>
      <c r="E268" t="e">
        <f ca="1"/>
        <v>#NAME?</v>
      </c>
      <c r="F268" t="e">
        <f ca="1"/>
        <v>#NAME?</v>
      </c>
    </row>
    <row r="269" spans="1:6" x14ac:dyDescent="0.3">
      <c r="A269" t="e">
        <f ca="1"/>
        <v>#NAME?</v>
      </c>
      <c r="B269" t="e">
        <f ca="1"/>
        <v>#NAME?</v>
      </c>
      <c r="C269" t="e">
        <f ca="1"/>
        <v>#NAME?</v>
      </c>
      <c r="D269" t="e">
        <f ca="1"/>
        <v>#NAME?</v>
      </c>
      <c r="E269" t="e">
        <f ca="1"/>
        <v>#NAME?</v>
      </c>
      <c r="F269" t="e">
        <f ca="1"/>
        <v>#NAME?</v>
      </c>
    </row>
    <row r="270" spans="1:6" x14ac:dyDescent="0.3">
      <c r="A270" t="e">
        <f ca="1"/>
        <v>#NAME?</v>
      </c>
      <c r="B270" t="e">
        <f ca="1"/>
        <v>#NAME?</v>
      </c>
      <c r="C270" t="e">
        <f ca="1"/>
        <v>#NAME?</v>
      </c>
      <c r="D270" t="e">
        <f ca="1"/>
        <v>#NAME?</v>
      </c>
      <c r="E270" t="e">
        <f ca="1"/>
        <v>#NAME?</v>
      </c>
      <c r="F270" t="e">
        <f ca="1"/>
        <v>#NAME?</v>
      </c>
    </row>
    <row r="271" spans="1:6" x14ac:dyDescent="0.3">
      <c r="A271" t="e">
        <f ca="1"/>
        <v>#NAME?</v>
      </c>
      <c r="B271" t="e">
        <f ca="1"/>
        <v>#NAME?</v>
      </c>
      <c r="C271" t="e">
        <f ca="1"/>
        <v>#NAME?</v>
      </c>
      <c r="D271" t="e">
        <f ca="1"/>
        <v>#NAME?</v>
      </c>
      <c r="E271" t="e">
        <f ca="1"/>
        <v>#NAME?</v>
      </c>
      <c r="F271" t="e">
        <f ca="1"/>
        <v>#NAME?</v>
      </c>
    </row>
    <row r="272" spans="1:6" x14ac:dyDescent="0.3">
      <c r="A272" t="e">
        <f ca="1"/>
        <v>#NAME?</v>
      </c>
      <c r="B272" t="e">
        <f ca="1"/>
        <v>#NAME?</v>
      </c>
      <c r="C272" t="e">
        <f ca="1"/>
        <v>#NAME?</v>
      </c>
      <c r="D272" t="e">
        <f ca="1"/>
        <v>#NAME?</v>
      </c>
      <c r="E272" t="e">
        <f ca="1"/>
        <v>#NAME?</v>
      </c>
      <c r="F272" t="e">
        <f ca="1"/>
        <v>#NAME?</v>
      </c>
    </row>
    <row r="273" spans="1:6" x14ac:dyDescent="0.3">
      <c r="A273" t="e">
        <f ca="1"/>
        <v>#NAME?</v>
      </c>
      <c r="B273" t="e">
        <f ca="1"/>
        <v>#NAME?</v>
      </c>
      <c r="C273" t="e">
        <f ca="1"/>
        <v>#NAME?</v>
      </c>
      <c r="D273" t="e">
        <f ca="1"/>
        <v>#NAME?</v>
      </c>
      <c r="E273" t="e">
        <f ca="1"/>
        <v>#NAME?</v>
      </c>
      <c r="F273" t="e">
        <f ca="1"/>
        <v>#NAME?</v>
      </c>
    </row>
    <row r="274" spans="1:6" x14ac:dyDescent="0.3">
      <c r="A274" t="e">
        <f ca="1"/>
        <v>#NAME?</v>
      </c>
      <c r="B274" t="e">
        <f ca="1"/>
        <v>#NAME?</v>
      </c>
      <c r="C274" t="e">
        <f ca="1"/>
        <v>#NAME?</v>
      </c>
      <c r="D274" t="e">
        <f ca="1"/>
        <v>#NAME?</v>
      </c>
      <c r="E274" t="e">
        <f ca="1"/>
        <v>#NAME?</v>
      </c>
      <c r="F274" t="e">
        <f ca="1"/>
        <v>#NAME?</v>
      </c>
    </row>
    <row r="275" spans="1:6" x14ac:dyDescent="0.3">
      <c r="A275" t="e">
        <f ca="1"/>
        <v>#NAME?</v>
      </c>
      <c r="B275" t="e">
        <f ca="1"/>
        <v>#NAME?</v>
      </c>
      <c r="C275" t="e">
        <f ca="1"/>
        <v>#NAME?</v>
      </c>
      <c r="D275" t="e">
        <f ca="1"/>
        <v>#NAME?</v>
      </c>
      <c r="E275" t="e">
        <f ca="1"/>
        <v>#NAME?</v>
      </c>
      <c r="F275" t="e">
        <f ca="1"/>
        <v>#NAME?</v>
      </c>
    </row>
    <row r="276" spans="1:6" x14ac:dyDescent="0.3">
      <c r="A276" t="e">
        <f ca="1"/>
        <v>#NAME?</v>
      </c>
      <c r="B276" t="e">
        <f ca="1"/>
        <v>#NAME?</v>
      </c>
      <c r="C276" t="e">
        <f ca="1"/>
        <v>#NAME?</v>
      </c>
      <c r="D276" t="e">
        <f ca="1"/>
        <v>#NAME?</v>
      </c>
      <c r="E276" t="e">
        <f ca="1"/>
        <v>#NAME?</v>
      </c>
      <c r="F276" t="e">
        <f ca="1"/>
        <v>#NAME?</v>
      </c>
    </row>
    <row r="277" spans="1:6" x14ac:dyDescent="0.3">
      <c r="A277" t="e">
        <f ca="1"/>
        <v>#NAME?</v>
      </c>
      <c r="B277" t="e">
        <f ca="1"/>
        <v>#NAME?</v>
      </c>
      <c r="C277" t="e">
        <f ca="1"/>
        <v>#NAME?</v>
      </c>
      <c r="D277" t="e">
        <f ca="1"/>
        <v>#NAME?</v>
      </c>
      <c r="E277" t="e">
        <f ca="1"/>
        <v>#NAME?</v>
      </c>
      <c r="F277" t="e">
        <f ca="1"/>
        <v>#NAME?</v>
      </c>
    </row>
    <row r="278" spans="1:6" x14ac:dyDescent="0.3">
      <c r="A278" t="e">
        <f ca="1"/>
        <v>#NAME?</v>
      </c>
      <c r="B278" t="e">
        <f ca="1"/>
        <v>#NAME?</v>
      </c>
      <c r="C278" t="e">
        <f ca="1"/>
        <v>#NAME?</v>
      </c>
      <c r="D278" t="e">
        <f ca="1"/>
        <v>#NAME?</v>
      </c>
      <c r="E278" t="e">
        <f ca="1"/>
        <v>#NAME?</v>
      </c>
      <c r="F278" t="e">
        <f ca="1"/>
        <v>#NAME?</v>
      </c>
    </row>
    <row r="279" spans="1:6" x14ac:dyDescent="0.3">
      <c r="A279" t="e">
        <f ca="1"/>
        <v>#NAME?</v>
      </c>
      <c r="B279" t="e">
        <f ca="1"/>
        <v>#NAME?</v>
      </c>
      <c r="C279" t="e">
        <f ca="1"/>
        <v>#NAME?</v>
      </c>
      <c r="D279" t="e">
        <f ca="1"/>
        <v>#NAME?</v>
      </c>
      <c r="E279" t="e">
        <f ca="1"/>
        <v>#NAME?</v>
      </c>
      <c r="F279" t="e">
        <f ca="1"/>
        <v>#NAME?</v>
      </c>
    </row>
    <row r="280" spans="1:6" x14ac:dyDescent="0.3">
      <c r="A280" t="e">
        <f ca="1"/>
        <v>#NAME?</v>
      </c>
      <c r="B280" t="e">
        <f ca="1"/>
        <v>#NAME?</v>
      </c>
      <c r="C280" t="e">
        <f ca="1"/>
        <v>#NAME?</v>
      </c>
      <c r="D280" t="e">
        <f ca="1"/>
        <v>#NAME?</v>
      </c>
      <c r="E280" t="e">
        <f ca="1"/>
        <v>#NAME?</v>
      </c>
      <c r="F280" t="e">
        <f ca="1"/>
        <v>#NAME?</v>
      </c>
    </row>
    <row r="281" spans="1:6" x14ac:dyDescent="0.3">
      <c r="A281" t="e">
        <f ca="1"/>
        <v>#NAME?</v>
      </c>
      <c r="B281" t="e">
        <f ca="1"/>
        <v>#NAME?</v>
      </c>
      <c r="C281" t="e">
        <f ca="1"/>
        <v>#NAME?</v>
      </c>
      <c r="D281" t="e">
        <f ca="1"/>
        <v>#NAME?</v>
      </c>
      <c r="E281" t="e">
        <f ca="1"/>
        <v>#NAME?</v>
      </c>
      <c r="F281" t="e">
        <f ca="1"/>
        <v>#NAME?</v>
      </c>
    </row>
    <row r="282" spans="1:6" x14ac:dyDescent="0.3">
      <c r="A282" t="e">
        <f ca="1"/>
        <v>#NAME?</v>
      </c>
      <c r="B282" t="e">
        <f ca="1"/>
        <v>#NAME?</v>
      </c>
      <c r="C282" t="e">
        <f ca="1"/>
        <v>#NAME?</v>
      </c>
      <c r="D282" t="e">
        <f ca="1"/>
        <v>#NAME?</v>
      </c>
      <c r="E282" t="e">
        <f ca="1"/>
        <v>#NAME?</v>
      </c>
      <c r="F282" t="e">
        <f ca="1"/>
        <v>#NAME?</v>
      </c>
    </row>
    <row r="283" spans="1:6" x14ac:dyDescent="0.3">
      <c r="A283" t="e">
        <f ca="1"/>
        <v>#NAME?</v>
      </c>
      <c r="B283" t="e">
        <f ca="1"/>
        <v>#NAME?</v>
      </c>
      <c r="C283" t="e">
        <f ca="1"/>
        <v>#NAME?</v>
      </c>
      <c r="D283" t="e">
        <f ca="1"/>
        <v>#NAME?</v>
      </c>
      <c r="E283" t="e">
        <f ca="1"/>
        <v>#NAME?</v>
      </c>
      <c r="F283" t="e">
        <f ca="1"/>
        <v>#NAME?</v>
      </c>
    </row>
    <row r="284" spans="1:6" x14ac:dyDescent="0.3">
      <c r="A284" t="e">
        <f ca="1"/>
        <v>#NAME?</v>
      </c>
      <c r="B284" t="e">
        <f ca="1"/>
        <v>#NAME?</v>
      </c>
      <c r="C284" t="e">
        <f ca="1"/>
        <v>#NAME?</v>
      </c>
      <c r="D284" t="e">
        <f ca="1"/>
        <v>#NAME?</v>
      </c>
      <c r="E284" t="e">
        <f ca="1"/>
        <v>#NAME?</v>
      </c>
      <c r="F284" t="e">
        <f ca="1"/>
        <v>#NAME?</v>
      </c>
    </row>
    <row r="285" spans="1:6" x14ac:dyDescent="0.3">
      <c r="A285" t="e">
        <f ca="1"/>
        <v>#NAME?</v>
      </c>
      <c r="B285" t="e">
        <f ca="1"/>
        <v>#NAME?</v>
      </c>
      <c r="C285" t="e">
        <f ca="1"/>
        <v>#NAME?</v>
      </c>
      <c r="D285" t="e">
        <f ca="1"/>
        <v>#NAME?</v>
      </c>
      <c r="E285" t="e">
        <f ca="1"/>
        <v>#NAME?</v>
      </c>
      <c r="F285" t="e">
        <f ca="1"/>
        <v>#NAME?</v>
      </c>
    </row>
    <row r="286" spans="1:6" x14ac:dyDescent="0.3">
      <c r="A286" t="e">
        <f ca="1"/>
        <v>#NAME?</v>
      </c>
      <c r="B286" t="e">
        <f ca="1"/>
        <v>#NAME?</v>
      </c>
      <c r="C286" t="e">
        <f ca="1"/>
        <v>#NAME?</v>
      </c>
      <c r="D286" t="e">
        <f ca="1"/>
        <v>#NAME?</v>
      </c>
      <c r="E286" t="e">
        <f ca="1"/>
        <v>#NAME?</v>
      </c>
      <c r="F286" t="e">
        <f ca="1"/>
        <v>#NAME?</v>
      </c>
    </row>
    <row r="287" spans="1:6" x14ac:dyDescent="0.3">
      <c r="A287" t="e">
        <f ca="1"/>
        <v>#NAME?</v>
      </c>
      <c r="B287" t="e">
        <f ca="1"/>
        <v>#NAME?</v>
      </c>
      <c r="C287" t="e">
        <f ca="1"/>
        <v>#NAME?</v>
      </c>
      <c r="D287" t="e">
        <f ca="1"/>
        <v>#NAME?</v>
      </c>
      <c r="E287" t="e">
        <f ca="1"/>
        <v>#NAME?</v>
      </c>
      <c r="F287" t="e">
        <f ca="1"/>
        <v>#NAME?</v>
      </c>
    </row>
    <row r="288" spans="1:6" x14ac:dyDescent="0.3">
      <c r="A288" t="e">
        <f ca="1"/>
        <v>#NAME?</v>
      </c>
      <c r="B288" t="e">
        <f ca="1"/>
        <v>#NAME?</v>
      </c>
      <c r="C288" t="e">
        <f ca="1"/>
        <v>#NAME?</v>
      </c>
      <c r="D288" t="e">
        <f ca="1"/>
        <v>#NAME?</v>
      </c>
      <c r="E288" t="e">
        <f ca="1"/>
        <v>#NAME?</v>
      </c>
      <c r="F288" t="e">
        <f ca="1"/>
        <v>#NAME?</v>
      </c>
    </row>
    <row r="289" spans="1:6" x14ac:dyDescent="0.3">
      <c r="A289" t="e">
        <f ca="1"/>
        <v>#NAME?</v>
      </c>
      <c r="B289" t="e">
        <f ca="1"/>
        <v>#NAME?</v>
      </c>
      <c r="C289" t="e">
        <f ca="1"/>
        <v>#NAME?</v>
      </c>
      <c r="D289" t="e">
        <f ca="1"/>
        <v>#NAME?</v>
      </c>
      <c r="E289" t="e">
        <f ca="1"/>
        <v>#NAME?</v>
      </c>
      <c r="F289" t="e">
        <f ca="1"/>
        <v>#NAME?</v>
      </c>
    </row>
    <row r="290" spans="1:6" x14ac:dyDescent="0.3">
      <c r="A290" t="e">
        <f ca="1"/>
        <v>#NAME?</v>
      </c>
      <c r="B290" t="e">
        <f ca="1"/>
        <v>#NAME?</v>
      </c>
      <c r="C290" t="e">
        <f ca="1"/>
        <v>#NAME?</v>
      </c>
      <c r="D290" t="e">
        <f ca="1"/>
        <v>#NAME?</v>
      </c>
      <c r="E290" t="e">
        <f ca="1"/>
        <v>#NAME?</v>
      </c>
      <c r="F290" t="e">
        <f ca="1"/>
        <v>#NAME?</v>
      </c>
    </row>
    <row r="291" spans="1:6" x14ac:dyDescent="0.3">
      <c r="A291" t="e">
        <f ca="1"/>
        <v>#NAME?</v>
      </c>
      <c r="B291" t="e">
        <f ca="1"/>
        <v>#NAME?</v>
      </c>
      <c r="C291" t="e">
        <f ca="1"/>
        <v>#NAME?</v>
      </c>
      <c r="D291" t="e">
        <f ca="1"/>
        <v>#NAME?</v>
      </c>
      <c r="E291" t="e">
        <f ca="1"/>
        <v>#NAME?</v>
      </c>
      <c r="F291" t="e">
        <f ca="1"/>
        <v>#NAME?</v>
      </c>
    </row>
    <row r="292" spans="1:6" x14ac:dyDescent="0.3">
      <c r="A292" t="e">
        <f ca="1"/>
        <v>#NAME?</v>
      </c>
      <c r="B292" t="e">
        <f ca="1"/>
        <v>#NAME?</v>
      </c>
      <c r="C292" t="e">
        <f ca="1"/>
        <v>#NAME?</v>
      </c>
      <c r="D292" t="e">
        <f ca="1"/>
        <v>#NAME?</v>
      </c>
      <c r="E292" t="e">
        <f ca="1"/>
        <v>#NAME?</v>
      </c>
      <c r="F292" t="e">
        <f ca="1"/>
        <v>#NAME?</v>
      </c>
    </row>
    <row r="293" spans="1:6" x14ac:dyDescent="0.3">
      <c r="A293" t="e">
        <f ca="1"/>
        <v>#NAME?</v>
      </c>
      <c r="B293" t="e">
        <f ca="1"/>
        <v>#NAME?</v>
      </c>
      <c r="C293" t="e">
        <f ca="1"/>
        <v>#NAME?</v>
      </c>
      <c r="D293" t="e">
        <f ca="1"/>
        <v>#NAME?</v>
      </c>
      <c r="E293" t="e">
        <f ca="1"/>
        <v>#NAME?</v>
      </c>
      <c r="F293" t="e">
        <f ca="1"/>
        <v>#NAME?</v>
      </c>
    </row>
    <row r="294" spans="1:6" x14ac:dyDescent="0.3">
      <c r="A294" t="e">
        <f ca="1"/>
        <v>#NAME?</v>
      </c>
      <c r="B294" t="e">
        <f ca="1"/>
        <v>#NAME?</v>
      </c>
      <c r="C294" t="e">
        <f ca="1"/>
        <v>#NAME?</v>
      </c>
      <c r="D294" t="e">
        <f ca="1"/>
        <v>#NAME?</v>
      </c>
      <c r="E294" t="e">
        <f ca="1"/>
        <v>#NAME?</v>
      </c>
      <c r="F294" t="e">
        <f ca="1"/>
        <v>#NAME?</v>
      </c>
    </row>
    <row r="295" spans="1:6" x14ac:dyDescent="0.3">
      <c r="A295" t="e">
        <f ca="1"/>
        <v>#NAME?</v>
      </c>
      <c r="B295" t="e">
        <f ca="1"/>
        <v>#NAME?</v>
      </c>
      <c r="C295" t="e">
        <f ca="1"/>
        <v>#NAME?</v>
      </c>
      <c r="D295" t="e">
        <f ca="1"/>
        <v>#NAME?</v>
      </c>
      <c r="E295" t="e">
        <f ca="1"/>
        <v>#NAME?</v>
      </c>
      <c r="F295" t="e">
        <f ca="1"/>
        <v>#NAME?</v>
      </c>
    </row>
    <row r="296" spans="1:6" x14ac:dyDescent="0.3">
      <c r="A296" t="e">
        <f ca="1"/>
        <v>#NAME?</v>
      </c>
      <c r="B296" t="e">
        <f ca="1"/>
        <v>#NAME?</v>
      </c>
      <c r="C296" t="e">
        <f ca="1"/>
        <v>#NAME?</v>
      </c>
      <c r="D296" t="e">
        <f ca="1"/>
        <v>#NAME?</v>
      </c>
      <c r="E296" t="e">
        <f ca="1"/>
        <v>#NAME?</v>
      </c>
      <c r="F296" t="e">
        <f ca="1"/>
        <v>#NAME?</v>
      </c>
    </row>
    <row r="297" spans="1:6" x14ac:dyDescent="0.3">
      <c r="A297" t="e">
        <f ca="1"/>
        <v>#NAME?</v>
      </c>
      <c r="B297" t="e">
        <f ca="1"/>
        <v>#NAME?</v>
      </c>
      <c r="C297" t="e">
        <f ca="1"/>
        <v>#NAME?</v>
      </c>
      <c r="D297" t="e">
        <f ca="1"/>
        <v>#NAME?</v>
      </c>
      <c r="E297" t="e">
        <f ca="1"/>
        <v>#NAME?</v>
      </c>
      <c r="F297" t="e">
        <f ca="1"/>
        <v>#NAME?</v>
      </c>
    </row>
    <row r="298" spans="1:6" x14ac:dyDescent="0.3">
      <c r="A298" t="e">
        <f ca="1"/>
        <v>#NAME?</v>
      </c>
      <c r="B298" t="e">
        <f ca="1"/>
        <v>#NAME?</v>
      </c>
      <c r="C298" t="e">
        <f ca="1"/>
        <v>#NAME?</v>
      </c>
      <c r="D298" t="e">
        <f ca="1"/>
        <v>#NAME?</v>
      </c>
      <c r="E298" t="e">
        <f ca="1"/>
        <v>#NAME?</v>
      </c>
      <c r="F298" t="e">
        <f ca="1"/>
        <v>#NAME?</v>
      </c>
    </row>
    <row r="299" spans="1:6" x14ac:dyDescent="0.3">
      <c r="A299" t="e">
        <f ca="1"/>
        <v>#NAME?</v>
      </c>
      <c r="B299" t="e">
        <f ca="1"/>
        <v>#NAME?</v>
      </c>
      <c r="C299" t="e">
        <f ca="1"/>
        <v>#NAME?</v>
      </c>
      <c r="D299" t="e">
        <f ca="1"/>
        <v>#NAME?</v>
      </c>
      <c r="E299" t="e">
        <f ca="1"/>
        <v>#NAME?</v>
      </c>
      <c r="F299" t="e">
        <f ca="1"/>
        <v>#NAME?</v>
      </c>
    </row>
    <row r="300" spans="1:6" x14ac:dyDescent="0.3">
      <c r="A300" t="e">
        <f ca="1"/>
        <v>#NAME?</v>
      </c>
      <c r="B300" t="e">
        <f ca="1"/>
        <v>#NAME?</v>
      </c>
      <c r="C300" t="e">
        <f ca="1"/>
        <v>#NAME?</v>
      </c>
      <c r="D300" t="e">
        <f ca="1"/>
        <v>#NAME?</v>
      </c>
      <c r="E300" t="e">
        <f ca="1"/>
        <v>#NAME?</v>
      </c>
      <c r="F300" t="e">
        <f ca="1"/>
        <v>#NAME?</v>
      </c>
    </row>
    <row r="301" spans="1:6" x14ac:dyDescent="0.3">
      <c r="A301" t="e">
        <f ca="1"/>
        <v>#NAME?</v>
      </c>
      <c r="B301" t="e">
        <f ca="1"/>
        <v>#NAME?</v>
      </c>
      <c r="C301" t="e">
        <f ca="1"/>
        <v>#NAME?</v>
      </c>
      <c r="D301" t="e">
        <f ca="1"/>
        <v>#NAME?</v>
      </c>
      <c r="E301" t="e">
        <f ca="1"/>
        <v>#NAME?</v>
      </c>
      <c r="F301" t="e">
        <f ca="1"/>
        <v>#NAME?</v>
      </c>
    </row>
    <row r="302" spans="1:6" x14ac:dyDescent="0.3">
      <c r="A302" t="e">
        <f ca="1"/>
        <v>#NAME?</v>
      </c>
      <c r="B302" t="e">
        <f ca="1"/>
        <v>#NAME?</v>
      </c>
      <c r="C302" t="e">
        <f ca="1"/>
        <v>#NAME?</v>
      </c>
      <c r="D302" t="e">
        <f ca="1"/>
        <v>#NAME?</v>
      </c>
      <c r="E302" t="e">
        <f ca="1"/>
        <v>#NAME?</v>
      </c>
      <c r="F302" t="e">
        <f ca="1"/>
        <v>#NAME?</v>
      </c>
    </row>
    <row r="303" spans="1:6" x14ac:dyDescent="0.3">
      <c r="A303" t="e">
        <f ca="1"/>
        <v>#NAME?</v>
      </c>
      <c r="B303" t="e">
        <f ca="1"/>
        <v>#NAME?</v>
      </c>
      <c r="C303" t="e">
        <f ca="1"/>
        <v>#NAME?</v>
      </c>
      <c r="D303" t="e">
        <f ca="1"/>
        <v>#NAME?</v>
      </c>
      <c r="E303" t="e">
        <f ca="1"/>
        <v>#NAME?</v>
      </c>
      <c r="F303" t="e">
        <f ca="1"/>
        <v>#NAME?</v>
      </c>
    </row>
    <row r="304" spans="1:6" x14ac:dyDescent="0.3">
      <c r="A304" t="e">
        <f ca="1"/>
        <v>#NAME?</v>
      </c>
      <c r="B304" t="e">
        <f ca="1"/>
        <v>#NAME?</v>
      </c>
      <c r="C304" t="e">
        <f ca="1"/>
        <v>#NAME?</v>
      </c>
      <c r="D304" t="e">
        <f ca="1"/>
        <v>#NAME?</v>
      </c>
      <c r="E304" t="e">
        <f ca="1"/>
        <v>#NAME?</v>
      </c>
      <c r="F304" t="e">
        <f ca="1"/>
        <v>#NAME?</v>
      </c>
    </row>
    <row r="305" spans="1:6" x14ac:dyDescent="0.3">
      <c r="A305" t="e">
        <f ca="1"/>
        <v>#NAME?</v>
      </c>
      <c r="B305" t="e">
        <f ca="1"/>
        <v>#NAME?</v>
      </c>
      <c r="C305" t="e">
        <f ca="1"/>
        <v>#NAME?</v>
      </c>
      <c r="D305" t="e">
        <f ca="1"/>
        <v>#NAME?</v>
      </c>
      <c r="E305" t="e">
        <f ca="1"/>
        <v>#NAME?</v>
      </c>
      <c r="F305" t="e">
        <f ca="1"/>
        <v>#NAME?</v>
      </c>
    </row>
    <row r="306" spans="1:6" x14ac:dyDescent="0.3">
      <c r="A306" t="e">
        <f ca="1"/>
        <v>#NAME?</v>
      </c>
      <c r="B306" t="e">
        <f ca="1"/>
        <v>#NAME?</v>
      </c>
      <c r="C306" t="e">
        <f ca="1"/>
        <v>#NAME?</v>
      </c>
      <c r="D306" t="e">
        <f ca="1"/>
        <v>#NAME?</v>
      </c>
      <c r="E306" t="e">
        <f ca="1"/>
        <v>#NAME?</v>
      </c>
      <c r="F306" t="e">
        <f ca="1"/>
        <v>#NAME?</v>
      </c>
    </row>
    <row r="307" spans="1:6" x14ac:dyDescent="0.3">
      <c r="A307" t="e">
        <f ca="1"/>
        <v>#NAME?</v>
      </c>
      <c r="B307" t="e">
        <f ca="1"/>
        <v>#NAME?</v>
      </c>
      <c r="C307" t="e">
        <f ca="1"/>
        <v>#NAME?</v>
      </c>
      <c r="D307" t="e">
        <f ca="1"/>
        <v>#NAME?</v>
      </c>
      <c r="E307" t="e">
        <f ca="1"/>
        <v>#NAME?</v>
      </c>
      <c r="F307" t="e">
        <f ca="1"/>
        <v>#NAME?</v>
      </c>
    </row>
    <row r="308" spans="1:6" x14ac:dyDescent="0.3">
      <c r="A308" t="e">
        <f ca="1"/>
        <v>#NAME?</v>
      </c>
      <c r="B308" t="e">
        <f ca="1"/>
        <v>#NAME?</v>
      </c>
      <c r="C308" t="e">
        <f ca="1"/>
        <v>#NAME?</v>
      </c>
      <c r="D308" t="e">
        <f ca="1"/>
        <v>#NAME?</v>
      </c>
      <c r="E308" t="e">
        <f ca="1"/>
        <v>#NAME?</v>
      </c>
      <c r="F308" t="e">
        <f ca="1"/>
        <v>#NAME?</v>
      </c>
    </row>
    <row r="309" spans="1:6" x14ac:dyDescent="0.3">
      <c r="A309" t="e">
        <f ca="1"/>
        <v>#NAME?</v>
      </c>
      <c r="B309" t="e">
        <f ca="1"/>
        <v>#NAME?</v>
      </c>
      <c r="C309" t="e">
        <f ca="1"/>
        <v>#NAME?</v>
      </c>
      <c r="D309" t="e">
        <f ca="1"/>
        <v>#NAME?</v>
      </c>
      <c r="E309" t="e">
        <f ca="1"/>
        <v>#NAME?</v>
      </c>
      <c r="F309" t="e">
        <f ca="1"/>
        <v>#NAME?</v>
      </c>
    </row>
    <row r="310" spans="1:6" x14ac:dyDescent="0.3">
      <c r="A310" t="e">
        <f ca="1"/>
        <v>#NAME?</v>
      </c>
      <c r="B310" t="e">
        <f ca="1"/>
        <v>#NAME?</v>
      </c>
      <c r="C310" t="e">
        <f ca="1"/>
        <v>#NAME?</v>
      </c>
      <c r="D310" t="e">
        <f ca="1"/>
        <v>#NAME?</v>
      </c>
      <c r="E310" t="e">
        <f ca="1"/>
        <v>#NAME?</v>
      </c>
      <c r="F310" t="e">
        <f ca="1"/>
        <v>#NAME?</v>
      </c>
    </row>
    <row r="311" spans="1:6" x14ac:dyDescent="0.3">
      <c r="A311" t="e">
        <f ca="1"/>
        <v>#NAME?</v>
      </c>
      <c r="B311" t="e">
        <f ca="1"/>
        <v>#NAME?</v>
      </c>
      <c r="C311" t="e">
        <f ca="1"/>
        <v>#NAME?</v>
      </c>
      <c r="D311" t="e">
        <f ca="1"/>
        <v>#NAME?</v>
      </c>
      <c r="E311" t="e">
        <f ca="1"/>
        <v>#NAME?</v>
      </c>
      <c r="F311" t="e">
        <f ca="1"/>
        <v>#NAME?</v>
      </c>
    </row>
    <row r="312" spans="1:6" x14ac:dyDescent="0.3">
      <c r="A312" t="e">
        <f ca="1"/>
        <v>#NAME?</v>
      </c>
      <c r="B312" t="e">
        <f ca="1"/>
        <v>#NAME?</v>
      </c>
      <c r="C312" t="e">
        <f ca="1"/>
        <v>#NAME?</v>
      </c>
      <c r="D312" t="e">
        <f ca="1"/>
        <v>#NAME?</v>
      </c>
      <c r="E312" t="e">
        <f ca="1"/>
        <v>#NAME?</v>
      </c>
      <c r="F312" t="e">
        <f ca="1"/>
        <v>#NAME?</v>
      </c>
    </row>
    <row r="313" spans="1:6" x14ac:dyDescent="0.3">
      <c r="A313" t="e">
        <f ca="1"/>
        <v>#NAME?</v>
      </c>
      <c r="B313" t="e">
        <f ca="1"/>
        <v>#NAME?</v>
      </c>
      <c r="C313" t="e">
        <f ca="1"/>
        <v>#NAME?</v>
      </c>
      <c r="D313" t="e">
        <f ca="1"/>
        <v>#NAME?</v>
      </c>
      <c r="E313" t="e">
        <f ca="1"/>
        <v>#NAME?</v>
      </c>
      <c r="F313" t="e">
        <f ca="1"/>
        <v>#NAME?</v>
      </c>
    </row>
    <row r="314" spans="1:6" x14ac:dyDescent="0.3">
      <c r="A314" t="e">
        <f ca="1"/>
        <v>#NAME?</v>
      </c>
      <c r="B314" t="e">
        <f ca="1"/>
        <v>#NAME?</v>
      </c>
      <c r="C314" t="e">
        <f ca="1"/>
        <v>#NAME?</v>
      </c>
      <c r="D314" t="e">
        <f ca="1"/>
        <v>#NAME?</v>
      </c>
      <c r="E314" t="e">
        <f ca="1"/>
        <v>#NAME?</v>
      </c>
      <c r="F314" t="e">
        <f ca="1"/>
        <v>#NAME?</v>
      </c>
    </row>
    <row r="315" spans="1:6" x14ac:dyDescent="0.3">
      <c r="A315" t="e">
        <f ca="1"/>
        <v>#NAME?</v>
      </c>
      <c r="B315" t="e">
        <f ca="1"/>
        <v>#NAME?</v>
      </c>
      <c r="C315" t="e">
        <f ca="1"/>
        <v>#NAME?</v>
      </c>
      <c r="D315" t="e">
        <f ca="1"/>
        <v>#NAME?</v>
      </c>
      <c r="E315" t="e">
        <f ca="1"/>
        <v>#NAME?</v>
      </c>
      <c r="F315" t="e">
        <f ca="1"/>
        <v>#NAME?</v>
      </c>
    </row>
    <row r="316" spans="1:6" x14ac:dyDescent="0.3">
      <c r="A316" t="e">
        <f ca="1"/>
        <v>#NAME?</v>
      </c>
      <c r="B316" t="e">
        <f ca="1"/>
        <v>#NAME?</v>
      </c>
      <c r="C316" t="e">
        <f ca="1"/>
        <v>#NAME?</v>
      </c>
      <c r="D316" t="e">
        <f ca="1"/>
        <v>#NAME?</v>
      </c>
      <c r="E316" t="e">
        <f ca="1"/>
        <v>#NAME?</v>
      </c>
      <c r="F316" t="e">
        <f ca="1"/>
        <v>#NAME?</v>
      </c>
    </row>
    <row r="317" spans="1:6" x14ac:dyDescent="0.3">
      <c r="A317" t="e">
        <f ca="1"/>
        <v>#NAME?</v>
      </c>
      <c r="B317" t="e">
        <f ca="1"/>
        <v>#NAME?</v>
      </c>
      <c r="C317" t="e">
        <f ca="1"/>
        <v>#NAME?</v>
      </c>
      <c r="D317" t="e">
        <f ca="1"/>
        <v>#NAME?</v>
      </c>
      <c r="E317" t="e">
        <f ca="1"/>
        <v>#NAME?</v>
      </c>
      <c r="F317" t="e">
        <f ca="1"/>
        <v>#NAME?</v>
      </c>
    </row>
    <row r="318" spans="1:6" x14ac:dyDescent="0.3">
      <c r="A318" t="e">
        <f ca="1"/>
        <v>#NAME?</v>
      </c>
      <c r="B318" t="e">
        <f ca="1"/>
        <v>#NAME?</v>
      </c>
      <c r="C318" t="e">
        <f ca="1"/>
        <v>#NAME?</v>
      </c>
      <c r="D318" t="e">
        <f ca="1"/>
        <v>#NAME?</v>
      </c>
      <c r="E318" t="e">
        <f ca="1"/>
        <v>#NAME?</v>
      </c>
      <c r="F318" t="e">
        <f ca="1"/>
        <v>#NAME?</v>
      </c>
    </row>
    <row r="319" spans="1:6" x14ac:dyDescent="0.3">
      <c r="A319" t="e">
        <f ca="1"/>
        <v>#NAME?</v>
      </c>
      <c r="B319" t="e">
        <f ca="1"/>
        <v>#NAME?</v>
      </c>
      <c r="C319" t="e">
        <f ca="1"/>
        <v>#NAME?</v>
      </c>
      <c r="D319" t="e">
        <f ca="1"/>
        <v>#NAME?</v>
      </c>
      <c r="E319" t="e">
        <f ca="1"/>
        <v>#NAME?</v>
      </c>
      <c r="F319" t="e">
        <f ca="1"/>
        <v>#NAME?</v>
      </c>
    </row>
    <row r="320" spans="1:6" x14ac:dyDescent="0.3">
      <c r="A320" t="e">
        <f ca="1"/>
        <v>#NAME?</v>
      </c>
      <c r="B320" t="e">
        <f ca="1"/>
        <v>#NAME?</v>
      </c>
      <c r="C320" t="e">
        <f ca="1"/>
        <v>#NAME?</v>
      </c>
      <c r="D320" t="e">
        <f ca="1"/>
        <v>#NAME?</v>
      </c>
      <c r="E320" t="e">
        <f ca="1"/>
        <v>#NAME?</v>
      </c>
      <c r="F320" t="e">
        <f ca="1"/>
        <v>#NAME?</v>
      </c>
    </row>
    <row r="321" spans="1:6" x14ac:dyDescent="0.3">
      <c r="A321" t="e">
        <f ca="1"/>
        <v>#NAME?</v>
      </c>
      <c r="B321" t="e">
        <f ca="1"/>
        <v>#NAME?</v>
      </c>
      <c r="C321" t="e">
        <f ca="1"/>
        <v>#NAME?</v>
      </c>
      <c r="D321" t="e">
        <f ca="1"/>
        <v>#NAME?</v>
      </c>
      <c r="E321" t="e">
        <f ca="1"/>
        <v>#NAME?</v>
      </c>
      <c r="F321" t="e">
        <f ca="1"/>
        <v>#NAME?</v>
      </c>
    </row>
    <row r="322" spans="1:6" x14ac:dyDescent="0.3">
      <c r="A322" t="e">
        <f ca="1"/>
        <v>#NAME?</v>
      </c>
      <c r="B322" t="e">
        <f ca="1"/>
        <v>#NAME?</v>
      </c>
      <c r="C322" t="e">
        <f ca="1"/>
        <v>#NAME?</v>
      </c>
      <c r="D322" t="e">
        <f ca="1"/>
        <v>#NAME?</v>
      </c>
      <c r="E322" t="e">
        <f ca="1"/>
        <v>#NAME?</v>
      </c>
      <c r="F322" t="e">
        <f ca="1"/>
        <v>#NAME?</v>
      </c>
    </row>
    <row r="323" spans="1:6" x14ac:dyDescent="0.3">
      <c r="A323" t="e">
        <f ca="1"/>
        <v>#NAME?</v>
      </c>
      <c r="B323" t="e">
        <f ca="1"/>
        <v>#NAME?</v>
      </c>
      <c r="C323" t="e">
        <f ca="1"/>
        <v>#NAME?</v>
      </c>
      <c r="D323" t="e">
        <f ca="1"/>
        <v>#NAME?</v>
      </c>
      <c r="E323" t="e">
        <f ca="1"/>
        <v>#NAME?</v>
      </c>
      <c r="F323" t="e">
        <f ca="1"/>
        <v>#NAME?</v>
      </c>
    </row>
    <row r="324" spans="1:6" x14ac:dyDescent="0.3">
      <c r="A324" t="e">
        <f ca="1"/>
        <v>#NAME?</v>
      </c>
      <c r="B324" t="e">
        <f ca="1"/>
        <v>#NAME?</v>
      </c>
      <c r="C324" t="e">
        <f ca="1"/>
        <v>#NAME?</v>
      </c>
      <c r="D324" t="e">
        <f ca="1"/>
        <v>#NAME?</v>
      </c>
      <c r="E324" t="e">
        <f ca="1"/>
        <v>#NAME?</v>
      </c>
      <c r="F324" t="e">
        <f ca="1"/>
        <v>#NAME?</v>
      </c>
    </row>
    <row r="325" spans="1:6" x14ac:dyDescent="0.3">
      <c r="A325" t="e">
        <f ca="1"/>
        <v>#NAME?</v>
      </c>
      <c r="B325" t="e">
        <f ca="1"/>
        <v>#NAME?</v>
      </c>
      <c r="C325" t="e">
        <f ca="1"/>
        <v>#NAME?</v>
      </c>
      <c r="D325" t="e">
        <f ca="1"/>
        <v>#NAME?</v>
      </c>
      <c r="E325" t="e">
        <f ca="1"/>
        <v>#NAME?</v>
      </c>
      <c r="F325" t="e">
        <f ca="1"/>
        <v>#NAME?</v>
      </c>
    </row>
    <row r="326" spans="1:6" x14ac:dyDescent="0.3">
      <c r="A326" t="e">
        <f ca="1"/>
        <v>#NAME?</v>
      </c>
      <c r="B326" t="e">
        <f ca="1"/>
        <v>#NAME?</v>
      </c>
      <c r="C326" t="e">
        <f ca="1"/>
        <v>#NAME?</v>
      </c>
      <c r="D326" t="e">
        <f ca="1"/>
        <v>#NAME?</v>
      </c>
      <c r="E326" t="e">
        <f ca="1"/>
        <v>#NAME?</v>
      </c>
      <c r="F326" t="e">
        <f ca="1"/>
        <v>#NAME?</v>
      </c>
    </row>
    <row r="327" spans="1:6" x14ac:dyDescent="0.3">
      <c r="A327" t="e">
        <f ca="1"/>
        <v>#NAME?</v>
      </c>
      <c r="B327" t="e">
        <f ca="1"/>
        <v>#NAME?</v>
      </c>
      <c r="C327" t="e">
        <f ca="1"/>
        <v>#NAME?</v>
      </c>
      <c r="D327" t="e">
        <f ca="1"/>
        <v>#NAME?</v>
      </c>
      <c r="E327" t="e">
        <f ca="1"/>
        <v>#NAME?</v>
      </c>
      <c r="F327" t="e">
        <f ca="1"/>
        <v>#NAME?</v>
      </c>
    </row>
    <row r="328" spans="1:6" x14ac:dyDescent="0.3">
      <c r="A328" t="e">
        <f ca="1"/>
        <v>#NAME?</v>
      </c>
      <c r="B328" t="e">
        <f ca="1"/>
        <v>#NAME?</v>
      </c>
      <c r="C328" t="e">
        <f ca="1"/>
        <v>#NAME?</v>
      </c>
      <c r="D328" t="e">
        <f ca="1"/>
        <v>#NAME?</v>
      </c>
      <c r="E328" t="e">
        <f ca="1"/>
        <v>#NAME?</v>
      </c>
      <c r="F328" t="e">
        <f ca="1"/>
        <v>#NAME?</v>
      </c>
    </row>
    <row r="329" spans="1:6" x14ac:dyDescent="0.3">
      <c r="A329" t="e">
        <f ca="1"/>
        <v>#NAME?</v>
      </c>
      <c r="B329" t="e">
        <f ca="1"/>
        <v>#NAME?</v>
      </c>
      <c r="C329" t="e">
        <f ca="1"/>
        <v>#NAME?</v>
      </c>
      <c r="D329" t="e">
        <f ca="1"/>
        <v>#NAME?</v>
      </c>
      <c r="E329" t="e">
        <f ca="1"/>
        <v>#NAME?</v>
      </c>
      <c r="F329" t="e">
        <f ca="1"/>
        <v>#NAME?</v>
      </c>
    </row>
    <row r="330" spans="1:6" x14ac:dyDescent="0.3">
      <c r="A330" t="e">
        <f ca="1"/>
        <v>#NAME?</v>
      </c>
      <c r="B330" t="e">
        <f ca="1"/>
        <v>#NAME?</v>
      </c>
      <c r="C330" t="e">
        <f ca="1"/>
        <v>#NAME?</v>
      </c>
      <c r="D330" t="e">
        <f ca="1"/>
        <v>#NAME?</v>
      </c>
      <c r="E330" t="e">
        <f ca="1"/>
        <v>#NAME?</v>
      </c>
      <c r="F330" t="e">
        <f ca="1"/>
        <v>#NAME?</v>
      </c>
    </row>
    <row r="331" spans="1:6" x14ac:dyDescent="0.3">
      <c r="A331" t="e">
        <f ca="1"/>
        <v>#NAME?</v>
      </c>
      <c r="B331" t="e">
        <f ca="1"/>
        <v>#NAME?</v>
      </c>
      <c r="C331" t="e">
        <f ca="1"/>
        <v>#NAME?</v>
      </c>
      <c r="D331" t="e">
        <f ca="1"/>
        <v>#NAME?</v>
      </c>
      <c r="E331" t="e">
        <f ca="1"/>
        <v>#NAME?</v>
      </c>
      <c r="F331" t="e">
        <f ca="1"/>
        <v>#NAME?</v>
      </c>
    </row>
    <row r="332" spans="1:6" x14ac:dyDescent="0.3">
      <c r="A332" t="e">
        <f ca="1"/>
        <v>#NAME?</v>
      </c>
      <c r="B332" t="e">
        <f ca="1"/>
        <v>#NAME?</v>
      </c>
      <c r="C332" t="e">
        <f ca="1"/>
        <v>#NAME?</v>
      </c>
      <c r="D332" t="e">
        <f ca="1"/>
        <v>#NAME?</v>
      </c>
      <c r="E332" t="e">
        <f ca="1"/>
        <v>#NAME?</v>
      </c>
      <c r="F332" t="e">
        <f ca="1"/>
        <v>#NAME?</v>
      </c>
    </row>
    <row r="333" spans="1:6" x14ac:dyDescent="0.3">
      <c r="A333" t="e">
        <f ca="1"/>
        <v>#NAME?</v>
      </c>
      <c r="B333" t="e">
        <f ca="1"/>
        <v>#NAME?</v>
      </c>
      <c r="C333" t="e">
        <f ca="1"/>
        <v>#NAME?</v>
      </c>
      <c r="D333" t="e">
        <f ca="1"/>
        <v>#NAME?</v>
      </c>
      <c r="E333" t="e">
        <f ca="1"/>
        <v>#NAME?</v>
      </c>
      <c r="F333" t="e">
        <f ca="1"/>
        <v>#NAME?</v>
      </c>
    </row>
    <row r="334" spans="1:6" x14ac:dyDescent="0.3">
      <c r="A334" t="e">
        <f ca="1"/>
        <v>#NAME?</v>
      </c>
      <c r="B334" t="e">
        <f ca="1"/>
        <v>#NAME?</v>
      </c>
      <c r="C334" t="e">
        <f ca="1"/>
        <v>#NAME?</v>
      </c>
      <c r="D334" t="e">
        <f ca="1"/>
        <v>#NAME?</v>
      </c>
      <c r="E334" t="e">
        <f ca="1"/>
        <v>#NAME?</v>
      </c>
      <c r="F334" t="e">
        <f ca="1"/>
        <v>#NAME?</v>
      </c>
    </row>
    <row r="335" spans="1:6" x14ac:dyDescent="0.3">
      <c r="A335" t="e">
        <f ca="1"/>
        <v>#NAME?</v>
      </c>
      <c r="B335" t="e">
        <f ca="1"/>
        <v>#NAME?</v>
      </c>
      <c r="C335" t="e">
        <f ca="1"/>
        <v>#NAME?</v>
      </c>
      <c r="D335" t="e">
        <f ca="1"/>
        <v>#NAME?</v>
      </c>
      <c r="E335" t="e">
        <f ca="1"/>
        <v>#NAME?</v>
      </c>
      <c r="F335" t="e">
        <f ca="1"/>
        <v>#NAME?</v>
      </c>
    </row>
    <row r="336" spans="1:6" x14ac:dyDescent="0.3">
      <c r="A336" t="e">
        <f ca="1"/>
        <v>#NAME?</v>
      </c>
      <c r="B336" t="e">
        <f ca="1"/>
        <v>#NAME?</v>
      </c>
      <c r="C336" t="e">
        <f ca="1"/>
        <v>#NAME?</v>
      </c>
      <c r="D336" t="e">
        <f ca="1"/>
        <v>#NAME?</v>
      </c>
      <c r="E336" t="e">
        <f ca="1"/>
        <v>#NAME?</v>
      </c>
      <c r="F336" t="e">
        <f ca="1"/>
        <v>#NAME?</v>
      </c>
    </row>
    <row r="337" spans="1:6" x14ac:dyDescent="0.3">
      <c r="A337" t="e">
        <f ca="1"/>
        <v>#NAME?</v>
      </c>
      <c r="B337" t="e">
        <f ca="1"/>
        <v>#NAME?</v>
      </c>
      <c r="C337" t="e">
        <f ca="1"/>
        <v>#NAME?</v>
      </c>
      <c r="D337" t="e">
        <f ca="1"/>
        <v>#NAME?</v>
      </c>
      <c r="E337" t="e">
        <f ca="1"/>
        <v>#NAME?</v>
      </c>
      <c r="F337" t="e">
        <f ca="1"/>
        <v>#NAME?</v>
      </c>
    </row>
    <row r="338" spans="1:6" x14ac:dyDescent="0.3">
      <c r="A338" t="e">
        <f ca="1"/>
        <v>#NAME?</v>
      </c>
      <c r="B338" t="e">
        <f ca="1"/>
        <v>#NAME?</v>
      </c>
      <c r="C338" t="e">
        <f ca="1"/>
        <v>#NAME?</v>
      </c>
      <c r="D338" t="e">
        <f ca="1"/>
        <v>#NAME?</v>
      </c>
      <c r="E338" t="e">
        <f ca="1"/>
        <v>#NAME?</v>
      </c>
      <c r="F338" t="e">
        <f ca="1"/>
        <v>#NAME?</v>
      </c>
    </row>
    <row r="339" spans="1:6" x14ac:dyDescent="0.3">
      <c r="A339" t="e">
        <f ca="1"/>
        <v>#NAME?</v>
      </c>
      <c r="B339" t="e">
        <f ca="1"/>
        <v>#NAME?</v>
      </c>
      <c r="C339" t="e">
        <f ca="1"/>
        <v>#NAME?</v>
      </c>
      <c r="D339" t="e">
        <f ca="1"/>
        <v>#NAME?</v>
      </c>
      <c r="E339" t="e">
        <f ca="1"/>
        <v>#NAME?</v>
      </c>
      <c r="F339" t="e">
        <f ca="1"/>
        <v>#NAME?</v>
      </c>
    </row>
    <row r="340" spans="1:6" x14ac:dyDescent="0.3">
      <c r="A340" t="e">
        <f ca="1"/>
        <v>#NAME?</v>
      </c>
      <c r="B340" t="e">
        <f ca="1"/>
        <v>#NAME?</v>
      </c>
      <c r="C340" t="e">
        <f ca="1"/>
        <v>#NAME?</v>
      </c>
      <c r="D340" t="e">
        <f ca="1"/>
        <v>#NAME?</v>
      </c>
      <c r="E340" t="e">
        <f ca="1"/>
        <v>#NAME?</v>
      </c>
      <c r="F340" t="e">
        <f ca="1"/>
        <v>#NAME?</v>
      </c>
    </row>
    <row r="341" spans="1:6" x14ac:dyDescent="0.3">
      <c r="A341" t="e">
        <f ca="1"/>
        <v>#NAME?</v>
      </c>
      <c r="B341" t="e">
        <f ca="1"/>
        <v>#NAME?</v>
      </c>
      <c r="C341" t="e">
        <f ca="1"/>
        <v>#NAME?</v>
      </c>
      <c r="D341" t="e">
        <f ca="1"/>
        <v>#NAME?</v>
      </c>
      <c r="E341" t="e">
        <f ca="1"/>
        <v>#NAME?</v>
      </c>
      <c r="F341" t="e">
        <f ca="1"/>
        <v>#NAME?</v>
      </c>
    </row>
    <row r="342" spans="1:6" x14ac:dyDescent="0.3">
      <c r="A342" t="e">
        <f ca="1"/>
        <v>#NAME?</v>
      </c>
      <c r="B342" t="e">
        <f ca="1"/>
        <v>#NAME?</v>
      </c>
      <c r="C342" t="e">
        <f ca="1"/>
        <v>#NAME?</v>
      </c>
      <c r="D342" t="e">
        <f ca="1"/>
        <v>#NAME?</v>
      </c>
      <c r="E342" t="e">
        <f ca="1"/>
        <v>#NAME?</v>
      </c>
      <c r="F342" t="e">
        <f ca="1"/>
        <v>#NAME?</v>
      </c>
    </row>
    <row r="343" spans="1:6" x14ac:dyDescent="0.3">
      <c r="A343" t="e">
        <f ca="1"/>
        <v>#NAME?</v>
      </c>
      <c r="B343" t="e">
        <f ca="1"/>
        <v>#NAME?</v>
      </c>
      <c r="C343" t="e">
        <f ca="1"/>
        <v>#NAME?</v>
      </c>
      <c r="D343" t="e">
        <f ca="1"/>
        <v>#NAME?</v>
      </c>
      <c r="E343" t="e">
        <f ca="1"/>
        <v>#NAME?</v>
      </c>
      <c r="F343" t="e">
        <f ca="1"/>
        <v>#NAME?</v>
      </c>
    </row>
    <row r="344" spans="1:6" x14ac:dyDescent="0.3">
      <c r="A344" t="e">
        <f ca="1"/>
        <v>#NAME?</v>
      </c>
      <c r="B344" t="e">
        <f ca="1"/>
        <v>#NAME?</v>
      </c>
      <c r="C344" t="e">
        <f ca="1"/>
        <v>#NAME?</v>
      </c>
      <c r="D344" t="e">
        <f ca="1"/>
        <v>#NAME?</v>
      </c>
      <c r="E344" t="e">
        <f ca="1"/>
        <v>#NAME?</v>
      </c>
      <c r="F344" t="e">
        <f ca="1"/>
        <v>#NAME?</v>
      </c>
    </row>
    <row r="345" spans="1:6" x14ac:dyDescent="0.3">
      <c r="A345" t="e">
        <f ca="1"/>
        <v>#NAME?</v>
      </c>
      <c r="B345" t="e">
        <f ca="1"/>
        <v>#NAME?</v>
      </c>
      <c r="C345" t="e">
        <f ca="1"/>
        <v>#NAME?</v>
      </c>
      <c r="D345" t="e">
        <f ca="1"/>
        <v>#NAME?</v>
      </c>
      <c r="E345" t="e">
        <f ca="1"/>
        <v>#NAME?</v>
      </c>
      <c r="F345" t="e">
        <f ca="1"/>
        <v>#NAME?</v>
      </c>
    </row>
    <row r="346" spans="1:6" x14ac:dyDescent="0.3">
      <c r="A346" t="e">
        <f ca="1"/>
        <v>#NAME?</v>
      </c>
      <c r="B346" t="e">
        <f ca="1"/>
        <v>#NAME?</v>
      </c>
      <c r="C346" t="e">
        <f ca="1"/>
        <v>#NAME?</v>
      </c>
      <c r="D346" t="e">
        <f ca="1"/>
        <v>#NAME?</v>
      </c>
      <c r="E346" t="e">
        <f ca="1"/>
        <v>#NAME?</v>
      </c>
      <c r="F346" t="e">
        <f ca="1"/>
        <v>#NAME?</v>
      </c>
    </row>
    <row r="347" spans="1:6" x14ac:dyDescent="0.3">
      <c r="A347" t="e">
        <f ca="1"/>
        <v>#NAME?</v>
      </c>
      <c r="B347" t="e">
        <f ca="1"/>
        <v>#NAME?</v>
      </c>
      <c r="C347" t="e">
        <f ca="1"/>
        <v>#NAME?</v>
      </c>
      <c r="D347" t="e">
        <f ca="1"/>
        <v>#NAME?</v>
      </c>
      <c r="E347" t="e">
        <f ca="1"/>
        <v>#NAME?</v>
      </c>
      <c r="F347" t="e">
        <f ca="1"/>
        <v>#NAME?</v>
      </c>
    </row>
    <row r="348" spans="1:6" x14ac:dyDescent="0.3">
      <c r="A348" t="e">
        <f ca="1"/>
        <v>#NAME?</v>
      </c>
      <c r="B348" t="e">
        <f ca="1"/>
        <v>#NAME?</v>
      </c>
      <c r="C348" t="e">
        <f ca="1"/>
        <v>#NAME?</v>
      </c>
      <c r="D348" t="e">
        <f ca="1"/>
        <v>#NAME?</v>
      </c>
      <c r="E348" t="e">
        <f ca="1"/>
        <v>#NAME?</v>
      </c>
      <c r="F348" t="e">
        <f ca="1"/>
        <v>#NAME?</v>
      </c>
    </row>
    <row r="349" spans="1:6" x14ac:dyDescent="0.3">
      <c r="A349" t="e">
        <f ca="1"/>
        <v>#NAME?</v>
      </c>
      <c r="B349" t="e">
        <f ca="1"/>
        <v>#NAME?</v>
      </c>
      <c r="C349" t="e">
        <f ca="1"/>
        <v>#NAME?</v>
      </c>
      <c r="D349" t="e">
        <f ca="1"/>
        <v>#NAME?</v>
      </c>
      <c r="E349" t="e">
        <f ca="1"/>
        <v>#NAME?</v>
      </c>
      <c r="F349" t="e">
        <f ca="1"/>
        <v>#NAME?</v>
      </c>
    </row>
    <row r="350" spans="1:6" x14ac:dyDescent="0.3">
      <c r="A350" t="e">
        <f ca="1"/>
        <v>#NAME?</v>
      </c>
      <c r="B350" t="e">
        <f ca="1"/>
        <v>#NAME?</v>
      </c>
      <c r="C350" t="e">
        <f ca="1"/>
        <v>#NAME?</v>
      </c>
      <c r="D350" t="e">
        <f ca="1"/>
        <v>#NAME?</v>
      </c>
      <c r="E350" t="e">
        <f ca="1"/>
        <v>#NAME?</v>
      </c>
      <c r="F350" t="e">
        <f ca="1"/>
        <v>#NAME?</v>
      </c>
    </row>
    <row r="351" spans="1:6" x14ac:dyDescent="0.3">
      <c r="A351" t="e">
        <f ca="1"/>
        <v>#NAME?</v>
      </c>
      <c r="B351" t="e">
        <f ca="1"/>
        <v>#NAME?</v>
      </c>
      <c r="C351" t="e">
        <f ca="1"/>
        <v>#NAME?</v>
      </c>
      <c r="D351" t="e">
        <f ca="1"/>
        <v>#NAME?</v>
      </c>
      <c r="E351" t="e">
        <f ca="1"/>
        <v>#NAME?</v>
      </c>
      <c r="F351" t="e">
        <f ca="1"/>
        <v>#NAME?</v>
      </c>
    </row>
    <row r="352" spans="1:6" x14ac:dyDescent="0.3">
      <c r="A352" t="e">
        <f ca="1"/>
        <v>#NAME?</v>
      </c>
      <c r="B352" t="e">
        <f ca="1"/>
        <v>#NAME?</v>
      </c>
      <c r="C352" t="e">
        <f ca="1"/>
        <v>#NAME?</v>
      </c>
      <c r="D352" t="e">
        <f ca="1"/>
        <v>#NAME?</v>
      </c>
      <c r="E352" t="e">
        <f ca="1"/>
        <v>#NAME?</v>
      </c>
      <c r="F352" t="e">
        <f ca="1"/>
        <v>#NAME?</v>
      </c>
    </row>
    <row r="353" spans="1:6" x14ac:dyDescent="0.3">
      <c r="A353" t="e">
        <f ca="1"/>
        <v>#NAME?</v>
      </c>
      <c r="B353" t="e">
        <f ca="1"/>
        <v>#NAME?</v>
      </c>
      <c r="C353" t="e">
        <f ca="1"/>
        <v>#NAME?</v>
      </c>
      <c r="D353" t="e">
        <f ca="1"/>
        <v>#NAME?</v>
      </c>
      <c r="E353" t="e">
        <f ca="1"/>
        <v>#NAME?</v>
      </c>
      <c r="F353" t="e">
        <f ca="1"/>
        <v>#NAME?</v>
      </c>
    </row>
    <row r="354" spans="1:6" x14ac:dyDescent="0.3">
      <c r="A354" t="e">
        <f ca="1"/>
        <v>#NAME?</v>
      </c>
      <c r="B354" t="e">
        <f ca="1"/>
        <v>#NAME?</v>
      </c>
      <c r="C354" t="e">
        <f ca="1"/>
        <v>#NAME?</v>
      </c>
      <c r="D354" t="e">
        <f ca="1"/>
        <v>#NAME?</v>
      </c>
      <c r="E354" t="e">
        <f ca="1"/>
        <v>#NAME?</v>
      </c>
      <c r="F354" t="e">
        <f ca="1"/>
        <v>#NAME?</v>
      </c>
    </row>
    <row r="355" spans="1:6" x14ac:dyDescent="0.3">
      <c r="A355" t="e">
        <f ca="1"/>
        <v>#NAME?</v>
      </c>
      <c r="B355" t="e">
        <f ca="1"/>
        <v>#NAME?</v>
      </c>
      <c r="C355" t="e">
        <f ca="1"/>
        <v>#NAME?</v>
      </c>
      <c r="D355" t="e">
        <f ca="1"/>
        <v>#NAME?</v>
      </c>
      <c r="E355" t="e">
        <f ca="1"/>
        <v>#NAME?</v>
      </c>
      <c r="F355" t="e">
        <f ca="1"/>
        <v>#NAME?</v>
      </c>
    </row>
    <row r="356" spans="1:6" x14ac:dyDescent="0.3">
      <c r="A356" t="e">
        <f ca="1"/>
        <v>#NAME?</v>
      </c>
      <c r="B356" t="e">
        <f ca="1"/>
        <v>#NAME?</v>
      </c>
      <c r="C356" t="e">
        <f ca="1"/>
        <v>#NAME?</v>
      </c>
      <c r="D356" t="e">
        <f ca="1"/>
        <v>#NAME?</v>
      </c>
      <c r="E356" t="e">
        <f ca="1"/>
        <v>#NAME?</v>
      </c>
      <c r="F356" t="e">
        <f ca="1"/>
        <v>#NAME?</v>
      </c>
    </row>
    <row r="357" spans="1:6" x14ac:dyDescent="0.3">
      <c r="A357" t="e">
        <f ca="1"/>
        <v>#NAME?</v>
      </c>
      <c r="B357" t="e">
        <f ca="1"/>
        <v>#NAME?</v>
      </c>
      <c r="C357" t="e">
        <f ca="1"/>
        <v>#NAME?</v>
      </c>
      <c r="D357" t="e">
        <f ca="1"/>
        <v>#NAME?</v>
      </c>
      <c r="E357" t="e">
        <f ca="1"/>
        <v>#NAME?</v>
      </c>
      <c r="F357" t="e">
        <f ca="1"/>
        <v>#NAME?</v>
      </c>
    </row>
    <row r="358" spans="1:6" x14ac:dyDescent="0.3">
      <c r="A358" t="e">
        <f ca="1"/>
        <v>#NAME?</v>
      </c>
      <c r="B358" t="e">
        <f ca="1"/>
        <v>#NAME?</v>
      </c>
      <c r="C358" t="e">
        <f ca="1"/>
        <v>#NAME?</v>
      </c>
      <c r="D358" t="e">
        <f ca="1"/>
        <v>#NAME?</v>
      </c>
      <c r="E358" t="e">
        <f ca="1"/>
        <v>#NAME?</v>
      </c>
      <c r="F358" t="e">
        <f ca="1"/>
        <v>#NAME?</v>
      </c>
    </row>
    <row r="359" spans="1:6" x14ac:dyDescent="0.3">
      <c r="A359" t="e">
        <f ca="1"/>
        <v>#NAME?</v>
      </c>
      <c r="B359" t="e">
        <f ca="1"/>
        <v>#NAME?</v>
      </c>
      <c r="C359" t="e">
        <f ca="1"/>
        <v>#NAME?</v>
      </c>
      <c r="D359" t="e">
        <f ca="1"/>
        <v>#NAME?</v>
      </c>
      <c r="E359" t="e">
        <f ca="1"/>
        <v>#NAME?</v>
      </c>
      <c r="F359" t="e">
        <f ca="1"/>
        <v>#NAME?</v>
      </c>
    </row>
    <row r="360" spans="1:6" x14ac:dyDescent="0.3">
      <c r="A360" t="e">
        <f ca="1"/>
        <v>#NAME?</v>
      </c>
      <c r="B360" t="e">
        <f ca="1"/>
        <v>#NAME?</v>
      </c>
      <c r="C360" t="e">
        <f ca="1"/>
        <v>#NAME?</v>
      </c>
      <c r="D360" t="e">
        <f ca="1"/>
        <v>#NAME?</v>
      </c>
      <c r="E360" t="e">
        <f ca="1"/>
        <v>#NAME?</v>
      </c>
      <c r="F360" t="e">
        <f ca="1"/>
        <v>#NAME?</v>
      </c>
    </row>
    <row r="361" spans="1:6" x14ac:dyDescent="0.3">
      <c r="A361" t="e">
        <f ca="1"/>
        <v>#NAME?</v>
      </c>
      <c r="B361" t="e">
        <f ca="1"/>
        <v>#NAME?</v>
      </c>
      <c r="C361" t="e">
        <f ca="1"/>
        <v>#NAME?</v>
      </c>
      <c r="D361" t="e">
        <f ca="1"/>
        <v>#NAME?</v>
      </c>
      <c r="E361" t="e">
        <f ca="1"/>
        <v>#NAME?</v>
      </c>
      <c r="F361" t="e">
        <f ca="1"/>
        <v>#NAME?</v>
      </c>
    </row>
    <row r="362" spans="1:6" x14ac:dyDescent="0.3">
      <c r="A362" t="e">
        <f ca="1"/>
        <v>#NAME?</v>
      </c>
      <c r="B362" t="e">
        <f ca="1"/>
        <v>#NAME?</v>
      </c>
      <c r="C362" t="e">
        <f ca="1"/>
        <v>#NAME?</v>
      </c>
      <c r="D362" t="e">
        <f ca="1"/>
        <v>#NAME?</v>
      </c>
      <c r="E362" t="e">
        <f ca="1"/>
        <v>#NAME?</v>
      </c>
      <c r="F362" t="e">
        <f ca="1"/>
        <v>#NAME?</v>
      </c>
    </row>
    <row r="363" spans="1:6" x14ac:dyDescent="0.3">
      <c r="A363" t="e">
        <f ca="1"/>
        <v>#NAME?</v>
      </c>
      <c r="B363" t="e">
        <f ca="1"/>
        <v>#NAME?</v>
      </c>
      <c r="C363" t="e">
        <f ca="1"/>
        <v>#NAME?</v>
      </c>
      <c r="D363" t="e">
        <f ca="1"/>
        <v>#NAME?</v>
      </c>
      <c r="E363" t="e">
        <f ca="1"/>
        <v>#NAME?</v>
      </c>
      <c r="F363" t="e">
        <f ca="1"/>
        <v>#NAME?</v>
      </c>
    </row>
    <row r="364" spans="1:6" x14ac:dyDescent="0.3">
      <c r="A364" t="e">
        <f ca="1"/>
        <v>#NAME?</v>
      </c>
      <c r="B364" t="e">
        <f ca="1"/>
        <v>#NAME?</v>
      </c>
      <c r="C364" t="e">
        <f ca="1"/>
        <v>#NAME?</v>
      </c>
      <c r="D364" t="e">
        <f ca="1"/>
        <v>#NAME?</v>
      </c>
      <c r="E364" t="e">
        <f ca="1"/>
        <v>#NAME?</v>
      </c>
      <c r="F364" t="e">
        <f ca="1"/>
        <v>#NAME?</v>
      </c>
    </row>
    <row r="365" spans="1:6" x14ac:dyDescent="0.3">
      <c r="A365" t="e">
        <f ca="1"/>
        <v>#NAME?</v>
      </c>
      <c r="B365" t="e">
        <f ca="1"/>
        <v>#NAME?</v>
      </c>
      <c r="C365" t="e">
        <f ca="1"/>
        <v>#NAME?</v>
      </c>
      <c r="D365" t="e">
        <f ca="1"/>
        <v>#NAME?</v>
      </c>
      <c r="E365" t="e">
        <f ca="1"/>
        <v>#NAME?</v>
      </c>
      <c r="F365" t="e">
        <f ca="1"/>
        <v>#NAME?</v>
      </c>
    </row>
    <row r="366" spans="1:6" x14ac:dyDescent="0.3">
      <c r="A366" t="e">
        <f ca="1"/>
        <v>#NAME?</v>
      </c>
      <c r="B366" t="e">
        <f ca="1"/>
        <v>#NAME?</v>
      </c>
      <c r="C366" t="e">
        <f ca="1"/>
        <v>#NAME?</v>
      </c>
      <c r="D366" t="e">
        <f ca="1"/>
        <v>#NAME?</v>
      </c>
      <c r="E366" t="e">
        <f ca="1"/>
        <v>#NAME?</v>
      </c>
      <c r="F366" t="e">
        <f ca="1"/>
        <v>#NAME?</v>
      </c>
    </row>
    <row r="367" spans="1:6" x14ac:dyDescent="0.3">
      <c r="A367" t="e">
        <f ca="1"/>
        <v>#NAME?</v>
      </c>
      <c r="B367" t="e">
        <f ca="1"/>
        <v>#NAME?</v>
      </c>
      <c r="C367" t="e">
        <f ca="1"/>
        <v>#NAME?</v>
      </c>
      <c r="D367" t="e">
        <f ca="1"/>
        <v>#NAME?</v>
      </c>
      <c r="E367" t="e">
        <f ca="1"/>
        <v>#NAME?</v>
      </c>
      <c r="F367" t="e">
        <f ca="1"/>
        <v>#NAME?</v>
      </c>
    </row>
    <row r="368" spans="1:6" x14ac:dyDescent="0.3">
      <c r="A368" t="e">
        <f ca="1"/>
        <v>#NAME?</v>
      </c>
      <c r="B368" t="e">
        <f ca="1"/>
        <v>#NAME?</v>
      </c>
      <c r="C368" t="e">
        <f ca="1"/>
        <v>#NAME?</v>
      </c>
      <c r="D368" t="e">
        <f ca="1"/>
        <v>#NAME?</v>
      </c>
      <c r="E368" t="e">
        <f ca="1"/>
        <v>#NAME?</v>
      </c>
      <c r="F368" t="e">
        <f ca="1"/>
        <v>#NAME?</v>
      </c>
    </row>
    <row r="369" spans="1:6" x14ac:dyDescent="0.3">
      <c r="A369" t="e">
        <f ca="1"/>
        <v>#NAME?</v>
      </c>
      <c r="B369" t="e">
        <f ca="1"/>
        <v>#NAME?</v>
      </c>
      <c r="C369" t="e">
        <f ca="1"/>
        <v>#NAME?</v>
      </c>
      <c r="D369" t="e">
        <f ca="1"/>
        <v>#NAME?</v>
      </c>
      <c r="F369" t="e">
        <f ca="1"/>
        <v>#NAME?</v>
      </c>
    </row>
    <row r="370" spans="1:6" x14ac:dyDescent="0.3">
      <c r="A370" t="e">
        <f ca="1"/>
        <v>#NAME?</v>
      </c>
      <c r="B370" t="e">
        <f ca="1"/>
        <v>#NAME?</v>
      </c>
      <c r="C370" t="e">
        <f ca="1"/>
        <v>#NAME?</v>
      </c>
      <c r="D370" t="e">
        <f ca="1"/>
        <v>#NAME?</v>
      </c>
      <c r="F370" t="e">
        <f ca="1"/>
        <v>#NAME?</v>
      </c>
    </row>
    <row r="371" spans="1:6" x14ac:dyDescent="0.3">
      <c r="A371" t="e">
        <f ca="1"/>
        <v>#NAME?</v>
      </c>
      <c r="B371" t="e">
        <f ca="1"/>
        <v>#NAME?</v>
      </c>
      <c r="C371" t="e">
        <f ca="1"/>
        <v>#NAME?</v>
      </c>
      <c r="D371" t="e">
        <f ca="1"/>
        <v>#NAME?</v>
      </c>
      <c r="F371" t="e">
        <f ca="1"/>
        <v>#NAME?</v>
      </c>
    </row>
    <row r="372" spans="1:6" x14ac:dyDescent="0.3">
      <c r="A372" t="e">
        <f ca="1"/>
        <v>#NAME?</v>
      </c>
      <c r="B372" t="e">
        <f ca="1"/>
        <v>#NAME?</v>
      </c>
      <c r="C372" t="e">
        <f ca="1"/>
        <v>#NAME?</v>
      </c>
      <c r="D372" t="e">
        <f ca="1"/>
        <v>#NAME?</v>
      </c>
      <c r="F372" t="e">
        <f ca="1"/>
        <v>#NAME?</v>
      </c>
    </row>
    <row r="373" spans="1:6" x14ac:dyDescent="0.3">
      <c r="A373" t="e">
        <f ca="1"/>
        <v>#NAME?</v>
      </c>
      <c r="B373" t="e">
        <f ca="1"/>
        <v>#NAME?</v>
      </c>
      <c r="C373" t="e">
        <f ca="1"/>
        <v>#NAME?</v>
      </c>
      <c r="D373" t="e">
        <f ca="1"/>
        <v>#NAME?</v>
      </c>
      <c r="F373" t="e">
        <f ca="1"/>
        <v>#NAME?</v>
      </c>
    </row>
    <row r="374" spans="1:6" x14ac:dyDescent="0.3">
      <c r="A374" t="e">
        <f ca="1"/>
        <v>#NAME?</v>
      </c>
      <c r="B374" t="e">
        <f ca="1"/>
        <v>#NAME?</v>
      </c>
      <c r="C374" t="e">
        <f ca="1"/>
        <v>#NAME?</v>
      </c>
      <c r="D374" t="e">
        <f ca="1"/>
        <v>#NAME?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4"/>
  <sheetViews>
    <sheetView workbookViewId="0">
      <selection activeCell="P11" sqref="P11"/>
    </sheetView>
  </sheetViews>
  <sheetFormatPr defaultRowHeight="16.5" x14ac:dyDescent="0.3"/>
  <cols>
    <col min="1" max="1" width="11.25" style="6" bestFit="1" customWidth="1"/>
    <col min="2" max="2" width="13.5" style="6" bestFit="1" customWidth="1"/>
    <col min="3" max="3" width="15.875" style="6" bestFit="1" customWidth="1"/>
    <col min="4" max="4" width="9.5" style="6" bestFit="1" customWidth="1"/>
    <col min="5" max="5" width="10.875" style="6" bestFit="1" customWidth="1"/>
    <col min="6" max="6" width="11.25" style="6" bestFit="1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>
        <v>2010.25</v>
      </c>
      <c r="B2">
        <v>2531.94</v>
      </c>
      <c r="C2">
        <v>343.38</v>
      </c>
      <c r="D2">
        <v>25626.03</v>
      </c>
      <c r="E2">
        <v>9382.51</v>
      </c>
      <c r="F2">
        <v>1471.16</v>
      </c>
    </row>
    <row r="3" spans="1:6" x14ac:dyDescent="0.3">
      <c r="A3">
        <v>2075.5700000000002</v>
      </c>
      <c r="B3">
        <v>2596.2600000000002</v>
      </c>
      <c r="C3">
        <v>349.2</v>
      </c>
      <c r="D3">
        <v>26667.27</v>
      </c>
      <c r="E3">
        <v>9759.4</v>
      </c>
      <c r="F3">
        <v>1529.73</v>
      </c>
    </row>
    <row r="4" spans="1:6" x14ac:dyDescent="0.3">
      <c r="A4">
        <v>2124.2800000000002</v>
      </c>
      <c r="B4">
        <v>2670.71</v>
      </c>
      <c r="C4">
        <v>357.05</v>
      </c>
      <c r="D4">
        <v>27090.81</v>
      </c>
      <c r="E4">
        <v>9836.06</v>
      </c>
      <c r="F4">
        <v>1557.59</v>
      </c>
    </row>
    <row r="5" spans="1:6" x14ac:dyDescent="0.3">
      <c r="A5">
        <v>2177.73</v>
      </c>
      <c r="B5">
        <v>2664.76</v>
      </c>
      <c r="C5">
        <v>357.84</v>
      </c>
      <c r="D5">
        <v>27569.19</v>
      </c>
      <c r="E5">
        <v>9969.61</v>
      </c>
      <c r="F5">
        <v>1566.1</v>
      </c>
    </row>
    <row r="6" spans="1:6" x14ac:dyDescent="0.3">
      <c r="A6">
        <v>2203.46</v>
      </c>
      <c r="B6">
        <v>2706.53</v>
      </c>
      <c r="C6">
        <v>359.71</v>
      </c>
      <c r="D6">
        <v>27930.74</v>
      </c>
      <c r="E6">
        <v>9932.26</v>
      </c>
      <c r="F6">
        <v>1564.63</v>
      </c>
    </row>
    <row r="7" spans="1:6" x14ac:dyDescent="0.3">
      <c r="A7">
        <v>2177.0500000000002</v>
      </c>
      <c r="B7">
        <v>2707.88</v>
      </c>
      <c r="C7">
        <v>358.07</v>
      </c>
      <c r="D7">
        <v>27946.32</v>
      </c>
      <c r="E7">
        <v>10064.780000000001</v>
      </c>
      <c r="F7">
        <v>1539.4</v>
      </c>
    </row>
    <row r="8" spans="1:6" x14ac:dyDescent="0.3">
      <c r="A8">
        <v>2196.09</v>
      </c>
      <c r="B8">
        <v>2775.6</v>
      </c>
      <c r="C8">
        <v>368.94</v>
      </c>
      <c r="D8">
        <v>27900.84</v>
      </c>
      <c r="E8">
        <v>10322.92</v>
      </c>
      <c r="F8">
        <v>1577.29</v>
      </c>
    </row>
    <row r="9" spans="1:6" x14ac:dyDescent="0.3">
      <c r="A9">
        <v>2230.5</v>
      </c>
      <c r="B9">
        <v>2792.67</v>
      </c>
      <c r="C9">
        <v>371.23</v>
      </c>
      <c r="D9">
        <v>28816.3</v>
      </c>
      <c r="E9">
        <v>10389.17</v>
      </c>
      <c r="F9">
        <v>1609.52</v>
      </c>
    </row>
    <row r="10" spans="1:6" x14ac:dyDescent="0.3">
      <c r="A10">
        <v>2195.44</v>
      </c>
      <c r="B10">
        <v>2803.69</v>
      </c>
      <c r="C10">
        <v>374.24</v>
      </c>
      <c r="D10">
        <v>28812.17</v>
      </c>
      <c r="E10">
        <v>10241.75</v>
      </c>
      <c r="F10">
        <v>1615.72</v>
      </c>
    </row>
    <row r="11" spans="1:6" x14ac:dyDescent="0.3">
      <c r="A11">
        <v>2137.44</v>
      </c>
      <c r="B11">
        <v>2743.07</v>
      </c>
      <c r="C11">
        <v>370.57</v>
      </c>
      <c r="D11">
        <v>28228.42</v>
      </c>
      <c r="E11">
        <v>10439.24</v>
      </c>
      <c r="F11">
        <v>1572.44</v>
      </c>
    </row>
    <row r="12" spans="1:6" x14ac:dyDescent="0.3">
      <c r="A12">
        <v>2176.11</v>
      </c>
      <c r="B12">
        <v>2822.48</v>
      </c>
      <c r="C12">
        <v>381.1</v>
      </c>
      <c r="D12">
        <v>29012.26</v>
      </c>
      <c r="E12">
        <v>10639.07</v>
      </c>
      <c r="F12">
        <v>1602.63</v>
      </c>
    </row>
    <row r="13" spans="1:6" x14ac:dyDescent="0.3">
      <c r="A13">
        <v>2186.9499999999998</v>
      </c>
      <c r="B13">
        <v>2800.71</v>
      </c>
      <c r="C13">
        <v>376.03</v>
      </c>
      <c r="D13">
        <v>29113.360000000001</v>
      </c>
      <c r="E13">
        <v>10641.04</v>
      </c>
      <c r="F13">
        <v>1617.11</v>
      </c>
    </row>
    <row r="14" spans="1:6" x14ac:dyDescent="0.3">
      <c r="A14">
        <v>2140.67</v>
      </c>
      <c r="B14">
        <v>2834.4</v>
      </c>
      <c r="C14">
        <v>379.09</v>
      </c>
      <c r="D14">
        <v>29051.360000000001</v>
      </c>
      <c r="E14">
        <v>10704.38</v>
      </c>
      <c r="F14">
        <v>1591.64</v>
      </c>
    </row>
    <row r="15" spans="1:6" x14ac:dyDescent="0.3">
      <c r="A15">
        <v>2209.61</v>
      </c>
      <c r="B15">
        <v>2892.74</v>
      </c>
      <c r="C15">
        <v>388.23</v>
      </c>
      <c r="D15">
        <v>29936.32</v>
      </c>
      <c r="E15">
        <v>10805.3</v>
      </c>
      <c r="F15">
        <v>1625.75</v>
      </c>
    </row>
    <row r="16" spans="1:6" x14ac:dyDescent="0.3">
      <c r="A16">
        <v>2233.4499999999998</v>
      </c>
      <c r="B16">
        <v>2907.41</v>
      </c>
      <c r="C16">
        <v>387.53</v>
      </c>
      <c r="D16">
        <v>29909.759999999998</v>
      </c>
      <c r="E16">
        <v>10968.5</v>
      </c>
      <c r="F16">
        <v>1605.4</v>
      </c>
    </row>
    <row r="17" spans="1:6" x14ac:dyDescent="0.3">
      <c r="A17">
        <v>2216.15</v>
      </c>
      <c r="B17">
        <v>2905.03</v>
      </c>
      <c r="C17">
        <v>390.46</v>
      </c>
      <c r="D17">
        <v>29963.26</v>
      </c>
      <c r="E17">
        <v>10952.47</v>
      </c>
      <c r="F17">
        <v>1616.93</v>
      </c>
    </row>
    <row r="18" spans="1:6" x14ac:dyDescent="0.3">
      <c r="A18">
        <v>2179.31</v>
      </c>
      <c r="B18">
        <v>2939.88</v>
      </c>
      <c r="C18">
        <v>391.01</v>
      </c>
      <c r="D18">
        <v>29605.01</v>
      </c>
      <c r="E18">
        <v>11096.3</v>
      </c>
      <c r="F18">
        <v>1617.93</v>
      </c>
    </row>
    <row r="19" spans="1:6" x14ac:dyDescent="0.3">
      <c r="A19">
        <v>2196.3200000000002</v>
      </c>
      <c r="B19">
        <v>2945.64</v>
      </c>
      <c r="C19">
        <v>390.37</v>
      </c>
      <c r="D19">
        <v>30081.55</v>
      </c>
      <c r="E19">
        <v>10712.99</v>
      </c>
      <c r="F19">
        <v>1549.42</v>
      </c>
    </row>
    <row r="20" spans="1:6" x14ac:dyDescent="0.3">
      <c r="A20">
        <v>2108.04</v>
      </c>
      <c r="B20">
        <v>2881.4</v>
      </c>
      <c r="C20">
        <v>377.14</v>
      </c>
      <c r="D20">
        <v>28550.240000000002</v>
      </c>
      <c r="E20">
        <v>10384.11</v>
      </c>
      <c r="F20">
        <v>1554.25</v>
      </c>
    </row>
    <row r="21" spans="1:6" x14ac:dyDescent="0.3">
      <c r="A21">
        <v>2055.8000000000002</v>
      </c>
      <c r="B21">
        <v>2859.53</v>
      </c>
      <c r="C21">
        <v>381.51</v>
      </c>
      <c r="D21">
        <v>27946.46</v>
      </c>
      <c r="E21">
        <v>10328.280000000001</v>
      </c>
      <c r="F21">
        <v>1541.21</v>
      </c>
    </row>
    <row r="22" spans="1:6" x14ac:dyDescent="0.3">
      <c r="A22">
        <v>2045.31</v>
      </c>
      <c r="B22">
        <v>2826.06</v>
      </c>
      <c r="C22">
        <v>375.89</v>
      </c>
      <c r="D22">
        <v>27353.93</v>
      </c>
      <c r="E22">
        <v>10498.49</v>
      </c>
      <c r="F22">
        <v>1512.28</v>
      </c>
    </row>
    <row r="23" spans="1:6" x14ac:dyDescent="0.3">
      <c r="A23">
        <v>2041.74</v>
      </c>
      <c r="B23">
        <v>2752.06</v>
      </c>
      <c r="C23">
        <v>369.06</v>
      </c>
      <c r="D23">
        <v>26901.09</v>
      </c>
      <c r="E23">
        <v>10409.200000000001</v>
      </c>
      <c r="F23">
        <v>1532.39</v>
      </c>
    </row>
    <row r="24" spans="1:6" x14ac:dyDescent="0.3">
      <c r="A24">
        <v>2072.33</v>
      </c>
      <c r="B24">
        <v>2873.34</v>
      </c>
      <c r="C24">
        <v>377.48</v>
      </c>
      <c r="D24">
        <v>26965.279999999999</v>
      </c>
      <c r="E24">
        <v>10524.67</v>
      </c>
      <c r="F24">
        <v>1546.71</v>
      </c>
    </row>
    <row r="25" spans="1:6" x14ac:dyDescent="0.3">
      <c r="A25">
        <v>2095.41</v>
      </c>
      <c r="B25">
        <v>2886.98</v>
      </c>
      <c r="C25">
        <v>378.81</v>
      </c>
      <c r="D25">
        <v>27118.35</v>
      </c>
      <c r="E25">
        <v>10803.77</v>
      </c>
      <c r="F25">
        <v>1545.9</v>
      </c>
    </row>
    <row r="26" spans="1:6" x14ac:dyDescent="0.3">
      <c r="A26">
        <v>2125.62</v>
      </c>
      <c r="B26">
        <v>2950.46</v>
      </c>
      <c r="C26">
        <v>384.76</v>
      </c>
      <c r="D26">
        <v>28473.71</v>
      </c>
      <c r="E26">
        <v>10730.83</v>
      </c>
      <c r="F26">
        <v>1551.14</v>
      </c>
    </row>
    <row r="27" spans="1:6" x14ac:dyDescent="0.3">
      <c r="A27">
        <v>2130.62</v>
      </c>
      <c r="B27">
        <v>2941.76</v>
      </c>
      <c r="C27">
        <v>384.87</v>
      </c>
      <c r="D27">
        <v>28542.62</v>
      </c>
      <c r="E27">
        <v>10785.73</v>
      </c>
      <c r="F27">
        <v>1592.58</v>
      </c>
    </row>
    <row r="28" spans="1:6" x14ac:dyDescent="0.3">
      <c r="A28">
        <v>2110.59</v>
      </c>
      <c r="B28">
        <v>2990.41</v>
      </c>
      <c r="C28">
        <v>390.11</v>
      </c>
      <c r="D28">
        <v>28774.83</v>
      </c>
      <c r="E28">
        <v>10824.35</v>
      </c>
      <c r="F28">
        <v>1576.31</v>
      </c>
    </row>
    <row r="29" spans="1:6" x14ac:dyDescent="0.3">
      <c r="A29">
        <v>2086.66</v>
      </c>
      <c r="B29">
        <v>3013.77</v>
      </c>
      <c r="C29">
        <v>386.85</v>
      </c>
      <c r="D29">
        <v>28471.62</v>
      </c>
      <c r="E29">
        <v>10873.19</v>
      </c>
      <c r="F29">
        <v>1563.96</v>
      </c>
    </row>
    <row r="30" spans="1:6" x14ac:dyDescent="0.3">
      <c r="A30">
        <v>2094.36</v>
      </c>
      <c r="B30">
        <v>2976.61</v>
      </c>
      <c r="C30">
        <v>387.25</v>
      </c>
      <c r="D30">
        <v>28765.4</v>
      </c>
      <c r="E30">
        <v>10891.98</v>
      </c>
      <c r="F30">
        <v>1571.52</v>
      </c>
    </row>
    <row r="31" spans="1:6" x14ac:dyDescent="0.3">
      <c r="A31">
        <v>2066.2600000000002</v>
      </c>
      <c r="B31">
        <v>3025.86</v>
      </c>
      <c r="C31">
        <v>390.73</v>
      </c>
      <c r="D31">
        <v>28397.74</v>
      </c>
      <c r="E31">
        <v>10549.04</v>
      </c>
      <c r="F31">
        <v>1533.46</v>
      </c>
    </row>
    <row r="32" spans="1:6" x14ac:dyDescent="0.3">
      <c r="A32">
        <v>1998.13</v>
      </c>
      <c r="B32">
        <v>2932.05</v>
      </c>
      <c r="C32">
        <v>378.15</v>
      </c>
      <c r="D32">
        <v>26918.58</v>
      </c>
      <c r="E32">
        <v>10494.49</v>
      </c>
      <c r="F32">
        <v>1503.84</v>
      </c>
    </row>
    <row r="33" spans="1:6" x14ac:dyDescent="0.3">
      <c r="A33">
        <v>1937.75</v>
      </c>
      <c r="B33">
        <v>2918.65</v>
      </c>
      <c r="C33">
        <v>371.56</v>
      </c>
      <c r="D33">
        <v>25939.3</v>
      </c>
      <c r="E33">
        <v>10420.89</v>
      </c>
      <c r="F33">
        <v>1485.29</v>
      </c>
    </row>
    <row r="34" spans="1:6" x14ac:dyDescent="0.3">
      <c r="A34">
        <v>1927.17</v>
      </c>
      <c r="B34">
        <v>2888.68</v>
      </c>
      <c r="C34">
        <v>369.63</v>
      </c>
      <c r="D34">
        <v>25734.22</v>
      </c>
      <c r="E34">
        <v>10538.11</v>
      </c>
      <c r="F34">
        <v>1502.25</v>
      </c>
    </row>
    <row r="35" spans="1:6" x14ac:dyDescent="0.3">
      <c r="A35">
        <v>1948.3</v>
      </c>
      <c r="B35">
        <v>2847.11</v>
      </c>
      <c r="C35">
        <v>371.36</v>
      </c>
      <c r="D35">
        <v>26179.33</v>
      </c>
      <c r="E35">
        <v>10618.05</v>
      </c>
      <c r="F35">
        <v>1511.86</v>
      </c>
    </row>
    <row r="36" spans="1:6" x14ac:dyDescent="0.3">
      <c r="A36">
        <v>1967.79</v>
      </c>
      <c r="B36">
        <v>2926.46</v>
      </c>
      <c r="C36">
        <v>379.48</v>
      </c>
      <c r="D36">
        <v>25724.73</v>
      </c>
      <c r="E36">
        <v>10780.64</v>
      </c>
      <c r="F36">
        <v>1537.1</v>
      </c>
    </row>
    <row r="37" spans="1:6" x14ac:dyDescent="0.3">
      <c r="A37">
        <v>2009.13</v>
      </c>
      <c r="B37">
        <v>2978.71</v>
      </c>
      <c r="C37">
        <v>387.14</v>
      </c>
      <c r="D37">
        <v>26690.76</v>
      </c>
      <c r="E37">
        <v>10827.55</v>
      </c>
      <c r="F37">
        <v>1609.87</v>
      </c>
    </row>
    <row r="38" spans="1:6" x14ac:dyDescent="0.3">
      <c r="A38">
        <v>2049.1999999999998</v>
      </c>
      <c r="B38">
        <v>3007.39</v>
      </c>
      <c r="C38">
        <v>391.79</v>
      </c>
      <c r="D38">
        <v>27352.69</v>
      </c>
      <c r="E38">
        <v>10929.69</v>
      </c>
      <c r="F38">
        <v>1616.23</v>
      </c>
    </row>
    <row r="39" spans="1:6" x14ac:dyDescent="0.3">
      <c r="A39">
        <v>2091.52</v>
      </c>
      <c r="B39">
        <v>2992.07</v>
      </c>
      <c r="C39">
        <v>392.95</v>
      </c>
      <c r="D39">
        <v>26435.67</v>
      </c>
      <c r="E39">
        <v>10829.68</v>
      </c>
      <c r="F39">
        <v>1604.25</v>
      </c>
    </row>
    <row r="40" spans="1:6" x14ac:dyDescent="0.3">
      <c r="A40">
        <v>2049.9299999999998</v>
      </c>
      <c r="B40">
        <v>2961.79</v>
      </c>
      <c r="C40">
        <v>391.79</v>
      </c>
      <c r="D40">
        <v>25954.81</v>
      </c>
      <c r="E40">
        <v>10894.48</v>
      </c>
      <c r="F40">
        <v>1572.9</v>
      </c>
    </row>
    <row r="41" spans="1:6" x14ac:dyDescent="0.3">
      <c r="A41">
        <v>2020.69</v>
      </c>
      <c r="B41">
        <v>2952.01</v>
      </c>
      <c r="C41">
        <v>380.22</v>
      </c>
      <c r="D41">
        <v>25821.03</v>
      </c>
      <c r="E41">
        <v>10889.96</v>
      </c>
      <c r="F41">
        <v>1595.27</v>
      </c>
    </row>
    <row r="42" spans="1:6" x14ac:dyDescent="0.3">
      <c r="A42">
        <v>2044.61</v>
      </c>
      <c r="B42">
        <v>2970.27</v>
      </c>
      <c r="C42">
        <v>391.61</v>
      </c>
      <c r="D42">
        <v>26308.44</v>
      </c>
      <c r="E42">
        <v>11180.22</v>
      </c>
      <c r="F42">
        <v>1621.99</v>
      </c>
    </row>
    <row r="43" spans="1:6" x14ac:dyDescent="0.3">
      <c r="A43">
        <v>2060.69</v>
      </c>
      <c r="B43">
        <v>2986.2</v>
      </c>
      <c r="C43">
        <v>391.84</v>
      </c>
      <c r="D43">
        <v>26719.58</v>
      </c>
      <c r="E43">
        <v>11296.12</v>
      </c>
      <c r="F43">
        <v>1648.44</v>
      </c>
    </row>
    <row r="44" spans="1:6" x14ac:dyDescent="0.3">
      <c r="A44">
        <v>2087.89</v>
      </c>
      <c r="B44">
        <v>3022.55</v>
      </c>
      <c r="C44">
        <v>398.01</v>
      </c>
      <c r="D44">
        <v>26667.39</v>
      </c>
      <c r="E44">
        <v>11399.53</v>
      </c>
      <c r="F44">
        <v>1666.5</v>
      </c>
    </row>
    <row r="45" spans="1:6" x14ac:dyDescent="0.3">
      <c r="A45">
        <v>2100.1999999999998</v>
      </c>
      <c r="B45">
        <v>3066.91</v>
      </c>
      <c r="C45">
        <v>399.43</v>
      </c>
      <c r="D45">
        <v>27100.76</v>
      </c>
      <c r="E45">
        <v>11579.54</v>
      </c>
      <c r="F45">
        <v>1702.77</v>
      </c>
    </row>
    <row r="46" spans="1:6" x14ac:dyDescent="0.3">
      <c r="A46">
        <v>2137.23</v>
      </c>
      <c r="B46">
        <v>3093.08</v>
      </c>
      <c r="C46">
        <v>405.42</v>
      </c>
      <c r="D46">
        <v>27651.14</v>
      </c>
      <c r="E46">
        <v>11525.6</v>
      </c>
      <c r="F46">
        <v>1696.67</v>
      </c>
    </row>
    <row r="47" spans="1:6" x14ac:dyDescent="0.3">
      <c r="A47">
        <v>2162.1799999999998</v>
      </c>
      <c r="B47">
        <v>3120.46</v>
      </c>
      <c r="C47">
        <v>406.04</v>
      </c>
      <c r="D47">
        <v>26326.66</v>
      </c>
      <c r="E47">
        <v>11566.8</v>
      </c>
      <c r="F47">
        <v>1691.34</v>
      </c>
    </row>
    <row r="48" spans="1:6" x14ac:dyDescent="0.3">
      <c r="A48">
        <v>2101.96</v>
      </c>
      <c r="B48">
        <v>3110.29</v>
      </c>
      <c r="C48">
        <v>403.98</v>
      </c>
      <c r="D48">
        <v>26595.08</v>
      </c>
      <c r="E48">
        <v>11489.57</v>
      </c>
      <c r="F48">
        <v>1699.36</v>
      </c>
    </row>
    <row r="49" spans="1:6" x14ac:dyDescent="0.3">
      <c r="A49">
        <v>2087.96</v>
      </c>
      <c r="B49">
        <v>3140.98</v>
      </c>
      <c r="C49">
        <v>407.43</v>
      </c>
      <c r="D49">
        <v>26346.49</v>
      </c>
      <c r="E49">
        <v>11609.64</v>
      </c>
      <c r="F49">
        <v>1713.36</v>
      </c>
    </row>
    <row r="50" spans="1:6" x14ac:dyDescent="0.3">
      <c r="A50">
        <v>2081.85</v>
      </c>
      <c r="B50">
        <v>3145.91</v>
      </c>
      <c r="C50">
        <v>407.35</v>
      </c>
      <c r="D50">
        <v>26498.37</v>
      </c>
      <c r="E50">
        <v>11927.73</v>
      </c>
      <c r="F50">
        <v>1739.98</v>
      </c>
    </row>
    <row r="51" spans="1:6" x14ac:dyDescent="0.3">
      <c r="A51">
        <v>2170.25</v>
      </c>
      <c r="B51">
        <v>3168.8</v>
      </c>
      <c r="C51">
        <v>412.02</v>
      </c>
      <c r="D51">
        <v>27687.759999999998</v>
      </c>
      <c r="E51">
        <v>11959.08</v>
      </c>
      <c r="F51">
        <v>1733.07</v>
      </c>
    </row>
    <row r="52" spans="1:6" x14ac:dyDescent="0.3">
      <c r="A52">
        <v>2204.1799999999998</v>
      </c>
      <c r="B52">
        <v>3221.22</v>
      </c>
      <c r="C52">
        <v>418.4</v>
      </c>
      <c r="D52">
        <v>27871.35</v>
      </c>
      <c r="E52">
        <v>12091.59</v>
      </c>
      <c r="F52">
        <v>1733.18</v>
      </c>
    </row>
    <row r="53" spans="1:6" x14ac:dyDescent="0.3">
      <c r="A53">
        <v>2204.21</v>
      </c>
      <c r="B53">
        <v>3240.02</v>
      </c>
      <c r="C53">
        <v>419.74</v>
      </c>
      <c r="D53">
        <v>28225.42</v>
      </c>
      <c r="E53">
        <v>12110.43</v>
      </c>
      <c r="F53">
        <v>1721.36</v>
      </c>
    </row>
    <row r="54" spans="1:6" x14ac:dyDescent="0.3">
      <c r="A54">
        <v>2176.46</v>
      </c>
      <c r="B54">
        <v>3234.85</v>
      </c>
      <c r="C54">
        <v>418.33</v>
      </c>
      <c r="D54">
        <v>28451.5</v>
      </c>
      <c r="E54">
        <v>12024.65</v>
      </c>
      <c r="F54">
        <v>1735.16</v>
      </c>
    </row>
    <row r="55" spans="1:6" x14ac:dyDescent="0.3">
      <c r="A55">
        <v>2206.39</v>
      </c>
      <c r="B55">
        <v>3265.35</v>
      </c>
      <c r="C55">
        <v>419.14</v>
      </c>
      <c r="D55">
        <v>28638.2</v>
      </c>
      <c r="E55">
        <v>12090.29</v>
      </c>
      <c r="F55">
        <v>1735.44</v>
      </c>
    </row>
    <row r="56" spans="1:6" x14ac:dyDescent="0.3">
      <c r="A56">
        <v>2250.5700000000002</v>
      </c>
      <c r="B56">
        <v>3329.62</v>
      </c>
      <c r="C56">
        <v>424.56</v>
      </c>
      <c r="D56">
        <v>29056.42</v>
      </c>
      <c r="E56">
        <v>12118.71</v>
      </c>
      <c r="F56">
        <v>1730.44</v>
      </c>
    </row>
    <row r="57" spans="1:6" x14ac:dyDescent="0.3">
      <c r="A57">
        <v>2246.13</v>
      </c>
      <c r="B57">
        <v>3295.47</v>
      </c>
      <c r="C57">
        <v>423.64</v>
      </c>
      <c r="D57">
        <v>27949.64</v>
      </c>
      <c r="E57">
        <v>11495.1</v>
      </c>
      <c r="F57">
        <v>1684.44</v>
      </c>
    </row>
    <row r="58" spans="1:6" x14ac:dyDescent="0.3">
      <c r="A58">
        <v>2119.0100000000002</v>
      </c>
      <c r="B58">
        <v>3225.52</v>
      </c>
      <c r="C58">
        <v>410.71</v>
      </c>
      <c r="D58">
        <v>26312.63</v>
      </c>
      <c r="E58">
        <v>11612.81</v>
      </c>
      <c r="F58">
        <v>1732.14</v>
      </c>
    </row>
    <row r="59" spans="1:6" x14ac:dyDescent="0.3">
      <c r="A59">
        <v>2211.9499999999998</v>
      </c>
      <c r="B59">
        <v>3327.71</v>
      </c>
      <c r="C59">
        <v>424.36</v>
      </c>
      <c r="D59">
        <v>27404.27</v>
      </c>
      <c r="E59">
        <v>11815.7</v>
      </c>
      <c r="F59">
        <v>1702.87</v>
      </c>
    </row>
    <row r="60" spans="1:6" x14ac:dyDescent="0.3">
      <c r="A60">
        <v>2243.59</v>
      </c>
      <c r="B60">
        <v>3380.16</v>
      </c>
      <c r="C60">
        <v>430.52</v>
      </c>
      <c r="D60">
        <v>27815.599999999999</v>
      </c>
      <c r="E60">
        <v>11686.35</v>
      </c>
      <c r="F60">
        <v>1674</v>
      </c>
    </row>
    <row r="61" spans="1:6" x14ac:dyDescent="0.3">
      <c r="A61">
        <v>2162.84</v>
      </c>
      <c r="B61">
        <v>3337.75</v>
      </c>
      <c r="C61">
        <v>428.07</v>
      </c>
      <c r="D61">
        <v>27308.81</v>
      </c>
      <c r="E61">
        <v>11292.17</v>
      </c>
      <c r="F61">
        <v>1510.87</v>
      </c>
    </row>
    <row r="62" spans="1:6" x14ac:dyDescent="0.3">
      <c r="A62">
        <v>1987.01</v>
      </c>
      <c r="B62">
        <v>2954.22</v>
      </c>
      <c r="C62">
        <v>375.65</v>
      </c>
      <c r="D62">
        <v>26129.93</v>
      </c>
      <c r="E62">
        <v>11321.81</v>
      </c>
      <c r="F62">
        <v>1471.46</v>
      </c>
    </row>
    <row r="63" spans="1:6" x14ac:dyDescent="0.3">
      <c r="A63">
        <v>2040.22</v>
      </c>
      <c r="B63">
        <v>2972.37</v>
      </c>
      <c r="C63">
        <v>366.8</v>
      </c>
      <c r="D63">
        <v>26146.67</v>
      </c>
      <c r="E63">
        <v>10128.870000000001</v>
      </c>
      <c r="F63">
        <v>1261.7</v>
      </c>
    </row>
    <row r="64" spans="1:6" x14ac:dyDescent="0.3">
      <c r="A64">
        <v>1771.44</v>
      </c>
      <c r="B64">
        <v>2711.02</v>
      </c>
      <c r="C64">
        <v>299.16000000000003</v>
      </c>
      <c r="D64">
        <v>24032.91</v>
      </c>
      <c r="E64">
        <v>9234.09</v>
      </c>
      <c r="F64">
        <v>1283.22</v>
      </c>
    </row>
    <row r="65" spans="1:6" x14ac:dyDescent="0.3">
      <c r="A65">
        <v>1566.15</v>
      </c>
      <c r="B65">
        <v>2304.92</v>
      </c>
      <c r="C65">
        <v>293.04000000000002</v>
      </c>
      <c r="D65">
        <v>22805.07</v>
      </c>
      <c r="E65">
        <v>9698.92</v>
      </c>
      <c r="F65">
        <v>1459.49</v>
      </c>
    </row>
    <row r="66" spans="1:6" x14ac:dyDescent="0.3">
      <c r="A66">
        <v>1717.73</v>
      </c>
      <c r="B66">
        <v>2541.4699999999998</v>
      </c>
      <c r="C66">
        <v>310.89999999999998</v>
      </c>
      <c r="D66">
        <v>23484.28</v>
      </c>
      <c r="E66">
        <v>9663.6299999999992</v>
      </c>
      <c r="F66">
        <v>1325.13</v>
      </c>
    </row>
    <row r="67" spans="1:6" x14ac:dyDescent="0.3">
      <c r="A67">
        <v>1725.44</v>
      </c>
      <c r="B67">
        <v>2488.65</v>
      </c>
      <c r="C67">
        <v>309.06</v>
      </c>
      <c r="D67">
        <v>23236.11</v>
      </c>
      <c r="E67">
        <v>10157.61</v>
      </c>
      <c r="F67">
        <v>1430.04</v>
      </c>
    </row>
    <row r="68" spans="1:6" x14ac:dyDescent="0.3">
      <c r="A68">
        <v>1860.7</v>
      </c>
      <c r="B68">
        <v>2789.82</v>
      </c>
      <c r="C68">
        <v>331.8</v>
      </c>
      <c r="D68">
        <v>24300.33</v>
      </c>
      <c r="E68">
        <v>10597.04</v>
      </c>
      <c r="F68">
        <v>1442.54</v>
      </c>
    </row>
    <row r="69" spans="1:6" x14ac:dyDescent="0.3">
      <c r="A69">
        <v>1914.53</v>
      </c>
      <c r="B69">
        <v>2874.56</v>
      </c>
      <c r="C69">
        <v>333.47</v>
      </c>
      <c r="D69">
        <v>24380</v>
      </c>
      <c r="E69">
        <v>10347.36</v>
      </c>
      <c r="F69">
        <v>1421.29</v>
      </c>
    </row>
    <row r="70" spans="1:6" x14ac:dyDescent="0.3">
      <c r="A70">
        <v>1889.01</v>
      </c>
      <c r="B70">
        <v>2836.74</v>
      </c>
      <c r="C70">
        <v>329.59</v>
      </c>
      <c r="D70">
        <v>23831.33</v>
      </c>
      <c r="E70">
        <v>10992.14</v>
      </c>
      <c r="F70">
        <v>1431.26</v>
      </c>
    </row>
    <row r="71" spans="1:6" x14ac:dyDescent="0.3">
      <c r="A71">
        <v>1947.56</v>
      </c>
      <c r="B71">
        <v>2830.71</v>
      </c>
      <c r="C71">
        <v>337.39</v>
      </c>
      <c r="D71">
        <v>24643.59</v>
      </c>
      <c r="E71">
        <v>10901.42</v>
      </c>
      <c r="F71">
        <v>1458.28</v>
      </c>
    </row>
    <row r="72" spans="1:6" x14ac:dyDescent="0.3">
      <c r="A72">
        <v>1945.82</v>
      </c>
      <c r="B72">
        <v>2929.8</v>
      </c>
      <c r="C72">
        <v>341.05</v>
      </c>
      <c r="D72">
        <v>24230.17</v>
      </c>
      <c r="E72">
        <v>10814.92</v>
      </c>
      <c r="F72">
        <v>1453.77</v>
      </c>
    </row>
    <row r="73" spans="1:6" x14ac:dyDescent="0.3">
      <c r="A73">
        <v>1927.28</v>
      </c>
      <c r="B73">
        <v>2863.7</v>
      </c>
      <c r="C73">
        <v>328.24</v>
      </c>
      <c r="D73">
        <v>23797.47</v>
      </c>
      <c r="E73">
        <v>10811.15</v>
      </c>
      <c r="F73">
        <v>1477.8</v>
      </c>
    </row>
    <row r="74" spans="1:6" x14ac:dyDescent="0.3">
      <c r="A74">
        <v>1970.13</v>
      </c>
      <c r="B74">
        <v>2955.45</v>
      </c>
      <c r="C74">
        <v>340.17</v>
      </c>
      <c r="D74">
        <v>22930.14</v>
      </c>
      <c r="E74">
        <v>10942.16</v>
      </c>
      <c r="F74">
        <v>1563.67</v>
      </c>
    </row>
    <row r="75" spans="1:6" x14ac:dyDescent="0.3">
      <c r="A75">
        <v>2029.6</v>
      </c>
      <c r="B75">
        <v>3044.31</v>
      </c>
      <c r="C75">
        <v>350.36</v>
      </c>
      <c r="D75">
        <v>22961.47</v>
      </c>
      <c r="E75">
        <v>11479.4</v>
      </c>
      <c r="F75">
        <v>1612.48</v>
      </c>
    </row>
    <row r="76" spans="1:6" x14ac:dyDescent="0.3">
      <c r="A76">
        <v>2181.87</v>
      </c>
      <c r="B76">
        <v>3193.93</v>
      </c>
      <c r="C76">
        <v>375.32</v>
      </c>
      <c r="D76">
        <v>24770.41</v>
      </c>
      <c r="E76">
        <v>11429.94</v>
      </c>
      <c r="F76">
        <v>1570.68</v>
      </c>
    </row>
    <row r="77" spans="1:6" x14ac:dyDescent="0.3">
      <c r="A77">
        <v>2132.3000000000002</v>
      </c>
      <c r="B77">
        <v>3041.31</v>
      </c>
      <c r="C77">
        <v>354.06</v>
      </c>
      <c r="D77">
        <v>24301.38</v>
      </c>
      <c r="E77">
        <v>11549.86</v>
      </c>
      <c r="F77">
        <v>1582.8</v>
      </c>
    </row>
    <row r="78" spans="1:6" x14ac:dyDescent="0.3">
      <c r="A78">
        <v>2141.3200000000002</v>
      </c>
      <c r="B78">
        <v>3097.74</v>
      </c>
      <c r="C78">
        <v>365.46</v>
      </c>
      <c r="D78">
        <v>24643.89</v>
      </c>
      <c r="E78">
        <v>11660.67</v>
      </c>
      <c r="F78">
        <v>1577.37</v>
      </c>
    </row>
    <row r="79" spans="1:6" x14ac:dyDescent="0.3">
      <c r="A79">
        <v>2134.65</v>
      </c>
      <c r="B79">
        <v>3009.05</v>
      </c>
      <c r="C79">
        <v>358.32</v>
      </c>
      <c r="D79">
        <v>24549.99</v>
      </c>
      <c r="E79">
        <v>11909.16</v>
      </c>
      <c r="F79">
        <v>1552.33</v>
      </c>
    </row>
    <row r="80" spans="1:6" x14ac:dyDescent="0.3">
      <c r="A80">
        <v>2152.41</v>
      </c>
      <c r="B80">
        <v>3130.01</v>
      </c>
      <c r="C80">
        <v>365.43</v>
      </c>
      <c r="D80">
        <v>25373.119999999999</v>
      </c>
      <c r="E80">
        <v>12073.68</v>
      </c>
      <c r="F80">
        <v>1535.2</v>
      </c>
    </row>
    <row r="81" spans="1:6" x14ac:dyDescent="0.3">
      <c r="A81">
        <v>2150.25</v>
      </c>
      <c r="B81">
        <v>3185.04</v>
      </c>
      <c r="C81">
        <v>366.83</v>
      </c>
      <c r="D81">
        <v>25727.41</v>
      </c>
      <c r="E81">
        <v>12181.56</v>
      </c>
      <c r="F81">
        <v>1573.85</v>
      </c>
    </row>
    <row r="82" spans="1:6" x14ac:dyDescent="0.3">
      <c r="A82">
        <v>2201.19</v>
      </c>
      <c r="B82">
        <v>3224.73</v>
      </c>
      <c r="C82">
        <v>372.71</v>
      </c>
      <c r="D82">
        <v>25089.17</v>
      </c>
      <c r="E82">
        <v>12304.04</v>
      </c>
      <c r="F82">
        <v>1572.96</v>
      </c>
    </row>
    <row r="83" spans="1:6" x14ac:dyDescent="0.3">
      <c r="A83">
        <v>2200.44</v>
      </c>
      <c r="B83">
        <v>3215.63</v>
      </c>
      <c r="C83">
        <v>367.29</v>
      </c>
      <c r="D83">
        <v>24705.33</v>
      </c>
      <c r="E83">
        <v>12664.8</v>
      </c>
      <c r="F83">
        <v>1496.06</v>
      </c>
    </row>
    <row r="84" spans="1:6" x14ac:dyDescent="0.3">
      <c r="A84">
        <v>2249.37</v>
      </c>
      <c r="B84">
        <v>3271.12</v>
      </c>
      <c r="C84">
        <v>356.33</v>
      </c>
      <c r="D84">
        <v>24595.35</v>
      </c>
      <c r="E84">
        <v>12828.87</v>
      </c>
      <c r="F84">
        <v>1546.74</v>
      </c>
    </row>
    <row r="85" spans="1:6" x14ac:dyDescent="0.3">
      <c r="A85">
        <v>2351.67</v>
      </c>
      <c r="B85">
        <v>3351.28</v>
      </c>
      <c r="C85">
        <v>363.55</v>
      </c>
      <c r="D85">
        <v>24531.62</v>
      </c>
      <c r="E85">
        <v>12795.46</v>
      </c>
      <c r="F85">
        <v>1623.38</v>
      </c>
    </row>
    <row r="86" spans="1:6" x14ac:dyDescent="0.3">
      <c r="A86">
        <v>2407.4899999999998</v>
      </c>
      <c r="B86">
        <v>3372.85</v>
      </c>
      <c r="C86">
        <v>368.07</v>
      </c>
      <c r="D86">
        <v>25183.01</v>
      </c>
      <c r="E86">
        <v>12607.84</v>
      </c>
      <c r="F86">
        <v>1604.06</v>
      </c>
    </row>
    <row r="87" spans="1:6" x14ac:dyDescent="0.3">
      <c r="A87">
        <v>2304.59</v>
      </c>
      <c r="B87">
        <v>3397.16</v>
      </c>
      <c r="C87">
        <v>365.09</v>
      </c>
      <c r="D87">
        <v>25113.84</v>
      </c>
      <c r="E87">
        <v>12728.85</v>
      </c>
      <c r="F87">
        <v>1604.87</v>
      </c>
    </row>
    <row r="88" spans="1:6" x14ac:dyDescent="0.3">
      <c r="A88">
        <v>2353.8000000000002</v>
      </c>
      <c r="B88">
        <v>3508.01</v>
      </c>
      <c r="C88">
        <v>368.8</v>
      </c>
      <c r="D88">
        <v>25422.06</v>
      </c>
      <c r="E88">
        <v>12637.95</v>
      </c>
      <c r="F88">
        <v>1616.6</v>
      </c>
    </row>
    <row r="89" spans="1:6" x14ac:dyDescent="0.3">
      <c r="A89">
        <v>2368.25</v>
      </c>
      <c r="B89">
        <v>3426.96</v>
      </c>
      <c r="C89">
        <v>361.93</v>
      </c>
      <c r="D89">
        <v>24695.45</v>
      </c>
      <c r="E89">
        <v>12675.95</v>
      </c>
      <c r="F89">
        <v>1636.64</v>
      </c>
    </row>
    <row r="90" spans="1:6" x14ac:dyDescent="0.3">
      <c r="A90">
        <v>2396.69</v>
      </c>
      <c r="B90">
        <v>3340.97</v>
      </c>
      <c r="C90">
        <v>367.96</v>
      </c>
      <c r="D90">
        <v>24503.31</v>
      </c>
      <c r="E90">
        <v>12875.62</v>
      </c>
      <c r="F90">
        <v>1646.42</v>
      </c>
    </row>
    <row r="91" spans="1:6" x14ac:dyDescent="0.3">
      <c r="A91">
        <v>2412.4</v>
      </c>
      <c r="B91">
        <v>3319.47</v>
      </c>
      <c r="C91">
        <v>368.78</v>
      </c>
      <c r="D91">
        <v>24455.41</v>
      </c>
      <c r="E91">
        <v>12232.91</v>
      </c>
      <c r="F91">
        <v>1634.23</v>
      </c>
    </row>
    <row r="92" spans="1:6" x14ac:dyDescent="0.3">
      <c r="A92">
        <v>2278.79</v>
      </c>
      <c r="B92">
        <v>3298.46</v>
      </c>
      <c r="C92">
        <v>355.51</v>
      </c>
      <c r="D92">
        <v>23235.42</v>
      </c>
      <c r="E92">
        <v>12515.61</v>
      </c>
      <c r="F92">
        <v>1609.22</v>
      </c>
    </row>
    <row r="93" spans="1:6" x14ac:dyDescent="0.3">
      <c r="A93">
        <v>2327.89</v>
      </c>
      <c r="B93">
        <v>3348.44</v>
      </c>
      <c r="C93">
        <v>362.69</v>
      </c>
      <c r="D93">
        <v>23459.05</v>
      </c>
      <c r="E93">
        <v>12887.19</v>
      </c>
      <c r="F93">
        <v>1647.38</v>
      </c>
    </row>
    <row r="94" spans="1:6" x14ac:dyDescent="0.3">
      <c r="A94">
        <v>2391.96</v>
      </c>
      <c r="B94">
        <v>3477.13</v>
      </c>
      <c r="C94">
        <v>370.35</v>
      </c>
      <c r="D94">
        <v>24119.13</v>
      </c>
      <c r="E94">
        <v>12750.37</v>
      </c>
      <c r="F94">
        <v>1617.69</v>
      </c>
    </row>
    <row r="95" spans="1:6" x14ac:dyDescent="0.3">
      <c r="A95">
        <v>2341.5300000000002</v>
      </c>
      <c r="B95">
        <v>3483.81</v>
      </c>
      <c r="C95">
        <v>367.48</v>
      </c>
      <c r="D95">
        <v>24386.79</v>
      </c>
      <c r="E95">
        <v>12898.82</v>
      </c>
      <c r="F95">
        <v>1625.32</v>
      </c>
    </row>
    <row r="96" spans="1:6" x14ac:dyDescent="0.3">
      <c r="A96">
        <v>2360.81</v>
      </c>
      <c r="B96">
        <v>3465.39</v>
      </c>
      <c r="C96">
        <v>362.5</v>
      </c>
      <c r="D96">
        <v>24918.78</v>
      </c>
      <c r="E96">
        <v>12546.34</v>
      </c>
      <c r="F96">
        <v>1579.33</v>
      </c>
    </row>
    <row r="97" spans="1:6" x14ac:dyDescent="0.3">
      <c r="A97">
        <v>2267.15</v>
      </c>
      <c r="B97">
        <v>3269.96</v>
      </c>
      <c r="C97">
        <v>342.36</v>
      </c>
      <c r="D97">
        <v>24107.42</v>
      </c>
      <c r="E97">
        <v>12973.53</v>
      </c>
      <c r="F97">
        <v>1658.49</v>
      </c>
    </row>
    <row r="98" spans="1:6" x14ac:dyDescent="0.3">
      <c r="A98">
        <v>2416.5</v>
      </c>
      <c r="B98">
        <v>3509.44</v>
      </c>
      <c r="C98">
        <v>366.4</v>
      </c>
      <c r="D98">
        <v>25712.97</v>
      </c>
      <c r="E98">
        <v>13273.33</v>
      </c>
      <c r="F98">
        <v>1703.22</v>
      </c>
    </row>
    <row r="99" spans="1:6" x14ac:dyDescent="0.3">
      <c r="A99">
        <v>2493.87</v>
      </c>
      <c r="B99">
        <v>3585.15</v>
      </c>
      <c r="C99">
        <v>385.18</v>
      </c>
      <c r="D99">
        <v>26156.86</v>
      </c>
      <c r="E99">
        <v>13716.44</v>
      </c>
      <c r="F99">
        <v>1727.39</v>
      </c>
    </row>
    <row r="100" spans="1:6" x14ac:dyDescent="0.3">
      <c r="A100">
        <v>2553.5</v>
      </c>
      <c r="B100">
        <v>3557.54</v>
      </c>
      <c r="C100">
        <v>389.61</v>
      </c>
      <c r="D100">
        <v>26451.54</v>
      </c>
      <c r="E100">
        <v>13867.09</v>
      </c>
      <c r="F100">
        <v>1786.52</v>
      </c>
    </row>
    <row r="101" spans="1:6" x14ac:dyDescent="0.3">
      <c r="A101">
        <v>2633.45</v>
      </c>
      <c r="B101">
        <v>3638.35</v>
      </c>
      <c r="C101">
        <v>393.23</v>
      </c>
      <c r="D101">
        <v>26894.68</v>
      </c>
      <c r="E101">
        <v>14132.44</v>
      </c>
      <c r="F101">
        <v>1775.94</v>
      </c>
    </row>
    <row r="102" spans="1:6" x14ac:dyDescent="0.3">
      <c r="A102">
        <v>2731.45</v>
      </c>
      <c r="B102">
        <v>3699.12</v>
      </c>
      <c r="C102">
        <v>394.04</v>
      </c>
      <c r="D102">
        <v>26835.919999999998</v>
      </c>
      <c r="E102">
        <v>14261.69</v>
      </c>
      <c r="F102">
        <v>1782.01</v>
      </c>
    </row>
    <row r="103" spans="1:6" x14ac:dyDescent="0.3">
      <c r="A103">
        <v>2770.06</v>
      </c>
      <c r="B103">
        <v>3663.46</v>
      </c>
      <c r="C103">
        <v>390.12</v>
      </c>
      <c r="D103">
        <v>26505.87</v>
      </c>
      <c r="E103">
        <v>14249.96</v>
      </c>
      <c r="F103">
        <v>1793.24</v>
      </c>
    </row>
    <row r="104" spans="1:6" x14ac:dyDescent="0.3">
      <c r="A104">
        <v>2772.18</v>
      </c>
      <c r="B104">
        <v>3709.41</v>
      </c>
      <c r="C104">
        <v>395.9</v>
      </c>
      <c r="D104">
        <v>26498.6</v>
      </c>
      <c r="E104">
        <v>14331.42</v>
      </c>
      <c r="F104">
        <v>1778.41</v>
      </c>
    </row>
    <row r="105" spans="1:6" x14ac:dyDescent="0.3">
      <c r="A105">
        <v>2806.86</v>
      </c>
      <c r="B105">
        <v>3703.06</v>
      </c>
      <c r="C105">
        <v>395.98</v>
      </c>
      <c r="D105">
        <v>26386.560000000001</v>
      </c>
      <c r="E105">
        <v>14732.53</v>
      </c>
      <c r="F105">
        <v>1804.68</v>
      </c>
    </row>
    <row r="106" spans="1:6" x14ac:dyDescent="0.3">
      <c r="A106">
        <v>2873.47</v>
      </c>
      <c r="B106">
        <v>3756.07</v>
      </c>
      <c r="C106">
        <v>399.03</v>
      </c>
      <c r="D106">
        <v>27231.13</v>
      </c>
      <c r="E106">
        <v>15463.95</v>
      </c>
      <c r="F106">
        <v>1854.94</v>
      </c>
    </row>
    <row r="107" spans="1:6" x14ac:dyDescent="0.3">
      <c r="A107">
        <v>3152.18</v>
      </c>
      <c r="B107">
        <v>3824.68</v>
      </c>
      <c r="C107">
        <v>411.17</v>
      </c>
      <c r="D107">
        <v>27878.22</v>
      </c>
      <c r="E107">
        <v>15616.39</v>
      </c>
      <c r="F107">
        <v>1856.61</v>
      </c>
    </row>
    <row r="108" spans="1:6" x14ac:dyDescent="0.3">
      <c r="A108">
        <v>3085.9</v>
      </c>
      <c r="B108">
        <v>3768.25</v>
      </c>
      <c r="C108">
        <v>407.85</v>
      </c>
      <c r="D108">
        <v>28573.86</v>
      </c>
      <c r="E108">
        <v>16019.03</v>
      </c>
      <c r="F108">
        <v>1856.64</v>
      </c>
    </row>
    <row r="109" spans="1:6" x14ac:dyDescent="0.3">
      <c r="A109">
        <v>3140.63</v>
      </c>
      <c r="B109">
        <v>3841.47</v>
      </c>
      <c r="C109">
        <v>408.54</v>
      </c>
      <c r="D109">
        <v>29447.85</v>
      </c>
      <c r="E109">
        <v>15138.31</v>
      </c>
      <c r="F109">
        <v>1808.78</v>
      </c>
    </row>
    <row r="110" spans="1:6" x14ac:dyDescent="0.3">
      <c r="A110">
        <v>2976.21</v>
      </c>
      <c r="B110">
        <v>3714.24</v>
      </c>
      <c r="C110">
        <v>395.85</v>
      </c>
      <c r="D110">
        <v>28283.71</v>
      </c>
      <c r="E110">
        <v>15802.4</v>
      </c>
      <c r="F110">
        <v>1890.95</v>
      </c>
    </row>
    <row r="111" spans="1:6" x14ac:dyDescent="0.3">
      <c r="A111">
        <v>3120.63</v>
      </c>
      <c r="B111">
        <v>3886.83</v>
      </c>
      <c r="C111">
        <v>409.54</v>
      </c>
      <c r="D111">
        <v>29288.68</v>
      </c>
      <c r="E111">
        <v>16341.38</v>
      </c>
      <c r="F111">
        <v>1933.88</v>
      </c>
    </row>
    <row r="112" spans="1:6" x14ac:dyDescent="0.3">
      <c r="A112">
        <v>3100.58</v>
      </c>
      <c r="B112">
        <v>3934.83</v>
      </c>
      <c r="C112">
        <v>414</v>
      </c>
      <c r="D112">
        <v>30173.57</v>
      </c>
      <c r="E112">
        <v>15953.8</v>
      </c>
      <c r="F112">
        <v>1928.95</v>
      </c>
    </row>
    <row r="113" spans="1:6" x14ac:dyDescent="0.3">
      <c r="A113">
        <v>3107.62</v>
      </c>
      <c r="B113">
        <v>3906.71</v>
      </c>
      <c r="C113">
        <v>414.88</v>
      </c>
      <c r="D113">
        <v>30644.73</v>
      </c>
      <c r="E113">
        <v>15855.23</v>
      </c>
      <c r="F113">
        <v>1864.49</v>
      </c>
    </row>
    <row r="114" spans="1:6" x14ac:dyDescent="0.3">
      <c r="A114">
        <v>3012.95</v>
      </c>
      <c r="B114">
        <v>3811.15</v>
      </c>
      <c r="C114">
        <v>404.99</v>
      </c>
      <c r="D114">
        <v>28980.21</v>
      </c>
      <c r="E114">
        <v>16255.18</v>
      </c>
      <c r="F114">
        <v>1896.18</v>
      </c>
    </row>
    <row r="115" spans="1:6" x14ac:dyDescent="0.3">
      <c r="A115">
        <v>3026.26</v>
      </c>
      <c r="B115">
        <v>3841.94</v>
      </c>
      <c r="C115">
        <v>408.68</v>
      </c>
      <c r="D115">
        <v>29098.29</v>
      </c>
      <c r="E115">
        <v>16070.24</v>
      </c>
      <c r="F115">
        <v>1951.06</v>
      </c>
    </row>
    <row r="116" spans="1:6" x14ac:dyDescent="0.3">
      <c r="A116">
        <v>3054.39</v>
      </c>
      <c r="B116">
        <v>3943.34</v>
      </c>
      <c r="C116">
        <v>423.08</v>
      </c>
      <c r="D116">
        <v>28739.72</v>
      </c>
      <c r="E116">
        <v>16305.88</v>
      </c>
      <c r="F116">
        <v>2012.21</v>
      </c>
    </row>
    <row r="117" spans="1:6" x14ac:dyDescent="0.3">
      <c r="A117">
        <v>3039.53</v>
      </c>
      <c r="B117">
        <v>3913.1</v>
      </c>
      <c r="C117">
        <v>423.35</v>
      </c>
      <c r="D117">
        <v>28990.94</v>
      </c>
      <c r="E117">
        <v>16571.28</v>
      </c>
      <c r="F117">
        <v>1984.16</v>
      </c>
    </row>
    <row r="118" spans="1:6" x14ac:dyDescent="0.3">
      <c r="A118">
        <v>3041.01</v>
      </c>
      <c r="B118">
        <v>3974.54</v>
      </c>
      <c r="C118">
        <v>426.93</v>
      </c>
      <c r="D118">
        <v>28336.43</v>
      </c>
      <c r="E118">
        <v>16854.099999999999</v>
      </c>
      <c r="F118">
        <v>1971.62</v>
      </c>
    </row>
    <row r="119" spans="1:6" x14ac:dyDescent="0.3">
      <c r="A119">
        <v>3112.8</v>
      </c>
      <c r="B119">
        <v>4019.87</v>
      </c>
      <c r="C119">
        <v>432.22</v>
      </c>
      <c r="D119">
        <v>28938.74</v>
      </c>
      <c r="E119">
        <v>17158.810000000001</v>
      </c>
      <c r="F119">
        <v>1959.47</v>
      </c>
    </row>
    <row r="120" spans="1:6" x14ac:dyDescent="0.3">
      <c r="A120">
        <v>3131.88</v>
      </c>
      <c r="B120">
        <v>4128.8</v>
      </c>
      <c r="C120">
        <v>437.23</v>
      </c>
      <c r="D120">
        <v>28698.799999999999</v>
      </c>
      <c r="E120">
        <v>17300.27</v>
      </c>
      <c r="F120">
        <v>1960.87</v>
      </c>
    </row>
    <row r="121" spans="1:6" x14ac:dyDescent="0.3">
      <c r="A121">
        <v>3198.62</v>
      </c>
      <c r="B121">
        <v>4185.47</v>
      </c>
      <c r="C121">
        <v>442.49</v>
      </c>
      <c r="D121">
        <v>28969.71</v>
      </c>
      <c r="E121">
        <v>17566.66</v>
      </c>
      <c r="F121">
        <v>1914.98</v>
      </c>
    </row>
    <row r="122" spans="1:6" x14ac:dyDescent="0.3">
      <c r="A122">
        <v>3186.1</v>
      </c>
      <c r="B122">
        <v>4180.17</v>
      </c>
      <c r="C122">
        <v>439.04</v>
      </c>
      <c r="D122">
        <v>29078.75</v>
      </c>
      <c r="E122">
        <v>17285</v>
      </c>
      <c r="F122">
        <v>1898.24</v>
      </c>
    </row>
    <row r="123" spans="1:6" x14ac:dyDescent="0.3">
      <c r="A123">
        <v>3147.86</v>
      </c>
      <c r="B123">
        <v>4181.17</v>
      </c>
      <c r="C123">
        <v>437.39</v>
      </c>
      <c r="D123">
        <v>28724.880000000001</v>
      </c>
      <c r="E123">
        <v>15827.09</v>
      </c>
      <c r="F123">
        <v>1933.05</v>
      </c>
    </row>
    <row r="124" spans="1:6" x14ac:dyDescent="0.3">
      <c r="A124">
        <v>3197.2</v>
      </c>
      <c r="B124">
        <v>4232.6000000000004</v>
      </c>
      <c r="C124">
        <v>444.93</v>
      </c>
      <c r="D124">
        <v>28610.65</v>
      </c>
      <c r="E124">
        <v>16302.06</v>
      </c>
      <c r="F124">
        <v>1883.42</v>
      </c>
    </row>
    <row r="125" spans="1:6" x14ac:dyDescent="0.3">
      <c r="A125">
        <v>3153.32</v>
      </c>
      <c r="B125">
        <v>4173.8500000000004</v>
      </c>
      <c r="C125">
        <v>442.53</v>
      </c>
      <c r="D125">
        <v>28027.57</v>
      </c>
      <c r="E125">
        <v>16870.86</v>
      </c>
      <c r="F125">
        <v>1904.69</v>
      </c>
    </row>
    <row r="126" spans="1:6" x14ac:dyDescent="0.3">
      <c r="A126">
        <v>3156.42</v>
      </c>
      <c r="B126">
        <v>4155.8599999999997</v>
      </c>
      <c r="C126">
        <v>444.44</v>
      </c>
      <c r="D126">
        <v>28458.44</v>
      </c>
      <c r="E126">
        <v>17147.41</v>
      </c>
      <c r="F126">
        <v>1947.44</v>
      </c>
    </row>
    <row r="127" spans="1:6" x14ac:dyDescent="0.3">
      <c r="A127">
        <v>3188.73</v>
      </c>
      <c r="B127">
        <v>4204.1099999999997</v>
      </c>
      <c r="C127">
        <v>448.98</v>
      </c>
      <c r="D127">
        <v>29124.41</v>
      </c>
      <c r="E127">
        <v>17213.52</v>
      </c>
      <c r="F127">
        <v>1959.19</v>
      </c>
    </row>
    <row r="128" spans="1:6" x14ac:dyDescent="0.3">
      <c r="A128">
        <v>3240.08</v>
      </c>
      <c r="B128">
        <v>4229.8900000000003</v>
      </c>
      <c r="C128">
        <v>452.57</v>
      </c>
      <c r="D128">
        <v>28918.1</v>
      </c>
      <c r="E128">
        <v>17318.54</v>
      </c>
      <c r="F128">
        <v>1954.02</v>
      </c>
    </row>
    <row r="129" spans="1:6" x14ac:dyDescent="0.3">
      <c r="A129">
        <v>3249.32</v>
      </c>
      <c r="B129">
        <v>4247.4399999999996</v>
      </c>
      <c r="C129">
        <v>457.51</v>
      </c>
      <c r="D129">
        <v>28842.13</v>
      </c>
      <c r="E129">
        <v>17502.990000000002</v>
      </c>
      <c r="F129">
        <v>1946.56</v>
      </c>
    </row>
    <row r="130" spans="1:6" x14ac:dyDescent="0.3">
      <c r="A130">
        <v>3267.93</v>
      </c>
      <c r="B130">
        <v>4166.45</v>
      </c>
      <c r="C130">
        <v>452.05</v>
      </c>
      <c r="D130">
        <v>28801.27</v>
      </c>
      <c r="E130">
        <v>17710.150000000001</v>
      </c>
      <c r="F130">
        <v>1962.65</v>
      </c>
    </row>
    <row r="131" spans="1:6" x14ac:dyDescent="0.3">
      <c r="A131">
        <v>3302.84</v>
      </c>
      <c r="B131">
        <v>4280.7</v>
      </c>
      <c r="C131">
        <v>457.63</v>
      </c>
      <c r="D131">
        <v>29288.22</v>
      </c>
      <c r="E131">
        <v>17661.48</v>
      </c>
      <c r="F131">
        <v>1956.31</v>
      </c>
    </row>
    <row r="132" spans="1:6" x14ac:dyDescent="0.3">
      <c r="A132">
        <v>3281.78</v>
      </c>
      <c r="B132">
        <v>4352.34</v>
      </c>
      <c r="C132">
        <v>456.81</v>
      </c>
      <c r="D132">
        <v>28310.42</v>
      </c>
      <c r="E132">
        <v>17895.25</v>
      </c>
      <c r="F132">
        <v>1912.38</v>
      </c>
    </row>
    <row r="133" spans="1:6" x14ac:dyDescent="0.3">
      <c r="A133">
        <v>3217.95</v>
      </c>
      <c r="B133">
        <v>4369.55</v>
      </c>
      <c r="C133">
        <v>457.67</v>
      </c>
      <c r="D133">
        <v>27344.54</v>
      </c>
      <c r="E133">
        <v>17572.919999999998</v>
      </c>
      <c r="F133">
        <v>1932.19</v>
      </c>
    </row>
    <row r="134" spans="1:6" x14ac:dyDescent="0.3">
      <c r="A134">
        <v>3276.91</v>
      </c>
      <c r="B134">
        <v>4327.16</v>
      </c>
      <c r="C134">
        <v>454.74</v>
      </c>
      <c r="D134">
        <v>28004.68</v>
      </c>
      <c r="E134">
        <v>17247.41</v>
      </c>
      <c r="F134">
        <v>1904.41</v>
      </c>
    </row>
    <row r="135" spans="1:6" x14ac:dyDescent="0.3">
      <c r="A135">
        <v>3254.42</v>
      </c>
      <c r="B135">
        <v>4411.79</v>
      </c>
      <c r="C135">
        <v>461.51</v>
      </c>
      <c r="D135">
        <v>27321.98</v>
      </c>
      <c r="E135">
        <v>17526.28</v>
      </c>
      <c r="F135">
        <v>1901.08</v>
      </c>
    </row>
    <row r="136" spans="1:6" x14ac:dyDescent="0.3">
      <c r="A136">
        <v>3202.32</v>
      </c>
      <c r="B136">
        <v>4395.26</v>
      </c>
      <c r="C136">
        <v>461.74</v>
      </c>
      <c r="D136">
        <v>25961.03</v>
      </c>
      <c r="E136">
        <v>16982.11</v>
      </c>
      <c r="F136">
        <v>1929.34</v>
      </c>
    </row>
    <row r="137" spans="1:6" x14ac:dyDescent="0.3">
      <c r="A137">
        <v>3270.36</v>
      </c>
      <c r="B137">
        <v>4436.5200000000004</v>
      </c>
      <c r="C137">
        <v>469.97</v>
      </c>
      <c r="D137">
        <v>26179.4</v>
      </c>
      <c r="E137">
        <v>16341.94</v>
      </c>
      <c r="F137">
        <v>1956.39</v>
      </c>
    </row>
    <row r="138" spans="1:6" x14ac:dyDescent="0.3">
      <c r="A138">
        <v>3171.29</v>
      </c>
      <c r="B138">
        <v>4468</v>
      </c>
      <c r="C138">
        <v>475.83</v>
      </c>
      <c r="D138">
        <v>26391.62</v>
      </c>
      <c r="E138">
        <v>17209.93</v>
      </c>
      <c r="F138">
        <v>1880.68</v>
      </c>
    </row>
    <row r="139" spans="1:6" x14ac:dyDescent="0.3">
      <c r="A139">
        <v>3060.51</v>
      </c>
      <c r="B139">
        <v>4441.67</v>
      </c>
      <c r="C139">
        <v>468.8</v>
      </c>
      <c r="D139">
        <v>24849.72</v>
      </c>
      <c r="E139">
        <v>17516.919999999998</v>
      </c>
      <c r="F139">
        <v>1928.77</v>
      </c>
    </row>
    <row r="140" spans="1:6" x14ac:dyDescent="0.3">
      <c r="A140">
        <v>3133.9</v>
      </c>
      <c r="B140">
        <v>4509.37</v>
      </c>
      <c r="C140">
        <v>472.34</v>
      </c>
      <c r="D140">
        <v>25407.89</v>
      </c>
      <c r="E140">
        <v>17474.57</v>
      </c>
      <c r="F140">
        <v>2015.45</v>
      </c>
    </row>
    <row r="141" spans="1:6" x14ac:dyDescent="0.3">
      <c r="A141">
        <v>3201.06</v>
      </c>
      <c r="B141">
        <v>4535.43</v>
      </c>
      <c r="C141">
        <v>471.93</v>
      </c>
      <c r="D141">
        <v>25901.99</v>
      </c>
      <c r="E141">
        <v>17276.79</v>
      </c>
      <c r="F141">
        <v>2091.65</v>
      </c>
    </row>
    <row r="142" spans="1:6" x14ac:dyDescent="0.3">
      <c r="A142">
        <v>3125.76</v>
      </c>
      <c r="B142">
        <v>4458.58</v>
      </c>
      <c r="C142">
        <v>466.34</v>
      </c>
      <c r="D142">
        <v>26205.91</v>
      </c>
      <c r="E142">
        <v>17260.189999999999</v>
      </c>
      <c r="F142">
        <v>2100.17</v>
      </c>
    </row>
    <row r="143" spans="1:6" x14ac:dyDescent="0.3">
      <c r="A143">
        <v>3140.51</v>
      </c>
      <c r="B143">
        <v>4432.99</v>
      </c>
      <c r="C143">
        <v>461.84</v>
      </c>
      <c r="D143">
        <v>24920.76</v>
      </c>
      <c r="E143">
        <v>16570.89</v>
      </c>
      <c r="F143">
        <v>2090.75</v>
      </c>
    </row>
    <row r="144" spans="1:6" x14ac:dyDescent="0.3">
      <c r="A144">
        <v>3125.24</v>
      </c>
      <c r="B144">
        <v>4455.4799999999996</v>
      </c>
      <c r="C144">
        <v>463.29</v>
      </c>
      <c r="D144">
        <v>24192.16</v>
      </c>
      <c r="E144">
        <v>16640.43</v>
      </c>
      <c r="F144">
        <v>1986.31</v>
      </c>
    </row>
    <row r="145" spans="1:6" x14ac:dyDescent="0.3">
      <c r="A145">
        <v>3019.18</v>
      </c>
      <c r="B145">
        <v>4357.04</v>
      </c>
      <c r="C145">
        <v>452.9</v>
      </c>
      <c r="D145">
        <v>24575.64</v>
      </c>
      <c r="E145">
        <v>16781.189999999999</v>
      </c>
      <c r="F145">
        <v>1961.85</v>
      </c>
    </row>
    <row r="146" spans="1:6" x14ac:dyDescent="0.3">
      <c r="A146">
        <v>2956.3</v>
      </c>
      <c r="B146">
        <v>4391.34</v>
      </c>
      <c r="C146">
        <v>457.29</v>
      </c>
      <c r="D146">
        <v>24837.85</v>
      </c>
      <c r="E146">
        <v>16888.740000000002</v>
      </c>
      <c r="F146">
        <v>2023.93</v>
      </c>
    </row>
    <row r="147" spans="1:6" x14ac:dyDescent="0.3">
      <c r="A147">
        <v>3015.06</v>
      </c>
      <c r="B147">
        <v>4471.37</v>
      </c>
      <c r="C147">
        <v>469.39</v>
      </c>
      <c r="D147">
        <v>25330.959999999999</v>
      </c>
      <c r="E147">
        <v>16987.41</v>
      </c>
      <c r="F147">
        <v>2002.23</v>
      </c>
    </row>
    <row r="148" spans="1:6" x14ac:dyDescent="0.3">
      <c r="A148">
        <v>3006.16</v>
      </c>
      <c r="B148">
        <v>4544.8999999999996</v>
      </c>
      <c r="C148">
        <v>471.88</v>
      </c>
      <c r="D148">
        <v>26126.93</v>
      </c>
      <c r="E148">
        <v>17296.900000000001</v>
      </c>
      <c r="F148">
        <v>2001.18</v>
      </c>
    </row>
    <row r="149" spans="1:6" x14ac:dyDescent="0.3">
      <c r="A149">
        <v>2970.68</v>
      </c>
      <c r="B149">
        <v>4605.38</v>
      </c>
      <c r="C149">
        <v>475.51</v>
      </c>
      <c r="D149">
        <v>25377.24</v>
      </c>
      <c r="E149">
        <v>17518.13</v>
      </c>
      <c r="F149">
        <v>2041.42</v>
      </c>
    </row>
    <row r="150" spans="1:6" x14ac:dyDescent="0.3">
      <c r="A150">
        <v>2969.27</v>
      </c>
      <c r="B150">
        <v>4697.53</v>
      </c>
      <c r="C150">
        <v>483.44</v>
      </c>
      <c r="D150">
        <v>24870.51</v>
      </c>
      <c r="E150">
        <v>17818.310000000001</v>
      </c>
      <c r="F150">
        <v>2040.6</v>
      </c>
    </row>
    <row r="151" spans="1:6" x14ac:dyDescent="0.3">
      <c r="A151">
        <v>2968.8</v>
      </c>
      <c r="B151">
        <v>4682.8500000000004</v>
      </c>
      <c r="C151">
        <v>486.75</v>
      </c>
      <c r="D151">
        <v>25327.97</v>
      </c>
      <c r="E151">
        <v>17369.39</v>
      </c>
      <c r="F151">
        <v>2044.53</v>
      </c>
    </row>
    <row r="152" spans="1:6" x14ac:dyDescent="0.3">
      <c r="A152">
        <v>2971.02</v>
      </c>
      <c r="B152">
        <v>4697.96</v>
      </c>
      <c r="C152">
        <v>486.08</v>
      </c>
      <c r="D152">
        <v>25049.97</v>
      </c>
      <c r="E152">
        <v>17697.14</v>
      </c>
      <c r="F152">
        <v>1984.98</v>
      </c>
    </row>
    <row r="153" spans="1:6" x14ac:dyDescent="0.3">
      <c r="A153">
        <v>2936.44</v>
      </c>
      <c r="B153">
        <v>4594.62</v>
      </c>
      <c r="C153">
        <v>464.05</v>
      </c>
      <c r="D153">
        <v>24080.52</v>
      </c>
      <c r="E153">
        <v>17826.259999999998</v>
      </c>
      <c r="F153">
        <v>1957.86</v>
      </c>
    </row>
    <row r="154" spans="1:6" x14ac:dyDescent="0.3">
      <c r="A154">
        <v>2968.33</v>
      </c>
      <c r="B154">
        <v>4538.43</v>
      </c>
      <c r="C154">
        <v>462.77</v>
      </c>
      <c r="D154">
        <v>23766.69</v>
      </c>
      <c r="E154">
        <v>17812.59</v>
      </c>
      <c r="F154">
        <v>1975.48</v>
      </c>
    </row>
    <row r="155" spans="1:6" x14ac:dyDescent="0.3">
      <c r="A155">
        <v>3010.23</v>
      </c>
      <c r="B155">
        <v>4712.0200000000004</v>
      </c>
      <c r="C155">
        <v>475.56</v>
      </c>
      <c r="D155">
        <v>23995.72</v>
      </c>
      <c r="E155">
        <v>17961.64</v>
      </c>
      <c r="F155">
        <v>1984.47</v>
      </c>
    </row>
    <row r="156" spans="1:6" x14ac:dyDescent="0.3">
      <c r="A156">
        <v>3017.73</v>
      </c>
      <c r="B156">
        <v>4620.6400000000003</v>
      </c>
      <c r="C156">
        <v>473.9</v>
      </c>
      <c r="D156">
        <v>23192.63</v>
      </c>
      <c r="E156">
        <v>18218.84</v>
      </c>
      <c r="F156">
        <v>1986.78</v>
      </c>
    </row>
    <row r="157" spans="1:6" x14ac:dyDescent="0.3">
      <c r="A157">
        <v>3012.43</v>
      </c>
      <c r="B157">
        <v>4725.79</v>
      </c>
      <c r="C157">
        <v>482.51</v>
      </c>
      <c r="D157">
        <v>23223.759999999998</v>
      </c>
      <c r="E157">
        <v>18169.759999999998</v>
      </c>
      <c r="F157">
        <v>1992.33</v>
      </c>
    </row>
    <row r="158" spans="1:6" x14ac:dyDescent="0.3">
      <c r="A158">
        <v>2977.65</v>
      </c>
      <c r="B158">
        <v>4766.18</v>
      </c>
      <c r="C158">
        <v>487.8</v>
      </c>
      <c r="D158">
        <v>23397.67</v>
      </c>
      <c r="E158">
        <v>18403.330000000002</v>
      </c>
      <c r="F158">
        <v>1995.68</v>
      </c>
    </row>
    <row r="159" spans="1:6" x14ac:dyDescent="0.3">
      <c r="A159">
        <v>2954.89</v>
      </c>
      <c r="B159">
        <v>4677.03</v>
      </c>
      <c r="C159">
        <v>486.25</v>
      </c>
      <c r="D159">
        <v>23493.38</v>
      </c>
      <c r="E159">
        <v>17899.3</v>
      </c>
      <c r="F159">
        <v>1977.66</v>
      </c>
    </row>
    <row r="160" spans="1:6" x14ac:dyDescent="0.3">
      <c r="A160">
        <v>2921.92</v>
      </c>
      <c r="B160">
        <v>4662.8500000000004</v>
      </c>
      <c r="C160">
        <v>481.16</v>
      </c>
      <c r="D160">
        <v>24383.32</v>
      </c>
      <c r="E160">
        <v>17674.400000000001</v>
      </c>
      <c r="F160">
        <v>1927.18</v>
      </c>
    </row>
    <row r="161" spans="1:6" x14ac:dyDescent="0.3">
      <c r="A161">
        <v>2834.29</v>
      </c>
      <c r="B161">
        <v>4397.9399999999996</v>
      </c>
      <c r="C161">
        <v>474.44</v>
      </c>
      <c r="D161">
        <v>24965.55</v>
      </c>
      <c r="E161">
        <v>18310.939999999999</v>
      </c>
      <c r="F161">
        <v>1876.89</v>
      </c>
    </row>
    <row r="162" spans="1:6" x14ac:dyDescent="0.3">
      <c r="A162">
        <v>2663.34</v>
      </c>
      <c r="B162">
        <v>4431.8500000000004</v>
      </c>
      <c r="C162">
        <v>465.55</v>
      </c>
      <c r="D162">
        <v>23550.080000000002</v>
      </c>
      <c r="E162">
        <v>18232.349999999999</v>
      </c>
      <c r="F162">
        <v>1930.56</v>
      </c>
    </row>
    <row r="163" spans="1:6" x14ac:dyDescent="0.3">
      <c r="A163">
        <v>2750.26</v>
      </c>
      <c r="B163">
        <v>4500.53</v>
      </c>
      <c r="C163">
        <v>462.15</v>
      </c>
      <c r="D163">
        <v>24573.29</v>
      </c>
      <c r="E163">
        <v>17652.18</v>
      </c>
      <c r="F163">
        <v>1962.61</v>
      </c>
    </row>
    <row r="164" spans="1:6" x14ac:dyDescent="0.3">
      <c r="A164">
        <v>2747.71</v>
      </c>
      <c r="B164">
        <v>4418.6400000000003</v>
      </c>
      <c r="C164">
        <v>469.57</v>
      </c>
      <c r="D164">
        <v>24906.66</v>
      </c>
      <c r="E164">
        <v>17736.52</v>
      </c>
      <c r="F164">
        <v>1924.31</v>
      </c>
    </row>
    <row r="165" spans="1:6" x14ac:dyDescent="0.3">
      <c r="A165">
        <v>2744.52</v>
      </c>
      <c r="B165">
        <v>4348.87</v>
      </c>
      <c r="C165">
        <v>460.81</v>
      </c>
      <c r="D165">
        <v>24327.71</v>
      </c>
      <c r="E165">
        <v>17264.740000000002</v>
      </c>
      <c r="F165">
        <v>1876.24</v>
      </c>
    </row>
    <row r="166" spans="1:6" x14ac:dyDescent="0.3">
      <c r="A166">
        <v>2676.76</v>
      </c>
      <c r="B166">
        <v>4384.6499999999996</v>
      </c>
      <c r="C166">
        <v>453.53</v>
      </c>
      <c r="D166">
        <v>22767.18</v>
      </c>
      <c r="E166">
        <v>17456.52</v>
      </c>
      <c r="F166">
        <v>1844.94</v>
      </c>
    </row>
    <row r="167" spans="1:6" x14ac:dyDescent="0.3">
      <c r="A167">
        <v>2713.43</v>
      </c>
      <c r="B167">
        <v>4328.87</v>
      </c>
      <c r="C167">
        <v>421.78</v>
      </c>
      <c r="D167">
        <v>21905.29</v>
      </c>
      <c r="E167">
        <v>17676.95</v>
      </c>
      <c r="F167">
        <v>1799.54</v>
      </c>
    </row>
    <row r="168" spans="1:6" x14ac:dyDescent="0.3">
      <c r="A168">
        <v>2661.28</v>
      </c>
      <c r="B168">
        <v>4204.3100000000004</v>
      </c>
      <c r="C168">
        <v>431.17</v>
      </c>
      <c r="D168">
        <v>20553.79</v>
      </c>
      <c r="E168">
        <v>17625.59</v>
      </c>
      <c r="F168">
        <v>1909.27</v>
      </c>
    </row>
    <row r="169" spans="1:6" x14ac:dyDescent="0.3">
      <c r="A169">
        <v>2707.02</v>
      </c>
      <c r="B169">
        <v>4463.12</v>
      </c>
      <c r="C169">
        <v>454.6</v>
      </c>
      <c r="D169">
        <v>21412.400000000001</v>
      </c>
      <c r="E169">
        <v>17284.54</v>
      </c>
      <c r="F169">
        <v>1981.47</v>
      </c>
    </row>
    <row r="170" spans="1:6" x14ac:dyDescent="0.3">
      <c r="A170">
        <v>2729.98</v>
      </c>
      <c r="B170">
        <v>4543.0600000000004</v>
      </c>
      <c r="C170">
        <v>453.55</v>
      </c>
      <c r="D170">
        <v>21404.880000000001</v>
      </c>
      <c r="E170">
        <v>17004.18</v>
      </c>
      <c r="F170">
        <v>1944.27</v>
      </c>
    </row>
    <row r="171" spans="1:6" x14ac:dyDescent="0.3">
      <c r="A171">
        <v>2739.85</v>
      </c>
      <c r="B171">
        <v>4545.8599999999997</v>
      </c>
      <c r="C171">
        <v>458.34</v>
      </c>
      <c r="D171">
        <v>22039.55</v>
      </c>
      <c r="E171">
        <v>17025.09</v>
      </c>
      <c r="F171">
        <v>1896.79</v>
      </c>
    </row>
    <row r="172" spans="1:6" x14ac:dyDescent="0.3">
      <c r="A172">
        <v>2700.39</v>
      </c>
      <c r="B172">
        <v>4488.28</v>
      </c>
      <c r="C172">
        <v>460.97</v>
      </c>
      <c r="D172">
        <v>21872.01</v>
      </c>
      <c r="E172">
        <v>16592.18</v>
      </c>
      <c r="F172">
        <v>1896.31</v>
      </c>
    </row>
    <row r="173" spans="1:6" x14ac:dyDescent="0.3">
      <c r="A173">
        <v>2696.06</v>
      </c>
      <c r="B173">
        <v>4392.59</v>
      </c>
      <c r="C173">
        <v>459.82</v>
      </c>
      <c r="D173">
        <v>21518.080000000002</v>
      </c>
      <c r="E173">
        <v>16408.2</v>
      </c>
      <c r="F173">
        <v>1905.15</v>
      </c>
    </row>
    <row r="174" spans="1:6" x14ac:dyDescent="0.3">
      <c r="A174">
        <v>2704.71</v>
      </c>
      <c r="B174">
        <v>4271.78</v>
      </c>
      <c r="C174">
        <v>453.31</v>
      </c>
      <c r="D174">
        <v>20638.52</v>
      </c>
      <c r="E174">
        <v>15832.54</v>
      </c>
      <c r="F174">
        <v>1899.62</v>
      </c>
    </row>
    <row r="175" spans="1:6" x14ac:dyDescent="0.3">
      <c r="A175">
        <v>2695.05</v>
      </c>
      <c r="B175">
        <v>4131.93</v>
      </c>
      <c r="C175">
        <v>450.39</v>
      </c>
      <c r="D175">
        <v>21089.39</v>
      </c>
      <c r="E175">
        <v>16144.85</v>
      </c>
      <c r="F175">
        <v>1915.91</v>
      </c>
    </row>
    <row r="176" spans="1:6" x14ac:dyDescent="0.3">
      <c r="A176">
        <v>2644.51</v>
      </c>
      <c r="B176">
        <v>4123.34</v>
      </c>
      <c r="C176">
        <v>429.91</v>
      </c>
      <c r="D176">
        <v>20001.96</v>
      </c>
      <c r="E176">
        <v>16266.22</v>
      </c>
      <c r="F176">
        <v>1864.2</v>
      </c>
    </row>
    <row r="177" spans="1:6" x14ac:dyDescent="0.3">
      <c r="A177">
        <v>2604.2399999999998</v>
      </c>
      <c r="B177">
        <v>4023.89</v>
      </c>
      <c r="C177">
        <v>433.48</v>
      </c>
      <c r="D177">
        <v>19898.77</v>
      </c>
      <c r="E177">
        <v>16552.57</v>
      </c>
      <c r="F177">
        <v>1877.37</v>
      </c>
    </row>
    <row r="178" spans="1:6" x14ac:dyDescent="0.3">
      <c r="A178">
        <v>2639.29</v>
      </c>
      <c r="B178">
        <v>3901.36</v>
      </c>
      <c r="C178">
        <v>431.1</v>
      </c>
      <c r="D178">
        <v>20717.240000000002</v>
      </c>
      <c r="E178">
        <v>16460.12</v>
      </c>
      <c r="F178">
        <v>1887.3</v>
      </c>
    </row>
    <row r="179" spans="1:6" x14ac:dyDescent="0.3">
      <c r="A179">
        <v>2638.05</v>
      </c>
      <c r="B179">
        <v>4158.24</v>
      </c>
      <c r="C179">
        <v>443.93</v>
      </c>
      <c r="D179">
        <v>20697.36</v>
      </c>
      <c r="E179">
        <v>15641.26</v>
      </c>
      <c r="F179">
        <v>1933.14</v>
      </c>
    </row>
    <row r="180" spans="1:6" x14ac:dyDescent="0.3">
      <c r="A180">
        <v>2670.65</v>
      </c>
      <c r="B180">
        <v>4108.54</v>
      </c>
      <c r="C180">
        <v>440.09</v>
      </c>
      <c r="D180">
        <v>21082.13</v>
      </c>
      <c r="E180">
        <v>15303.32</v>
      </c>
      <c r="F180">
        <v>1943.09</v>
      </c>
    </row>
    <row r="181" spans="1:6" x14ac:dyDescent="0.3">
      <c r="A181">
        <v>2595.87</v>
      </c>
      <c r="B181">
        <v>3900.86</v>
      </c>
      <c r="C181">
        <v>422.71</v>
      </c>
      <c r="D181">
        <v>21806.18</v>
      </c>
      <c r="E181">
        <v>14343.08</v>
      </c>
      <c r="F181">
        <v>1835.9</v>
      </c>
    </row>
    <row r="182" spans="1:6" x14ac:dyDescent="0.3">
      <c r="A182">
        <v>2440.9299999999998</v>
      </c>
      <c r="B182">
        <v>3674.84</v>
      </c>
      <c r="C182">
        <v>403.25</v>
      </c>
      <c r="D182">
        <v>21075</v>
      </c>
      <c r="E182">
        <v>14464.53</v>
      </c>
      <c r="F182">
        <v>1866.72</v>
      </c>
    </row>
    <row r="183" spans="1:6" x14ac:dyDescent="0.3">
      <c r="A183">
        <v>2366.6</v>
      </c>
      <c r="B183">
        <v>3911.74</v>
      </c>
      <c r="C183">
        <v>412.93</v>
      </c>
      <c r="D183">
        <v>21719.06</v>
      </c>
      <c r="E183">
        <v>14550.62</v>
      </c>
      <c r="F183">
        <v>1845.04</v>
      </c>
    </row>
    <row r="184" spans="1:6" x14ac:dyDescent="0.3">
      <c r="A184">
        <v>2305.42</v>
      </c>
      <c r="B184">
        <v>3825.33</v>
      </c>
      <c r="C184">
        <v>407.13</v>
      </c>
      <c r="D184">
        <v>21859.79</v>
      </c>
      <c r="E184">
        <v>14949.36</v>
      </c>
      <c r="F184">
        <v>1887.43</v>
      </c>
    </row>
    <row r="185" spans="1:6" x14ac:dyDescent="0.3">
      <c r="A185">
        <v>2350.61</v>
      </c>
      <c r="B185">
        <v>3899.38</v>
      </c>
      <c r="C185">
        <v>417.12</v>
      </c>
      <c r="D185">
        <v>21725.78</v>
      </c>
      <c r="E185">
        <v>15000.07</v>
      </c>
      <c r="F185">
        <v>1892.5</v>
      </c>
    </row>
    <row r="186" spans="1:6" x14ac:dyDescent="0.3">
      <c r="A186">
        <v>2330.98</v>
      </c>
      <c r="B186">
        <v>3863.16</v>
      </c>
      <c r="C186">
        <v>413.78</v>
      </c>
      <c r="D186">
        <v>20297.72</v>
      </c>
      <c r="E186">
        <v>15036.04</v>
      </c>
      <c r="F186">
        <v>1955.97</v>
      </c>
    </row>
    <row r="187" spans="1:6" x14ac:dyDescent="0.3">
      <c r="A187">
        <v>2393.14</v>
      </c>
      <c r="B187">
        <v>3961.63</v>
      </c>
      <c r="C187">
        <v>425.71</v>
      </c>
      <c r="D187">
        <v>20609.14</v>
      </c>
      <c r="E187">
        <v>15288.97</v>
      </c>
      <c r="F187">
        <v>1940.31</v>
      </c>
    </row>
    <row r="188" spans="1:6" x14ac:dyDescent="0.3">
      <c r="A188">
        <v>2451.5</v>
      </c>
      <c r="B188">
        <v>4130.29</v>
      </c>
      <c r="C188">
        <v>438.29</v>
      </c>
      <c r="D188">
        <v>20156.509999999998</v>
      </c>
      <c r="E188">
        <v>15408.78</v>
      </c>
      <c r="F188">
        <v>1947.17</v>
      </c>
    </row>
    <row r="189" spans="1:6" x14ac:dyDescent="0.3">
      <c r="A189">
        <v>2490.8000000000002</v>
      </c>
      <c r="B189">
        <v>4145.1899999999996</v>
      </c>
      <c r="C189">
        <v>435.72</v>
      </c>
      <c r="D189">
        <v>20201.939999999999</v>
      </c>
      <c r="E189">
        <v>15278.44</v>
      </c>
      <c r="F189">
        <v>1973.18</v>
      </c>
    </row>
    <row r="190" spans="1:6" x14ac:dyDescent="0.3">
      <c r="A190">
        <v>2527.94</v>
      </c>
      <c r="B190">
        <v>4280.1499999999996</v>
      </c>
      <c r="C190">
        <v>440.87</v>
      </c>
      <c r="D190">
        <v>20175.62</v>
      </c>
      <c r="E190">
        <v>14673.04</v>
      </c>
      <c r="F190">
        <v>1994.52</v>
      </c>
    </row>
    <row r="191" spans="1:6" x14ac:dyDescent="0.3">
      <c r="A191">
        <v>2492.69</v>
      </c>
      <c r="B191">
        <v>4228.4799999999996</v>
      </c>
      <c r="C191">
        <v>437.36</v>
      </c>
      <c r="D191">
        <v>19773.03</v>
      </c>
      <c r="E191">
        <v>14583.42</v>
      </c>
      <c r="F191">
        <v>1979.59</v>
      </c>
    </row>
    <row r="192" spans="1:6" x14ac:dyDescent="0.3">
      <c r="A192">
        <v>2481.0300000000002</v>
      </c>
      <c r="B192">
        <v>4057.66</v>
      </c>
      <c r="C192">
        <v>426.09</v>
      </c>
      <c r="D192">
        <v>20170.04</v>
      </c>
      <c r="E192">
        <v>14561.76</v>
      </c>
      <c r="F192">
        <v>1930.17</v>
      </c>
    </row>
    <row r="193" spans="1:6" x14ac:dyDescent="0.3">
      <c r="A193">
        <v>2409.41</v>
      </c>
      <c r="B193">
        <v>3924.26</v>
      </c>
      <c r="C193">
        <v>415.97</v>
      </c>
      <c r="D193">
        <v>19452.09</v>
      </c>
      <c r="E193">
        <v>14118.38</v>
      </c>
      <c r="F193">
        <v>1965.53</v>
      </c>
    </row>
    <row r="194" spans="1:6" x14ac:dyDescent="0.3">
      <c r="A194">
        <v>2384.2800000000002</v>
      </c>
      <c r="B194">
        <v>4067.36</v>
      </c>
      <c r="C194">
        <v>420.37</v>
      </c>
      <c r="D194">
        <v>19362.25</v>
      </c>
      <c r="E194">
        <v>13424.58</v>
      </c>
      <c r="F194">
        <v>1938.56</v>
      </c>
    </row>
    <row r="195" spans="1:6" x14ac:dyDescent="0.3">
      <c r="A195">
        <v>2382.7800000000002</v>
      </c>
      <c r="B195">
        <v>3873.33</v>
      </c>
      <c r="C195">
        <v>408.24</v>
      </c>
      <c r="D195">
        <v>18761.689999999999</v>
      </c>
      <c r="E195">
        <v>13702.28</v>
      </c>
      <c r="F195">
        <v>1916.12</v>
      </c>
    </row>
    <row r="196" spans="1:6" x14ac:dyDescent="0.3">
      <c r="A196">
        <v>2290</v>
      </c>
      <c r="B196">
        <v>3693.23</v>
      </c>
      <c r="C196">
        <v>390.4</v>
      </c>
      <c r="D196">
        <v>17933.27</v>
      </c>
      <c r="E196">
        <v>13128.12</v>
      </c>
      <c r="F196">
        <v>1835.94</v>
      </c>
    </row>
    <row r="197" spans="1:6" x14ac:dyDescent="0.3">
      <c r="A197">
        <v>2155.4899999999998</v>
      </c>
      <c r="B197">
        <v>3585.62</v>
      </c>
      <c r="C197">
        <v>387.85</v>
      </c>
      <c r="D197">
        <v>17222.830000000002</v>
      </c>
      <c r="E197">
        <v>12819.2</v>
      </c>
      <c r="F197">
        <v>1906.8</v>
      </c>
    </row>
    <row r="198" spans="1:6" x14ac:dyDescent="0.3">
      <c r="A198">
        <v>2232.84</v>
      </c>
      <c r="B198">
        <v>3639.66</v>
      </c>
      <c r="C198">
        <v>391.67</v>
      </c>
      <c r="D198">
        <v>17740.05</v>
      </c>
      <c r="E198">
        <v>12788.42</v>
      </c>
      <c r="F198">
        <v>1898.19</v>
      </c>
    </row>
    <row r="199" spans="1:6" x14ac:dyDescent="0.3">
      <c r="A199">
        <v>2212.5500000000002</v>
      </c>
      <c r="B199">
        <v>3583.07</v>
      </c>
      <c r="C199">
        <v>391.31</v>
      </c>
      <c r="D199">
        <v>16587.689999999999</v>
      </c>
      <c r="E199">
        <v>13026.71</v>
      </c>
      <c r="F199">
        <v>1881.98</v>
      </c>
    </row>
    <row r="200" spans="1:6" x14ac:dyDescent="0.3">
      <c r="A200">
        <v>2213.12</v>
      </c>
      <c r="B200">
        <v>3752.75</v>
      </c>
      <c r="C200">
        <v>396.29</v>
      </c>
      <c r="D200">
        <v>16211.12</v>
      </c>
      <c r="E200">
        <v>14007.56</v>
      </c>
      <c r="F200">
        <v>1899.05</v>
      </c>
    </row>
    <row r="201" spans="1:6" x14ac:dyDescent="0.3">
      <c r="A201">
        <v>2268.4</v>
      </c>
      <c r="B201">
        <v>3901.06</v>
      </c>
      <c r="C201">
        <v>410.76</v>
      </c>
      <c r="D201">
        <v>14863.06</v>
      </c>
      <c r="E201">
        <v>14504.99</v>
      </c>
      <c r="F201">
        <v>1915.4</v>
      </c>
    </row>
    <row r="202" spans="1:6" x14ac:dyDescent="0.3">
      <c r="A202">
        <v>2348.4299999999998</v>
      </c>
      <c r="B202">
        <v>3770.55</v>
      </c>
      <c r="C202">
        <v>416.98</v>
      </c>
      <c r="D202">
        <v>16161.14</v>
      </c>
      <c r="E202">
        <v>14778.51</v>
      </c>
      <c r="F202">
        <v>1977.76</v>
      </c>
    </row>
    <row r="203" spans="1:6" x14ac:dyDescent="0.3">
      <c r="A203">
        <v>2483.16</v>
      </c>
      <c r="B203">
        <v>3992.93</v>
      </c>
      <c r="C203">
        <v>432.26</v>
      </c>
      <c r="D203">
        <v>17325.66</v>
      </c>
      <c r="E203">
        <v>14970.68</v>
      </c>
      <c r="F203">
        <v>1967.03</v>
      </c>
    </row>
    <row r="204" spans="1:6" x14ac:dyDescent="0.3">
      <c r="A204">
        <v>2444.48</v>
      </c>
      <c r="B204">
        <v>3965.34</v>
      </c>
      <c r="C204">
        <v>433.33</v>
      </c>
      <c r="D204">
        <v>17992.54</v>
      </c>
      <c r="E204">
        <v>14705.43</v>
      </c>
      <c r="F204">
        <v>2018</v>
      </c>
    </row>
    <row r="205" spans="1:6" x14ac:dyDescent="0.3">
      <c r="A205">
        <v>2437.86</v>
      </c>
      <c r="B205">
        <v>4026.12</v>
      </c>
      <c r="C205">
        <v>440.73</v>
      </c>
      <c r="D205">
        <v>17573.580000000002</v>
      </c>
      <c r="E205">
        <v>14528.55</v>
      </c>
      <c r="F205">
        <v>1953.98</v>
      </c>
    </row>
    <row r="206" spans="1:6" x14ac:dyDescent="0.3">
      <c r="A206">
        <v>2434.33</v>
      </c>
      <c r="B206">
        <v>4071.7</v>
      </c>
      <c r="C206">
        <v>443.29</v>
      </c>
      <c r="D206">
        <v>18675.349999999999</v>
      </c>
      <c r="E206">
        <v>14271.63</v>
      </c>
      <c r="F206">
        <v>1961.56</v>
      </c>
    </row>
    <row r="207" spans="1:6" x14ac:dyDescent="0.3">
      <c r="A207">
        <v>2389.04</v>
      </c>
      <c r="B207">
        <v>3934.38</v>
      </c>
      <c r="C207">
        <v>439.13</v>
      </c>
      <c r="D207">
        <v>19900.87</v>
      </c>
      <c r="E207">
        <v>14137.69</v>
      </c>
      <c r="F207">
        <v>1950.21</v>
      </c>
    </row>
    <row r="208" spans="1:6" x14ac:dyDescent="0.3">
      <c r="A208">
        <v>2360.02</v>
      </c>
      <c r="B208">
        <v>3852.36</v>
      </c>
      <c r="C208">
        <v>424.74</v>
      </c>
      <c r="D208">
        <v>19450.669999999998</v>
      </c>
      <c r="E208">
        <v>14373.34</v>
      </c>
      <c r="F208">
        <v>1897.94</v>
      </c>
    </row>
    <row r="209" spans="1:6" x14ac:dyDescent="0.3">
      <c r="A209">
        <v>2313.69</v>
      </c>
      <c r="B209">
        <v>3844.82</v>
      </c>
      <c r="C209">
        <v>427.45</v>
      </c>
      <c r="D209">
        <v>19593.060000000001</v>
      </c>
      <c r="E209">
        <v>14824.13</v>
      </c>
      <c r="F209">
        <v>1891.71</v>
      </c>
    </row>
    <row r="210" spans="1:6" x14ac:dyDescent="0.3">
      <c r="A210">
        <v>2236.4</v>
      </c>
      <c r="B210">
        <v>3839.5</v>
      </c>
      <c r="C210">
        <v>424.89</v>
      </c>
      <c r="D210">
        <v>19781.41</v>
      </c>
      <c r="E210">
        <v>14932.93</v>
      </c>
      <c r="F210">
        <v>1875.76</v>
      </c>
    </row>
    <row r="211" spans="1:6" x14ac:dyDescent="0.3">
      <c r="A211">
        <v>2289.9699999999998</v>
      </c>
      <c r="B211">
        <v>3895.08</v>
      </c>
      <c r="C211">
        <v>444.42</v>
      </c>
      <c r="D211">
        <v>20991.64</v>
      </c>
      <c r="E211">
        <v>15602.66</v>
      </c>
      <c r="F211">
        <v>1903.08</v>
      </c>
    </row>
    <row r="212" spans="1:6" x14ac:dyDescent="0.3">
      <c r="A212">
        <v>2386.09</v>
      </c>
      <c r="B212">
        <v>3999.09</v>
      </c>
      <c r="C212">
        <v>452.54</v>
      </c>
      <c r="D212">
        <v>21738.66</v>
      </c>
      <c r="E212">
        <v>15586.65</v>
      </c>
      <c r="F212">
        <v>1926.87</v>
      </c>
    </row>
    <row r="213" spans="1:6" x14ac:dyDescent="0.3">
      <c r="A213">
        <v>2395.2600000000002</v>
      </c>
      <c r="B213">
        <v>3972.61</v>
      </c>
      <c r="C213">
        <v>452.12</v>
      </c>
      <c r="D213">
        <v>22044.65</v>
      </c>
      <c r="E213">
        <v>15479.7</v>
      </c>
      <c r="F213">
        <v>1982.66</v>
      </c>
    </row>
    <row r="214" spans="1:6" x14ac:dyDescent="0.3">
      <c r="A214">
        <v>2484.02</v>
      </c>
      <c r="B214">
        <v>4070.56</v>
      </c>
      <c r="C214">
        <v>455.17</v>
      </c>
      <c r="D214">
        <v>22688.9</v>
      </c>
      <c r="E214">
        <v>15503.79</v>
      </c>
      <c r="F214">
        <v>1970.26</v>
      </c>
    </row>
    <row r="215" spans="1:6" x14ac:dyDescent="0.3">
      <c r="A215">
        <v>2480.4</v>
      </c>
      <c r="B215">
        <v>4136.4799999999996</v>
      </c>
      <c r="C215">
        <v>460.77</v>
      </c>
      <c r="D215">
        <v>21660.47</v>
      </c>
      <c r="E215">
        <v>15608.42</v>
      </c>
      <c r="F215">
        <v>1986.96</v>
      </c>
    </row>
    <row r="216" spans="1:6" x14ac:dyDescent="0.3">
      <c r="A216">
        <v>2469.73</v>
      </c>
      <c r="B216">
        <v>4090.46</v>
      </c>
      <c r="C216">
        <v>457.89</v>
      </c>
      <c r="D216">
        <v>21190.42</v>
      </c>
      <c r="E216">
        <v>15526.2</v>
      </c>
      <c r="F216">
        <v>1991.93</v>
      </c>
    </row>
    <row r="217" spans="1:6" x14ac:dyDescent="0.3">
      <c r="A217">
        <v>2451.21</v>
      </c>
      <c r="B217">
        <v>4079.09</v>
      </c>
      <c r="C217">
        <v>464.3</v>
      </c>
      <c r="D217">
        <v>20719.810000000001</v>
      </c>
      <c r="E217">
        <v>15452.96</v>
      </c>
      <c r="F217">
        <v>1988.4</v>
      </c>
    </row>
    <row r="218" spans="1:6" x14ac:dyDescent="0.3">
      <c r="A218">
        <v>2423.61</v>
      </c>
      <c r="B218">
        <v>3970.04</v>
      </c>
      <c r="C218">
        <v>457.7</v>
      </c>
      <c r="D218">
        <v>20010.04</v>
      </c>
      <c r="E218">
        <v>15914.7</v>
      </c>
      <c r="F218">
        <v>2019.52</v>
      </c>
    </row>
    <row r="219" spans="1:6" x14ac:dyDescent="0.3">
      <c r="A219">
        <v>2432.0700000000002</v>
      </c>
      <c r="B219">
        <v>4045.64</v>
      </c>
      <c r="C219">
        <v>464.26</v>
      </c>
      <c r="D219">
        <v>20567.54</v>
      </c>
      <c r="E219">
        <v>15868.06</v>
      </c>
      <c r="F219">
        <v>2031.58</v>
      </c>
    </row>
    <row r="220" spans="1:6" x14ac:dyDescent="0.3">
      <c r="A220">
        <v>2394.59</v>
      </c>
      <c r="B220">
        <v>3861.59</v>
      </c>
      <c r="C220">
        <v>453.76</v>
      </c>
      <c r="D220">
        <v>19319.919999999998</v>
      </c>
      <c r="E220">
        <v>15836.5</v>
      </c>
      <c r="F220">
        <v>1959.42</v>
      </c>
    </row>
    <row r="221" spans="1:6" x14ac:dyDescent="0.3">
      <c r="A221">
        <v>2395.69</v>
      </c>
      <c r="B221">
        <v>3916.64</v>
      </c>
      <c r="C221">
        <v>436.31</v>
      </c>
      <c r="D221">
        <v>19518.59</v>
      </c>
      <c r="E221">
        <v>15929.43</v>
      </c>
      <c r="F221">
        <v>1955.32</v>
      </c>
    </row>
    <row r="222" spans="1:6" x14ac:dyDescent="0.3">
      <c r="A222">
        <v>2414.96</v>
      </c>
      <c r="B222">
        <v>3970.99</v>
      </c>
      <c r="C222">
        <v>440.11</v>
      </c>
      <c r="D222">
        <v>19915.68</v>
      </c>
      <c r="E222">
        <v>15602.99</v>
      </c>
      <c r="F222">
        <v>2003.5</v>
      </c>
    </row>
    <row r="223" spans="1:6" x14ac:dyDescent="0.3">
      <c r="A223">
        <v>2476.86</v>
      </c>
      <c r="B223">
        <v>4109.3100000000004</v>
      </c>
      <c r="C223">
        <v>457.84</v>
      </c>
      <c r="D223">
        <v>20400.11</v>
      </c>
      <c r="E223">
        <v>15579.18</v>
      </c>
      <c r="F223">
        <v>1965.44</v>
      </c>
    </row>
    <row r="224" spans="1:6" x14ac:dyDescent="0.3">
      <c r="A224">
        <v>2490.41</v>
      </c>
      <c r="B224">
        <v>4105.0200000000004</v>
      </c>
      <c r="C224">
        <v>458.94</v>
      </c>
      <c r="D224">
        <v>20331.2</v>
      </c>
      <c r="E224">
        <v>15626.07</v>
      </c>
      <c r="F224">
        <v>2018.72</v>
      </c>
    </row>
    <row r="225" spans="1:6" x14ac:dyDescent="0.3">
      <c r="A225">
        <v>2571.4899999999998</v>
      </c>
      <c r="B225">
        <v>4137.6400000000003</v>
      </c>
      <c r="C225">
        <v>466.91</v>
      </c>
      <c r="D225">
        <v>20438.810000000001</v>
      </c>
      <c r="E225">
        <v>15502.36</v>
      </c>
      <c r="F225">
        <v>2035.06</v>
      </c>
    </row>
    <row r="226" spans="1:6" x14ac:dyDescent="0.3">
      <c r="A226">
        <v>2544.4</v>
      </c>
      <c r="B226">
        <v>4133.5200000000004</v>
      </c>
      <c r="C226">
        <v>469</v>
      </c>
      <c r="D226">
        <v>20075.73</v>
      </c>
      <c r="E226">
        <v>16174.92</v>
      </c>
      <c r="F226">
        <v>2057.48</v>
      </c>
    </row>
    <row r="227" spans="1:6" x14ac:dyDescent="0.3">
      <c r="A227">
        <v>2501.5300000000002</v>
      </c>
      <c r="B227">
        <v>4169.4799999999996</v>
      </c>
      <c r="C227">
        <v>466.64</v>
      </c>
      <c r="D227">
        <v>19894.57</v>
      </c>
      <c r="E227">
        <v>16505.05</v>
      </c>
      <c r="F227">
        <v>2075.5300000000002</v>
      </c>
    </row>
    <row r="228" spans="1:6" x14ac:dyDescent="0.3">
      <c r="A228">
        <v>2500.94</v>
      </c>
      <c r="B228">
        <v>4136.25</v>
      </c>
      <c r="C228">
        <v>465.31</v>
      </c>
      <c r="D228">
        <v>20049.310000000001</v>
      </c>
      <c r="E228">
        <v>16706.91</v>
      </c>
      <c r="F228">
        <v>2096.39</v>
      </c>
    </row>
    <row r="229" spans="1:6" x14ac:dyDescent="0.3">
      <c r="A229">
        <v>2475.42</v>
      </c>
      <c r="B229">
        <v>4124.08</v>
      </c>
      <c r="C229">
        <v>465.49</v>
      </c>
      <c r="D229">
        <v>19627.240000000002</v>
      </c>
      <c r="E229">
        <v>16886.400000000001</v>
      </c>
      <c r="F229">
        <v>2161.69</v>
      </c>
    </row>
    <row r="230" spans="1:6" x14ac:dyDescent="0.3">
      <c r="A230">
        <v>2537.79</v>
      </c>
      <c r="B230">
        <v>4191.9799999999996</v>
      </c>
      <c r="C230">
        <v>468.85</v>
      </c>
      <c r="D230">
        <v>19450.57</v>
      </c>
      <c r="E230">
        <v>17288.91</v>
      </c>
      <c r="F230">
        <v>2145.84</v>
      </c>
    </row>
    <row r="231" spans="1:6" x14ac:dyDescent="0.3">
      <c r="A231">
        <v>2558.81</v>
      </c>
      <c r="B231">
        <v>4205.45</v>
      </c>
      <c r="C231">
        <v>461.41</v>
      </c>
      <c r="D231">
        <v>18746.919999999998</v>
      </c>
      <c r="E231">
        <v>17202.400000000001</v>
      </c>
      <c r="F231">
        <v>2182.6999999999998</v>
      </c>
    </row>
    <row r="232" spans="1:6" x14ac:dyDescent="0.3">
      <c r="A232">
        <v>2601.36</v>
      </c>
      <c r="B232">
        <v>4282.37</v>
      </c>
      <c r="C232">
        <v>462.15</v>
      </c>
      <c r="D232">
        <v>18949.939999999999</v>
      </c>
      <c r="E232">
        <v>16915.54</v>
      </c>
      <c r="F232">
        <v>2224.3200000000002</v>
      </c>
    </row>
    <row r="233" spans="1:6" x14ac:dyDescent="0.3">
      <c r="A233">
        <v>2641.16</v>
      </c>
      <c r="B233">
        <v>4298.8599999999997</v>
      </c>
      <c r="C233">
        <v>460.01</v>
      </c>
      <c r="D233">
        <v>19389.95</v>
      </c>
      <c r="E233">
        <v>16664.21</v>
      </c>
      <c r="F233">
        <v>2300.36</v>
      </c>
    </row>
    <row r="234" spans="1:6" x14ac:dyDescent="0.3">
      <c r="A234">
        <v>2625.79</v>
      </c>
      <c r="B234">
        <v>4409.59</v>
      </c>
      <c r="C234">
        <v>466.8</v>
      </c>
      <c r="D234">
        <v>20040.37</v>
      </c>
      <c r="E234">
        <v>17283.71</v>
      </c>
      <c r="F234">
        <v>2264.73</v>
      </c>
    </row>
    <row r="235" spans="1:6" x14ac:dyDescent="0.3">
      <c r="A235">
        <v>2570.1</v>
      </c>
      <c r="B235">
        <v>4348.33</v>
      </c>
      <c r="C235">
        <v>453.14</v>
      </c>
      <c r="D235">
        <v>18889.97</v>
      </c>
      <c r="E235">
        <v>17030.7</v>
      </c>
      <c r="F235">
        <v>2288.6</v>
      </c>
    </row>
    <row r="236" spans="1:6" x14ac:dyDescent="0.3">
      <c r="A236">
        <v>2564.2800000000002</v>
      </c>
      <c r="B236">
        <v>4450.38</v>
      </c>
      <c r="C236">
        <v>461.93</v>
      </c>
      <c r="D236">
        <v>18916.43</v>
      </c>
      <c r="E236">
        <v>17292.93</v>
      </c>
      <c r="F236">
        <v>2254.9</v>
      </c>
    </row>
    <row r="237" spans="1:6" x14ac:dyDescent="0.3">
      <c r="A237">
        <v>2526.71</v>
      </c>
      <c r="B237">
        <v>4398.95</v>
      </c>
      <c r="C237">
        <v>447.65</v>
      </c>
      <c r="D237">
        <v>18365.7</v>
      </c>
      <c r="E237">
        <v>16843.68</v>
      </c>
      <c r="F237">
        <v>2239.1</v>
      </c>
    </row>
    <row r="238" spans="1:6" x14ac:dyDescent="0.3">
      <c r="A238">
        <v>2628.3</v>
      </c>
      <c r="B238">
        <v>4505.42</v>
      </c>
      <c r="C238">
        <v>460.83</v>
      </c>
      <c r="D238">
        <v>19413.78</v>
      </c>
      <c r="E238">
        <v>16601.25</v>
      </c>
      <c r="F238">
        <v>2262.1999999999998</v>
      </c>
    </row>
    <row r="239" spans="1:6" x14ac:dyDescent="0.3">
      <c r="A239">
        <v>2609.7600000000002</v>
      </c>
      <c r="B239">
        <v>4536.34</v>
      </c>
      <c r="C239">
        <v>465.4</v>
      </c>
      <c r="D239">
        <v>19075.259999999998</v>
      </c>
      <c r="E239">
        <v>16381.31</v>
      </c>
      <c r="F239">
        <v>2290.61</v>
      </c>
    </row>
    <row r="240" spans="1:6" x14ac:dyDescent="0.3">
      <c r="A240">
        <v>2608.3200000000002</v>
      </c>
      <c r="B240">
        <v>4582.2299999999996</v>
      </c>
      <c r="C240">
        <v>470.78</v>
      </c>
      <c r="D240">
        <v>19916.560000000001</v>
      </c>
      <c r="E240">
        <v>16481.580000000002</v>
      </c>
      <c r="F240">
        <v>2274.63</v>
      </c>
    </row>
    <row r="241" spans="1:6" x14ac:dyDescent="0.3">
      <c r="A241">
        <v>2602.8000000000002</v>
      </c>
      <c r="B241">
        <v>4478.03</v>
      </c>
      <c r="C241">
        <v>459.28</v>
      </c>
      <c r="D241">
        <v>19539.46</v>
      </c>
      <c r="E241">
        <v>16644.939999999999</v>
      </c>
      <c r="F241">
        <v>2303.5100000000002</v>
      </c>
    </row>
    <row r="242" spans="1:6" x14ac:dyDescent="0.3">
      <c r="A242">
        <v>2591.2600000000002</v>
      </c>
      <c r="B242">
        <v>4464.05</v>
      </c>
      <c r="C242">
        <v>459.17</v>
      </c>
      <c r="D242">
        <v>19075.189999999999</v>
      </c>
      <c r="E242">
        <v>16576.02</v>
      </c>
      <c r="F242">
        <v>2237.29</v>
      </c>
    </row>
    <row r="243" spans="1:6" x14ac:dyDescent="0.3">
      <c r="A243">
        <v>2504.5</v>
      </c>
      <c r="B243">
        <v>4369.71</v>
      </c>
      <c r="C243">
        <v>448.44</v>
      </c>
      <c r="D243">
        <v>17950.849999999999</v>
      </c>
      <c r="E243">
        <v>16920.919999999998</v>
      </c>
      <c r="F243">
        <v>2266.4</v>
      </c>
    </row>
    <row r="244" spans="1:6" x14ac:dyDescent="0.3">
      <c r="A244">
        <v>2519.14</v>
      </c>
      <c r="B244">
        <v>4405.71</v>
      </c>
      <c r="C244">
        <v>451.39</v>
      </c>
      <c r="D244">
        <v>17956.38</v>
      </c>
      <c r="E244">
        <v>16344.48</v>
      </c>
      <c r="F244">
        <v>2349.75</v>
      </c>
    </row>
    <row r="245" spans="1:6" x14ac:dyDescent="0.3">
      <c r="A245">
        <v>2563.71</v>
      </c>
      <c r="B245">
        <v>4515.7700000000004</v>
      </c>
      <c r="C245">
        <v>458.13</v>
      </c>
      <c r="D245">
        <v>18382.060000000001</v>
      </c>
      <c r="E245">
        <v>16353.74</v>
      </c>
      <c r="F245">
        <v>2359.02</v>
      </c>
    </row>
    <row r="246" spans="1:6" x14ac:dyDescent="0.3">
      <c r="A246">
        <v>2547.6799999999998</v>
      </c>
      <c r="B246">
        <v>4457.49</v>
      </c>
      <c r="C246">
        <v>454.66</v>
      </c>
      <c r="D246">
        <v>18202.07</v>
      </c>
      <c r="E246">
        <v>16520.57</v>
      </c>
      <c r="F246">
        <v>2428.38</v>
      </c>
    </row>
    <row r="247" spans="1:6" x14ac:dyDescent="0.3">
      <c r="A247">
        <v>2601.2800000000002</v>
      </c>
      <c r="B247">
        <v>4450.32</v>
      </c>
      <c r="C247">
        <v>461.93</v>
      </c>
      <c r="D247">
        <v>18182.89</v>
      </c>
      <c r="E247">
        <v>16782.57</v>
      </c>
      <c r="F247">
        <v>2376.27</v>
      </c>
    </row>
    <row r="248" spans="1:6" x14ac:dyDescent="0.3">
      <c r="A248">
        <v>2508.13</v>
      </c>
      <c r="B248">
        <v>4320.0600000000004</v>
      </c>
      <c r="C248">
        <v>453.26</v>
      </c>
      <c r="D248">
        <v>18057.45</v>
      </c>
      <c r="E248">
        <v>16440.72</v>
      </c>
      <c r="F248">
        <v>2323.39</v>
      </c>
    </row>
    <row r="249" spans="1:6" x14ac:dyDescent="0.3">
      <c r="A249">
        <v>2465.0700000000002</v>
      </c>
      <c r="B249">
        <v>4288.05</v>
      </c>
      <c r="C249">
        <v>450.22</v>
      </c>
      <c r="D249">
        <v>17809.66</v>
      </c>
      <c r="E249">
        <v>16134.61</v>
      </c>
      <c r="F249">
        <v>2264.08</v>
      </c>
    </row>
    <row r="250" spans="1:6" x14ac:dyDescent="0.3">
      <c r="A250">
        <v>2408.73</v>
      </c>
      <c r="B250">
        <v>4308.5</v>
      </c>
      <c r="C250">
        <v>444.93</v>
      </c>
      <c r="D250">
        <v>17485.98</v>
      </c>
      <c r="E250">
        <v>16507.650000000001</v>
      </c>
      <c r="F250">
        <v>2308.75</v>
      </c>
    </row>
    <row r="251" spans="1:6" x14ac:dyDescent="0.3">
      <c r="A251">
        <v>2456.15</v>
      </c>
      <c r="B251">
        <v>4327.78</v>
      </c>
      <c r="C251">
        <v>449.18</v>
      </c>
      <c r="D251">
        <v>17813.45</v>
      </c>
      <c r="E251">
        <v>16682.669999999998</v>
      </c>
      <c r="F251">
        <v>2255.65</v>
      </c>
    </row>
    <row r="252" spans="1:6" x14ac:dyDescent="0.3">
      <c r="A252">
        <v>2375</v>
      </c>
      <c r="B252">
        <v>4224.16</v>
      </c>
      <c r="C252">
        <v>433.73</v>
      </c>
      <c r="D252">
        <v>17172.13</v>
      </c>
      <c r="E252">
        <v>17208.95</v>
      </c>
      <c r="F252">
        <v>2254.65</v>
      </c>
    </row>
    <row r="253" spans="1:6" x14ac:dyDescent="0.3">
      <c r="A253">
        <v>2302.81</v>
      </c>
      <c r="B253">
        <v>4117.37</v>
      </c>
      <c r="C253">
        <v>429.58</v>
      </c>
      <c r="D253">
        <v>17398.73</v>
      </c>
      <c r="E253">
        <v>17287.419999999998</v>
      </c>
      <c r="F253">
        <v>2322.39</v>
      </c>
    </row>
    <row r="254" spans="1:6" x14ac:dyDescent="0.3">
      <c r="A254">
        <v>2368.34</v>
      </c>
      <c r="B254">
        <v>4358.34</v>
      </c>
      <c r="C254">
        <v>444.24</v>
      </c>
      <c r="D254">
        <v>17664.12</v>
      </c>
      <c r="E254">
        <v>17438.349999999999</v>
      </c>
      <c r="F254">
        <v>2336.7199999999998</v>
      </c>
    </row>
    <row r="255" spans="1:6" x14ac:dyDescent="0.3">
      <c r="A255">
        <v>2409.66</v>
      </c>
      <c r="B255">
        <v>4415.24</v>
      </c>
      <c r="C255">
        <v>443.31</v>
      </c>
      <c r="D255">
        <v>17203.259999999998</v>
      </c>
      <c r="E255">
        <v>17383.990000000002</v>
      </c>
      <c r="F255">
        <v>2391.0500000000002</v>
      </c>
    </row>
    <row r="256" spans="1:6" x14ac:dyDescent="0.3">
      <c r="A256">
        <v>2469.85</v>
      </c>
      <c r="B256">
        <v>4514.0200000000004</v>
      </c>
      <c r="C256">
        <v>455.82</v>
      </c>
      <c r="D256">
        <v>17454.189999999999</v>
      </c>
      <c r="E256">
        <v>17673.87</v>
      </c>
      <c r="F256">
        <v>2390.94</v>
      </c>
    </row>
    <row r="257" spans="1:6" x14ac:dyDescent="0.3">
      <c r="A257">
        <v>2496.63</v>
      </c>
      <c r="B257">
        <v>4559.34</v>
      </c>
      <c r="C257">
        <v>459.98</v>
      </c>
      <c r="D257">
        <v>17559.419999999998</v>
      </c>
      <c r="E257">
        <v>17596.63</v>
      </c>
      <c r="F257">
        <v>2382.52</v>
      </c>
    </row>
    <row r="258" spans="1:6" x14ac:dyDescent="0.3">
      <c r="A258">
        <v>2505.0100000000002</v>
      </c>
      <c r="B258">
        <v>4594.63</v>
      </c>
      <c r="C258">
        <v>466.2</v>
      </c>
      <c r="D258">
        <v>16830.3</v>
      </c>
      <c r="E258">
        <v>17930.810000000001</v>
      </c>
      <c r="F258">
        <v>2324.4699999999998</v>
      </c>
    </row>
    <row r="259" spans="1:6" x14ac:dyDescent="0.3">
      <c r="A259">
        <v>2517.85</v>
      </c>
      <c r="B259">
        <v>4604.37</v>
      </c>
      <c r="C259">
        <v>472.26</v>
      </c>
      <c r="D259">
        <v>16334.37</v>
      </c>
      <c r="E259">
        <v>17519.14</v>
      </c>
      <c r="F259">
        <v>2332.2800000000002</v>
      </c>
    </row>
    <row r="260" spans="1:6" x14ac:dyDescent="0.3">
      <c r="A260">
        <v>2563.56</v>
      </c>
      <c r="B260">
        <v>4719.1899999999996</v>
      </c>
      <c r="C260">
        <v>476.61</v>
      </c>
      <c r="D260">
        <v>16792.189999999999</v>
      </c>
      <c r="E260">
        <v>17512.830000000002</v>
      </c>
      <c r="F260">
        <v>2336.4299999999998</v>
      </c>
    </row>
    <row r="261" spans="1:6" x14ac:dyDescent="0.3">
      <c r="A261">
        <v>2599.5100000000002</v>
      </c>
      <c r="B261">
        <v>4754.63</v>
      </c>
      <c r="C261">
        <v>477.6</v>
      </c>
      <c r="D261">
        <v>16340.41</v>
      </c>
      <c r="E261">
        <v>17681.52</v>
      </c>
      <c r="F261">
        <v>2366.39</v>
      </c>
    </row>
    <row r="262" spans="1:6" x14ac:dyDescent="0.3">
      <c r="A262">
        <v>2655.28</v>
      </c>
      <c r="B262">
        <v>4769.83</v>
      </c>
      <c r="C262">
        <v>478.99</v>
      </c>
      <c r="D262">
        <v>17047.39</v>
      </c>
      <c r="E262">
        <v>17995.03</v>
      </c>
      <c r="F262">
        <v>2393.54</v>
      </c>
    </row>
    <row r="263" spans="1:6" x14ac:dyDescent="0.3">
      <c r="A263">
        <v>2578.08</v>
      </c>
      <c r="B263">
        <v>4697.24</v>
      </c>
      <c r="C263">
        <v>476.38</v>
      </c>
      <c r="D263">
        <v>16535.330000000002</v>
      </c>
      <c r="E263">
        <v>18059.93</v>
      </c>
      <c r="F263">
        <v>2494.23</v>
      </c>
    </row>
    <row r="264" spans="1:6" x14ac:dyDescent="0.3">
      <c r="A264">
        <v>2525.0500000000002</v>
      </c>
      <c r="B264">
        <v>4783.83</v>
      </c>
      <c r="C264">
        <v>476.76</v>
      </c>
      <c r="D264">
        <v>16244.58</v>
      </c>
      <c r="E264">
        <v>18096.07</v>
      </c>
      <c r="F264">
        <v>2510.0300000000002</v>
      </c>
    </row>
    <row r="265" spans="1:6" x14ac:dyDescent="0.3">
      <c r="A265">
        <v>2472.7399999999998</v>
      </c>
      <c r="B265">
        <v>4839.8100000000004</v>
      </c>
      <c r="C265">
        <v>469.24</v>
      </c>
      <c r="D265">
        <v>15308.69</v>
      </c>
      <c r="E265">
        <v>18607.25</v>
      </c>
      <c r="F265">
        <v>2497.65</v>
      </c>
    </row>
    <row r="266" spans="1:6" x14ac:dyDescent="0.3">
      <c r="A266">
        <v>2478.56</v>
      </c>
      <c r="B266">
        <v>4890.97</v>
      </c>
      <c r="C266">
        <v>483.84</v>
      </c>
      <c r="D266">
        <v>15952.23</v>
      </c>
      <c r="E266">
        <v>18889.189999999999</v>
      </c>
      <c r="F266">
        <v>2539.6799999999998</v>
      </c>
    </row>
    <row r="267" spans="1:6" x14ac:dyDescent="0.3">
      <c r="A267">
        <v>2615.31</v>
      </c>
      <c r="B267">
        <v>4958.6099999999997</v>
      </c>
      <c r="C267">
        <v>483.93</v>
      </c>
      <c r="D267">
        <v>15533.56</v>
      </c>
      <c r="E267">
        <v>18935.93</v>
      </c>
      <c r="F267">
        <v>2557.88</v>
      </c>
    </row>
    <row r="268" spans="1:6" x14ac:dyDescent="0.3">
      <c r="A268">
        <v>2620.3200000000002</v>
      </c>
      <c r="B268">
        <v>5026.6099999999997</v>
      </c>
      <c r="C268">
        <v>484.83</v>
      </c>
      <c r="D268">
        <v>15746.58</v>
      </c>
      <c r="E268">
        <v>19785.32</v>
      </c>
      <c r="F268">
        <v>2624.73</v>
      </c>
    </row>
    <row r="269" spans="1:6" x14ac:dyDescent="0.3">
      <c r="A269">
        <v>2648.76</v>
      </c>
      <c r="B269">
        <v>5005.57</v>
      </c>
      <c r="C269">
        <v>491.59</v>
      </c>
      <c r="D269">
        <v>16339.96</v>
      </c>
      <c r="E269">
        <v>19682.5</v>
      </c>
      <c r="F269">
        <v>2660.71</v>
      </c>
    </row>
    <row r="270" spans="1:6" x14ac:dyDescent="0.3">
      <c r="A270">
        <v>2667.7</v>
      </c>
      <c r="B270">
        <v>5088.8</v>
      </c>
      <c r="C270">
        <v>497.25</v>
      </c>
      <c r="D270">
        <v>16725.86</v>
      </c>
      <c r="E270">
        <v>20228.43</v>
      </c>
      <c r="F270">
        <v>2709.42</v>
      </c>
    </row>
    <row r="271" spans="1:6" x14ac:dyDescent="0.3">
      <c r="A271">
        <v>2642.36</v>
      </c>
      <c r="B271">
        <v>5137.08</v>
      </c>
      <c r="C271">
        <v>497.58</v>
      </c>
      <c r="D271">
        <v>16589.439999999999</v>
      </c>
      <c r="E271">
        <v>20294.45</v>
      </c>
      <c r="F271">
        <v>2726.8</v>
      </c>
    </row>
    <row r="272" spans="1:6" x14ac:dyDescent="0.3">
      <c r="A272">
        <v>2680.35</v>
      </c>
      <c r="B272">
        <v>5123.6899999999996</v>
      </c>
      <c r="C272">
        <v>503.26</v>
      </c>
      <c r="D272">
        <v>16353.39</v>
      </c>
      <c r="E272">
        <v>20337.599999999999</v>
      </c>
      <c r="F272">
        <v>2670.8</v>
      </c>
    </row>
    <row r="273" spans="1:6" x14ac:dyDescent="0.3">
      <c r="A273">
        <v>2666.84</v>
      </c>
      <c r="B273">
        <v>5117.09</v>
      </c>
      <c r="C273">
        <v>504.8</v>
      </c>
      <c r="D273">
        <v>16720.89</v>
      </c>
      <c r="E273">
        <v>20736.57</v>
      </c>
      <c r="F273">
        <v>2813.22</v>
      </c>
    </row>
    <row r="274" spans="1:6" x14ac:dyDescent="0.3">
      <c r="A274">
        <v>2748.56</v>
      </c>
      <c r="B274">
        <v>5234.18</v>
      </c>
      <c r="C274">
        <v>509.64</v>
      </c>
      <c r="D274">
        <v>16499.47</v>
      </c>
      <c r="E274">
        <v>19527.12</v>
      </c>
      <c r="F274">
        <v>2768.62</v>
      </c>
    </row>
    <row r="275" spans="1:6" x14ac:dyDescent="0.3">
      <c r="A275">
        <v>2746.63</v>
      </c>
      <c r="B275">
        <v>5254.35</v>
      </c>
      <c r="C275">
        <v>512.66999999999996</v>
      </c>
      <c r="D275">
        <v>16541.419999999998</v>
      </c>
      <c r="E275">
        <v>20120.509999999998</v>
      </c>
      <c r="F275">
        <v>2702.62</v>
      </c>
    </row>
    <row r="276" spans="1:6" x14ac:dyDescent="0.3">
      <c r="A276">
        <v>2714.21</v>
      </c>
      <c r="B276">
        <v>5204.34</v>
      </c>
      <c r="C276">
        <v>506.55</v>
      </c>
      <c r="D276">
        <v>16723.919999999998</v>
      </c>
      <c r="E276">
        <v>20330.32</v>
      </c>
      <c r="F276">
        <v>2759.64</v>
      </c>
    </row>
    <row r="277" spans="1:6" x14ac:dyDescent="0.3">
      <c r="A277">
        <v>2681.82</v>
      </c>
      <c r="B277">
        <v>5123.41</v>
      </c>
      <c r="C277">
        <v>505.25</v>
      </c>
      <c r="D277">
        <v>16721.689999999999</v>
      </c>
      <c r="E277">
        <v>20708.84</v>
      </c>
      <c r="F277">
        <v>2626.32</v>
      </c>
    </row>
    <row r="278" spans="1:6" x14ac:dyDescent="0.3">
      <c r="A278">
        <v>2591.86</v>
      </c>
      <c r="B278">
        <v>4967.2299999999996</v>
      </c>
      <c r="C278">
        <v>499.29</v>
      </c>
      <c r="D278">
        <v>16224.14</v>
      </c>
      <c r="E278">
        <v>21258.47</v>
      </c>
      <c r="F278">
        <v>2686.48</v>
      </c>
    </row>
    <row r="279" spans="1:6" x14ac:dyDescent="0.3">
      <c r="A279">
        <v>2656.33</v>
      </c>
      <c r="B279">
        <v>5099.96</v>
      </c>
      <c r="C279">
        <v>507.98</v>
      </c>
      <c r="D279">
        <v>17651.150000000001</v>
      </c>
      <c r="E279">
        <v>21565.34</v>
      </c>
      <c r="F279">
        <v>2728.53</v>
      </c>
    </row>
    <row r="280" spans="1:6" x14ac:dyDescent="0.3">
      <c r="A280">
        <v>2676.63</v>
      </c>
      <c r="B280">
        <v>5127.79</v>
      </c>
      <c r="C280">
        <v>505.53</v>
      </c>
      <c r="D280">
        <v>18475.919999999998</v>
      </c>
      <c r="E280">
        <v>21174.22</v>
      </c>
      <c r="F280">
        <v>2728.21</v>
      </c>
    </row>
    <row r="281" spans="1:6" x14ac:dyDescent="0.3">
      <c r="A281">
        <v>2727.63</v>
      </c>
      <c r="B281">
        <v>5222.68</v>
      </c>
      <c r="C281">
        <v>520.76</v>
      </c>
      <c r="D281">
        <v>18963.68</v>
      </c>
      <c r="E281">
        <v>21858.38</v>
      </c>
      <c r="F281">
        <v>2745.62</v>
      </c>
    </row>
    <row r="282" spans="1:6" x14ac:dyDescent="0.3">
      <c r="A282">
        <v>2724.62</v>
      </c>
      <c r="B282">
        <v>5303.27</v>
      </c>
      <c r="C282">
        <v>522.94000000000005</v>
      </c>
      <c r="D282">
        <v>19553.61</v>
      </c>
      <c r="E282">
        <v>22504.720000000001</v>
      </c>
      <c r="F282">
        <v>2742.54</v>
      </c>
    </row>
    <row r="283" spans="1:6" x14ac:dyDescent="0.3">
      <c r="A283">
        <v>2687.6</v>
      </c>
      <c r="B283">
        <v>5304.72</v>
      </c>
      <c r="C283">
        <v>520.57000000000005</v>
      </c>
      <c r="D283">
        <v>18608.939999999999</v>
      </c>
      <c r="E283">
        <v>23253.39</v>
      </c>
      <c r="F283">
        <v>2772.49</v>
      </c>
    </row>
    <row r="284" spans="1:6" x14ac:dyDescent="0.3">
      <c r="A284">
        <v>2636.52</v>
      </c>
      <c r="B284">
        <v>5277.51</v>
      </c>
      <c r="C284">
        <v>518.16999999999996</v>
      </c>
      <c r="D284">
        <v>18079.61</v>
      </c>
      <c r="E284">
        <v>23032.25</v>
      </c>
      <c r="F284">
        <v>2755.03</v>
      </c>
    </row>
    <row r="285" spans="1:6" x14ac:dyDescent="0.3">
      <c r="A285">
        <v>2722.67</v>
      </c>
      <c r="B285">
        <v>5346.99</v>
      </c>
      <c r="C285">
        <v>523.54999999999995</v>
      </c>
      <c r="D285">
        <v>18366.95</v>
      </c>
      <c r="E285">
        <v>23556.6</v>
      </c>
      <c r="F285">
        <v>2746.61</v>
      </c>
    </row>
    <row r="286" spans="1:6" x14ac:dyDescent="0.3">
      <c r="A286">
        <v>2758.42</v>
      </c>
      <c r="B286">
        <v>5431.6</v>
      </c>
      <c r="C286">
        <v>511.05</v>
      </c>
      <c r="D286">
        <v>17941.78</v>
      </c>
      <c r="E286">
        <v>23916.93</v>
      </c>
      <c r="F286">
        <v>2724.69</v>
      </c>
    </row>
    <row r="287" spans="1:6" x14ac:dyDescent="0.3">
      <c r="A287">
        <v>2784.26</v>
      </c>
      <c r="B287">
        <v>5464.62</v>
      </c>
      <c r="C287">
        <v>515.11</v>
      </c>
      <c r="D287">
        <v>18028.52</v>
      </c>
      <c r="E287">
        <v>22869.26</v>
      </c>
      <c r="F287">
        <v>2809.63</v>
      </c>
    </row>
    <row r="288" spans="1:6" x14ac:dyDescent="0.3">
      <c r="A288">
        <v>2797.82</v>
      </c>
      <c r="B288">
        <v>5460.48</v>
      </c>
      <c r="C288">
        <v>511.42</v>
      </c>
      <c r="D288">
        <v>17718.61</v>
      </c>
      <c r="E288">
        <v>22119.21</v>
      </c>
      <c r="F288">
        <v>2884.18</v>
      </c>
    </row>
    <row r="289" spans="1:6" x14ac:dyDescent="0.3">
      <c r="A289">
        <v>2862.23</v>
      </c>
      <c r="B289">
        <v>5567.19</v>
      </c>
      <c r="C289">
        <v>516.6</v>
      </c>
      <c r="D289">
        <v>17799.61</v>
      </c>
      <c r="E289">
        <v>21638.09</v>
      </c>
      <c r="F289">
        <v>2894.56</v>
      </c>
    </row>
    <row r="290" spans="1:6" x14ac:dyDescent="0.3">
      <c r="A290">
        <v>2857</v>
      </c>
      <c r="B290">
        <v>5615.35</v>
      </c>
      <c r="C290">
        <v>524.08000000000004</v>
      </c>
      <c r="D290">
        <v>18293.38</v>
      </c>
      <c r="E290">
        <v>21469</v>
      </c>
      <c r="F290">
        <v>2860.83</v>
      </c>
    </row>
    <row r="291" spans="1:6" x14ac:dyDescent="0.3">
      <c r="A291">
        <v>2795.46</v>
      </c>
      <c r="B291">
        <v>5505</v>
      </c>
      <c r="C291">
        <v>510.03</v>
      </c>
      <c r="D291">
        <v>17417.68</v>
      </c>
      <c r="E291">
        <v>22349.33</v>
      </c>
      <c r="F291">
        <v>2699.54</v>
      </c>
    </row>
    <row r="292" spans="1:6" x14ac:dyDescent="0.3">
      <c r="A292">
        <v>2731.9</v>
      </c>
      <c r="B292">
        <v>5459.1</v>
      </c>
      <c r="C292">
        <v>512.83000000000004</v>
      </c>
      <c r="D292">
        <v>17021.310000000001</v>
      </c>
      <c r="E292">
        <v>22158.05</v>
      </c>
      <c r="F292">
        <v>2537.6</v>
      </c>
    </row>
    <row r="293" spans="1:6" x14ac:dyDescent="0.3">
      <c r="A293">
        <v>2676.19</v>
      </c>
      <c r="B293">
        <v>5346.56</v>
      </c>
      <c r="C293">
        <v>497.85</v>
      </c>
      <c r="D293">
        <v>16945.509999999998</v>
      </c>
      <c r="E293">
        <v>22268.09</v>
      </c>
      <c r="F293">
        <v>2483.3000000000002</v>
      </c>
    </row>
    <row r="294" spans="1:6" x14ac:dyDescent="0.3">
      <c r="A294">
        <v>2588.4299999999998</v>
      </c>
      <c r="B294">
        <v>5344.16</v>
      </c>
      <c r="C294">
        <v>499.19</v>
      </c>
      <c r="D294">
        <v>17090.23</v>
      </c>
      <c r="E294">
        <v>21435.19</v>
      </c>
      <c r="F294">
        <v>2678.6</v>
      </c>
    </row>
    <row r="295" spans="1:6" x14ac:dyDescent="0.3">
      <c r="A295">
        <v>2697.23</v>
      </c>
      <c r="B295">
        <v>5554.25</v>
      </c>
      <c r="C295">
        <v>511.45</v>
      </c>
      <c r="D295">
        <v>17430.16</v>
      </c>
      <c r="E295">
        <v>21759.65</v>
      </c>
      <c r="F295">
        <v>2684.72</v>
      </c>
    </row>
    <row r="296" spans="1:6" x14ac:dyDescent="0.3">
      <c r="A296">
        <v>2701.69</v>
      </c>
      <c r="B296">
        <v>5634.61</v>
      </c>
      <c r="C296">
        <v>518.13</v>
      </c>
      <c r="D296">
        <v>17612.099999999999</v>
      </c>
      <c r="E296">
        <v>22159.42</v>
      </c>
      <c r="F296">
        <v>2712.63</v>
      </c>
    </row>
    <row r="297" spans="1:6" x14ac:dyDescent="0.3">
      <c r="A297">
        <v>2674.31</v>
      </c>
      <c r="B297">
        <v>5648.4</v>
      </c>
      <c r="C297">
        <v>525.04999999999995</v>
      </c>
      <c r="D297">
        <v>17989.07</v>
      </c>
      <c r="E297">
        <v>22822.79</v>
      </c>
      <c r="F297">
        <v>2597.42</v>
      </c>
    </row>
    <row r="298" spans="1:6" x14ac:dyDescent="0.3">
      <c r="A298">
        <v>2544.2800000000002</v>
      </c>
      <c r="B298">
        <v>5408.42</v>
      </c>
      <c r="C298">
        <v>506.56</v>
      </c>
      <c r="D298">
        <v>17444.3</v>
      </c>
      <c r="E298">
        <v>22302.71</v>
      </c>
      <c r="F298">
        <v>2571.14</v>
      </c>
    </row>
    <row r="299" spans="1:6" x14ac:dyDescent="0.3">
      <c r="A299">
        <v>2575.41</v>
      </c>
      <c r="B299">
        <v>5626.02</v>
      </c>
      <c r="C299">
        <v>515.95000000000005</v>
      </c>
      <c r="D299">
        <v>17369.09</v>
      </c>
      <c r="E299">
        <v>22901.64</v>
      </c>
      <c r="F299">
        <v>2642.35</v>
      </c>
    </row>
    <row r="300" spans="1:6" x14ac:dyDescent="0.3">
      <c r="A300">
        <v>2593.37</v>
      </c>
      <c r="B300">
        <v>5702.55</v>
      </c>
      <c r="C300">
        <v>514.26</v>
      </c>
      <c r="D300">
        <v>18258.57</v>
      </c>
      <c r="E300">
        <v>23487.27</v>
      </c>
      <c r="F300">
        <v>2740.94</v>
      </c>
    </row>
    <row r="301" spans="1:6" x14ac:dyDescent="0.3">
      <c r="A301">
        <v>2649.78</v>
      </c>
      <c r="B301">
        <v>5738.17</v>
      </c>
      <c r="C301">
        <v>528.08000000000004</v>
      </c>
      <c r="D301">
        <v>20632.3</v>
      </c>
      <c r="E301">
        <v>23348.45</v>
      </c>
      <c r="F301">
        <v>2694.07</v>
      </c>
    </row>
    <row r="302" spans="1:6" x14ac:dyDescent="0.3">
      <c r="A302">
        <v>2569.71</v>
      </c>
      <c r="B302">
        <v>5751.07</v>
      </c>
      <c r="C302">
        <v>518.55999999999995</v>
      </c>
      <c r="D302">
        <v>22736.87</v>
      </c>
      <c r="E302">
        <v>22780.080000000002</v>
      </c>
      <c r="F302">
        <v>2706.2</v>
      </c>
    </row>
    <row r="303" spans="1:6" x14ac:dyDescent="0.3">
      <c r="A303">
        <v>2596.91</v>
      </c>
      <c r="B303">
        <v>5815.03</v>
      </c>
      <c r="C303">
        <v>521.98</v>
      </c>
      <c r="D303">
        <v>21251.98</v>
      </c>
      <c r="E303">
        <v>23553.89</v>
      </c>
      <c r="F303">
        <v>2688.98</v>
      </c>
    </row>
    <row r="304" spans="1:6" x14ac:dyDescent="0.3">
      <c r="A304">
        <v>2593.8200000000002</v>
      </c>
      <c r="B304">
        <v>5864.67</v>
      </c>
      <c r="C304">
        <v>524.99</v>
      </c>
      <c r="D304">
        <v>20804.11</v>
      </c>
      <c r="E304">
        <v>22742.77</v>
      </c>
      <c r="F304">
        <v>2618.3200000000002</v>
      </c>
    </row>
    <row r="305" spans="1:6" x14ac:dyDescent="0.3">
      <c r="A305">
        <v>2583.27</v>
      </c>
      <c r="B305">
        <v>5808.12</v>
      </c>
      <c r="C305">
        <v>518.80999999999995</v>
      </c>
      <c r="D305">
        <v>20590.150000000001</v>
      </c>
      <c r="E305">
        <v>22904.32</v>
      </c>
      <c r="F305">
        <v>2644.26</v>
      </c>
    </row>
    <row r="306" spans="1:6" x14ac:dyDescent="0.3">
      <c r="A306">
        <v>2542.36</v>
      </c>
      <c r="B306">
        <v>5728.8</v>
      </c>
      <c r="C306">
        <v>510.9</v>
      </c>
      <c r="D306">
        <v>20506.43</v>
      </c>
      <c r="E306">
        <v>22262.5</v>
      </c>
      <c r="F306">
        <v>2742.15</v>
      </c>
    </row>
    <row r="307" spans="1:6" x14ac:dyDescent="0.3">
      <c r="A307">
        <v>2561.15</v>
      </c>
      <c r="B307">
        <v>5995.54</v>
      </c>
      <c r="C307">
        <v>506.63</v>
      </c>
      <c r="D307">
        <v>20728.189999999999</v>
      </c>
      <c r="E307">
        <v>23193.27</v>
      </c>
      <c r="F307">
        <v>2711.64</v>
      </c>
    </row>
    <row r="308" spans="1:6" x14ac:dyDescent="0.3">
      <c r="A308">
        <v>2416.86</v>
      </c>
      <c r="B308">
        <v>5870.62</v>
      </c>
      <c r="C308">
        <v>503.12</v>
      </c>
      <c r="D308">
        <v>19426.34</v>
      </c>
      <c r="E308">
        <v>23020.48</v>
      </c>
      <c r="F308">
        <v>2696.53</v>
      </c>
    </row>
    <row r="309" spans="1:6" x14ac:dyDescent="0.3">
      <c r="A309">
        <v>2501.2399999999998</v>
      </c>
      <c r="B309">
        <v>5969.34</v>
      </c>
      <c r="C309">
        <v>508.47</v>
      </c>
      <c r="D309">
        <v>19229.97</v>
      </c>
      <c r="E309">
        <v>22510.25</v>
      </c>
      <c r="F309">
        <v>2680.71</v>
      </c>
    </row>
    <row r="310" spans="1:6" x14ac:dyDescent="0.3">
      <c r="A310">
        <v>2455.91</v>
      </c>
      <c r="B310">
        <v>6032.38</v>
      </c>
      <c r="C310">
        <v>510.25</v>
      </c>
      <c r="D310">
        <v>19423.61</v>
      </c>
      <c r="E310">
        <v>23275.68</v>
      </c>
      <c r="F310">
        <v>2727.22</v>
      </c>
    </row>
    <row r="311" spans="1:6" x14ac:dyDescent="0.3">
      <c r="A311">
        <v>2428.16</v>
      </c>
      <c r="B311">
        <v>6090.27</v>
      </c>
      <c r="C311">
        <v>520.47</v>
      </c>
      <c r="D311">
        <v>19865.849999999999</v>
      </c>
      <c r="E311">
        <v>22908.3</v>
      </c>
      <c r="F311">
        <v>2746.56</v>
      </c>
    </row>
    <row r="312" spans="1:6" x14ac:dyDescent="0.3">
      <c r="A312">
        <v>2494.46</v>
      </c>
      <c r="B312">
        <v>6051.09</v>
      </c>
      <c r="C312">
        <v>516.45000000000005</v>
      </c>
      <c r="D312">
        <v>19971.240000000002</v>
      </c>
      <c r="E312">
        <v>23011.86</v>
      </c>
      <c r="F312">
        <v>2701.99</v>
      </c>
    </row>
    <row r="313" spans="1:6" x14ac:dyDescent="0.3">
      <c r="A313">
        <v>2404.15</v>
      </c>
      <c r="B313">
        <v>5930.85</v>
      </c>
      <c r="C313">
        <v>502.19</v>
      </c>
      <c r="D313">
        <v>19720.7</v>
      </c>
      <c r="E313">
        <v>23148.080000000002</v>
      </c>
      <c r="F313">
        <v>2801.68</v>
      </c>
    </row>
    <row r="314" spans="1:6" x14ac:dyDescent="0.3">
      <c r="A314">
        <v>2404.77</v>
      </c>
      <c r="B314">
        <v>5970.84</v>
      </c>
      <c r="C314">
        <v>507.18</v>
      </c>
      <c r="D314">
        <v>20090.46</v>
      </c>
      <c r="E314">
        <v>23525.41</v>
      </c>
      <c r="F314">
        <v>2784.92</v>
      </c>
    </row>
    <row r="315" spans="1:6" x14ac:dyDescent="0.3">
      <c r="A315">
        <v>2441.92</v>
      </c>
      <c r="B315">
        <v>5942.47</v>
      </c>
      <c r="C315">
        <v>508.19</v>
      </c>
      <c r="D315">
        <v>19760.27</v>
      </c>
      <c r="E315">
        <v>23478.27</v>
      </c>
      <c r="F315">
        <v>2714.12</v>
      </c>
    </row>
    <row r="316" spans="1:6" x14ac:dyDescent="0.3">
      <c r="A316">
        <v>2515.7800000000002</v>
      </c>
      <c r="B316">
        <v>5827.04</v>
      </c>
      <c r="C316">
        <v>511.5</v>
      </c>
      <c r="D316">
        <v>19064.29</v>
      </c>
      <c r="E316">
        <v>23152.61</v>
      </c>
      <c r="F316">
        <v>2679.42</v>
      </c>
    </row>
    <row r="317" spans="1:6" x14ac:dyDescent="0.3">
      <c r="A317">
        <v>2523.5500000000002</v>
      </c>
      <c r="B317">
        <v>5996.66</v>
      </c>
      <c r="C317">
        <v>523.62</v>
      </c>
      <c r="D317">
        <v>19584.060000000001</v>
      </c>
      <c r="E317">
        <v>23730.25</v>
      </c>
      <c r="F317">
        <v>2751.04</v>
      </c>
    </row>
    <row r="318" spans="1:6" x14ac:dyDescent="0.3">
      <c r="A318">
        <v>2536.8000000000002</v>
      </c>
      <c r="B318">
        <v>6101.24</v>
      </c>
      <c r="C318">
        <v>530.07000000000005</v>
      </c>
      <c r="D318">
        <v>20066.189999999999</v>
      </c>
      <c r="E318">
        <v>23053.18</v>
      </c>
      <c r="F318">
        <v>2788.66</v>
      </c>
    </row>
    <row r="319" spans="1:6" x14ac:dyDescent="0.3">
      <c r="A319">
        <v>2517.37</v>
      </c>
      <c r="B319">
        <v>6040.53</v>
      </c>
      <c r="C319">
        <v>539.53</v>
      </c>
      <c r="D319">
        <v>20225.11</v>
      </c>
      <c r="E319">
        <v>22576.07</v>
      </c>
      <c r="F319">
        <v>2737.23</v>
      </c>
    </row>
    <row r="320" spans="1:6" x14ac:dyDescent="0.3">
      <c r="A320">
        <v>2521.92</v>
      </c>
      <c r="B320">
        <v>6025.99</v>
      </c>
      <c r="C320">
        <v>542.75</v>
      </c>
      <c r="D320">
        <v>21133.54</v>
      </c>
      <c r="E320">
        <v>21968.05</v>
      </c>
      <c r="F320">
        <v>2759.21</v>
      </c>
    </row>
    <row r="321" spans="1:6" x14ac:dyDescent="0.3">
      <c r="A321">
        <v>2591.0500000000002</v>
      </c>
      <c r="B321">
        <v>6114.63</v>
      </c>
      <c r="C321">
        <v>552.41</v>
      </c>
      <c r="D321">
        <v>22620.33</v>
      </c>
      <c r="E321">
        <v>22209.1</v>
      </c>
      <c r="F321">
        <v>2736.53</v>
      </c>
    </row>
    <row r="322" spans="1:6" x14ac:dyDescent="0.3">
      <c r="A322">
        <v>2654.58</v>
      </c>
      <c r="B322">
        <v>6013.13</v>
      </c>
      <c r="C322">
        <v>553.85</v>
      </c>
      <c r="D322">
        <v>23477.919999999998</v>
      </c>
      <c r="E322">
        <v>21602.89</v>
      </c>
      <c r="F322">
        <v>2682.09</v>
      </c>
    </row>
    <row r="323" spans="1:6" x14ac:dyDescent="0.3">
      <c r="A323">
        <v>2532.7800000000002</v>
      </c>
      <c r="B323">
        <v>5954.5</v>
      </c>
      <c r="C323">
        <v>557.19000000000005</v>
      </c>
      <c r="D323">
        <v>22941.32</v>
      </c>
      <c r="E323">
        <v>21298.22</v>
      </c>
      <c r="F323">
        <v>2708.59</v>
      </c>
    </row>
    <row r="324" spans="1:6" x14ac:dyDescent="0.3">
      <c r="A324">
        <v>2563.48</v>
      </c>
      <c r="B324">
        <v>5770.2</v>
      </c>
      <c r="C324">
        <v>553.35</v>
      </c>
      <c r="D324">
        <v>24231.3</v>
      </c>
      <c r="E324">
        <v>19528.77</v>
      </c>
      <c r="F324">
        <v>2715.85</v>
      </c>
    </row>
    <row r="325" spans="1:6" x14ac:dyDescent="0.3">
      <c r="A325">
        <v>2566.36</v>
      </c>
      <c r="B325">
        <v>5638.94</v>
      </c>
      <c r="C325">
        <v>546.6</v>
      </c>
      <c r="D325">
        <v>23959.98</v>
      </c>
      <c r="E325">
        <v>19395.03</v>
      </c>
      <c r="F325">
        <v>2804.16</v>
      </c>
    </row>
    <row r="326" spans="1:6" x14ac:dyDescent="0.3">
      <c r="A326">
        <v>2643.13</v>
      </c>
      <c r="B326">
        <v>5667.56</v>
      </c>
      <c r="C326">
        <v>549.66999999999996</v>
      </c>
      <c r="D326">
        <v>23689.72</v>
      </c>
      <c r="E326">
        <v>19872.73</v>
      </c>
      <c r="F326">
        <v>2757.25</v>
      </c>
    </row>
    <row r="327" spans="1:6" x14ac:dyDescent="0.3">
      <c r="A327">
        <v>2557.98</v>
      </c>
      <c r="B327">
        <v>5580.94</v>
      </c>
      <c r="C327">
        <v>542.1</v>
      </c>
      <c r="D327">
        <v>23426.6</v>
      </c>
      <c r="E327">
        <v>20787.64</v>
      </c>
      <c r="F327">
        <v>2482.06</v>
      </c>
    </row>
    <row r="328" spans="1:6" x14ac:dyDescent="0.3">
      <c r="A328">
        <v>2465.42</v>
      </c>
      <c r="B328">
        <v>5074.08</v>
      </c>
      <c r="C328">
        <v>496.33</v>
      </c>
      <c r="D328">
        <v>22849.81</v>
      </c>
      <c r="E328">
        <v>20915.04</v>
      </c>
      <c r="F328">
        <v>2466.91</v>
      </c>
    </row>
    <row r="329" spans="1:6" x14ac:dyDescent="0.3">
      <c r="A329">
        <v>2432.7199999999998</v>
      </c>
      <c r="B329">
        <v>5363.36</v>
      </c>
      <c r="C329">
        <v>486.8</v>
      </c>
      <c r="D329">
        <v>20914.689999999999</v>
      </c>
      <c r="E329">
        <v>21843.69</v>
      </c>
      <c r="F329">
        <v>2559.15</v>
      </c>
    </row>
    <row r="330" spans="1:6" x14ac:dyDescent="0.3">
      <c r="A330">
        <v>2483.42</v>
      </c>
      <c r="B330">
        <v>5282.7</v>
      </c>
      <c r="C330">
        <v>506.42</v>
      </c>
      <c r="D330">
        <v>21395.14</v>
      </c>
      <c r="E330">
        <v>21652.240000000002</v>
      </c>
      <c r="F330">
        <v>2628.03</v>
      </c>
    </row>
    <row r="331" spans="1:6" x14ac:dyDescent="0.3">
      <c r="A331">
        <v>2546.3000000000002</v>
      </c>
      <c r="B331">
        <v>5525.21</v>
      </c>
      <c r="C331">
        <v>520.45000000000005</v>
      </c>
      <c r="D331">
        <v>21980.74</v>
      </c>
      <c r="E331">
        <v>21347.3</v>
      </c>
      <c r="F331">
        <v>2687.78</v>
      </c>
    </row>
    <row r="332" spans="1:6" x14ac:dyDescent="0.3">
      <c r="A332">
        <v>2559.79</v>
      </c>
      <c r="B332">
        <v>5686.67</v>
      </c>
      <c r="C332">
        <v>536.42999999999995</v>
      </c>
      <c r="D332">
        <v>22504.68</v>
      </c>
      <c r="E332">
        <v>21660.66</v>
      </c>
      <c r="F332">
        <v>2733.49</v>
      </c>
    </row>
    <row r="333" spans="1:6" x14ac:dyDescent="0.3">
      <c r="A333">
        <v>2577.27</v>
      </c>
      <c r="B333">
        <v>5659.91</v>
      </c>
      <c r="C333">
        <v>537.96</v>
      </c>
      <c r="D333">
        <v>22867.74</v>
      </c>
      <c r="E333">
        <v>22072.95</v>
      </c>
      <c r="F333">
        <v>2740.45</v>
      </c>
    </row>
    <row r="334" spans="1:6" x14ac:dyDescent="0.3">
      <c r="A334">
        <v>2626.87</v>
      </c>
      <c r="B334">
        <v>5958.38</v>
      </c>
      <c r="C334">
        <v>549.26</v>
      </c>
      <c r="D334">
        <v>23345.05</v>
      </c>
      <c r="E334">
        <v>22045.74</v>
      </c>
      <c r="F334">
        <v>2735.52</v>
      </c>
    </row>
    <row r="335" spans="1:6" x14ac:dyDescent="0.3">
      <c r="A335">
        <v>2592.09</v>
      </c>
      <c r="B335">
        <v>5802.82</v>
      </c>
      <c r="C335">
        <v>545.13</v>
      </c>
      <c r="D335">
        <v>23601.26</v>
      </c>
      <c r="E335">
        <v>22580.080000000002</v>
      </c>
      <c r="F335">
        <v>2801.57</v>
      </c>
    </row>
    <row r="336" spans="1:6" x14ac:dyDescent="0.3">
      <c r="A336">
        <v>2697.67</v>
      </c>
      <c r="B336">
        <v>5911.69</v>
      </c>
      <c r="C336">
        <v>548.66999999999996</v>
      </c>
      <c r="D336">
        <v>23289.77</v>
      </c>
      <c r="E336">
        <v>22547.5</v>
      </c>
      <c r="F336">
        <v>2769.33</v>
      </c>
    </row>
    <row r="337" spans="1:6" x14ac:dyDescent="0.3">
      <c r="A337">
        <v>2812.05</v>
      </c>
      <c r="B337">
        <v>6000.36</v>
      </c>
      <c r="C337">
        <v>553.64</v>
      </c>
      <c r="D337">
        <v>23792.54</v>
      </c>
      <c r="E337">
        <v>22751.03</v>
      </c>
      <c r="F337">
        <v>2756.47</v>
      </c>
    </row>
    <row r="338" spans="1:6" x14ac:dyDescent="0.3">
      <c r="A338">
        <v>2894.62</v>
      </c>
      <c r="B338">
        <v>5976.97</v>
      </c>
      <c r="C338">
        <v>544.94000000000005</v>
      </c>
      <c r="D338">
        <v>23892.560000000001</v>
      </c>
      <c r="E338">
        <v>23383.13</v>
      </c>
      <c r="F338">
        <v>2771.26</v>
      </c>
    </row>
    <row r="339" spans="1:6" x14ac:dyDescent="0.3">
      <c r="A339">
        <v>3021.84</v>
      </c>
      <c r="B339">
        <v>5967.84</v>
      </c>
      <c r="C339">
        <v>536.53</v>
      </c>
      <c r="D339">
        <v>23530.48</v>
      </c>
      <c r="E339">
        <v>23364.38</v>
      </c>
      <c r="F339">
        <v>2840.54</v>
      </c>
    </row>
    <row r="340" spans="1:6" x14ac:dyDescent="0.3">
      <c r="A340">
        <v>3055.94</v>
      </c>
      <c r="B340">
        <v>6173.07</v>
      </c>
      <c r="C340">
        <v>543.63</v>
      </c>
      <c r="D340">
        <v>24284.15</v>
      </c>
      <c r="E340">
        <v>23434.38</v>
      </c>
      <c r="F340">
        <v>2827.95</v>
      </c>
    </row>
    <row r="341" spans="1:6" x14ac:dyDescent="0.3">
      <c r="A341">
        <v>3054.28</v>
      </c>
      <c r="B341">
        <v>6279.35</v>
      </c>
      <c r="C341">
        <v>541.13</v>
      </c>
      <c r="D341">
        <v>23916.06</v>
      </c>
      <c r="E341">
        <v>24021.26</v>
      </c>
      <c r="F341">
        <v>2823.24</v>
      </c>
    </row>
    <row r="342" spans="1:6" x14ac:dyDescent="0.3">
      <c r="A342">
        <v>3175.77</v>
      </c>
      <c r="B342">
        <v>6259.75</v>
      </c>
      <c r="C342">
        <v>547.34</v>
      </c>
      <c r="D342">
        <v>24139.57</v>
      </c>
      <c r="E342">
        <v>24334.48</v>
      </c>
      <c r="F342">
        <v>2834.48</v>
      </c>
    </row>
    <row r="343" spans="1:6" x14ac:dyDescent="0.3">
      <c r="A343">
        <v>3188.07</v>
      </c>
      <c r="B343">
        <v>6296.79</v>
      </c>
      <c r="C343">
        <v>547</v>
      </c>
      <c r="D343">
        <v>24825.66</v>
      </c>
      <c r="E343">
        <v>23764.47</v>
      </c>
      <c r="F343">
        <v>2951.86</v>
      </c>
    </row>
    <row r="344" spans="1:6" x14ac:dyDescent="0.3">
      <c r="A344">
        <v>3196.05</v>
      </c>
      <c r="B344">
        <v>6388.64</v>
      </c>
      <c r="C344">
        <v>549.95000000000005</v>
      </c>
      <c r="D344">
        <v>25388.35</v>
      </c>
      <c r="E344">
        <v>24233.1</v>
      </c>
      <c r="F344">
        <v>2948.65</v>
      </c>
    </row>
    <row r="345" spans="1:6" x14ac:dyDescent="0.3">
      <c r="A345">
        <v>3119.41</v>
      </c>
      <c r="B345">
        <v>6238.01</v>
      </c>
      <c r="C345">
        <v>535.79</v>
      </c>
      <c r="D345">
        <v>24507.81</v>
      </c>
      <c r="E345">
        <v>24494.58</v>
      </c>
      <c r="F345">
        <v>3024.21</v>
      </c>
    </row>
    <row r="346" spans="1:6" x14ac:dyDescent="0.3">
      <c r="A346">
        <v>3210.01</v>
      </c>
      <c r="B346">
        <v>6389.45</v>
      </c>
      <c r="C346">
        <v>547.08000000000004</v>
      </c>
      <c r="D346">
        <v>24858.82</v>
      </c>
      <c r="E346">
        <v>25474.639999999999</v>
      </c>
      <c r="F346">
        <v>3107.68</v>
      </c>
    </row>
    <row r="347" spans="1:6" x14ac:dyDescent="0.3">
      <c r="A347">
        <v>3225.66</v>
      </c>
      <c r="B347">
        <v>6449.8</v>
      </c>
      <c r="C347">
        <v>553.55999999999995</v>
      </c>
      <c r="D347">
        <v>25270.07</v>
      </c>
      <c r="E347">
        <v>25578.37</v>
      </c>
      <c r="F347">
        <v>3100.87</v>
      </c>
    </row>
    <row r="348" spans="1:6" x14ac:dyDescent="0.3">
      <c r="A348">
        <v>3168.73</v>
      </c>
      <c r="B348">
        <v>6466.91</v>
      </c>
      <c r="C348">
        <v>561.29999999999995</v>
      </c>
      <c r="D348">
        <v>25339.14</v>
      </c>
      <c r="E348">
        <v>25580.32</v>
      </c>
      <c r="F348">
        <v>3075.18</v>
      </c>
    </row>
    <row r="349" spans="1:6" x14ac:dyDescent="0.3">
      <c r="A349">
        <v>3186.01</v>
      </c>
      <c r="B349">
        <v>6460.26</v>
      </c>
      <c r="C349">
        <v>550.14</v>
      </c>
      <c r="D349">
        <v>25077.62</v>
      </c>
      <c r="E349">
        <v>26761.06</v>
      </c>
      <c r="F349">
        <v>3105.31</v>
      </c>
    </row>
    <row r="350" spans="1:6" x14ac:dyDescent="0.3">
      <c r="A350">
        <v>3205.12</v>
      </c>
      <c r="B350">
        <v>6481.5</v>
      </c>
      <c r="C350">
        <v>549.21</v>
      </c>
      <c r="D350">
        <v>25417.98</v>
      </c>
      <c r="E350">
        <v>27301.919999999998</v>
      </c>
      <c r="F350">
        <v>3160.49</v>
      </c>
    </row>
    <row r="351" spans="1:6" x14ac:dyDescent="0.3">
      <c r="A351">
        <v>3395.54</v>
      </c>
      <c r="B351">
        <v>6584.29</v>
      </c>
      <c r="C351">
        <v>554.84</v>
      </c>
      <c r="D351">
        <v>26388.16</v>
      </c>
      <c r="E351">
        <v>27302.37</v>
      </c>
      <c r="F351">
        <v>3147.68</v>
      </c>
    </row>
    <row r="352" spans="1:6" x14ac:dyDescent="0.3">
      <c r="A352">
        <v>3445.24</v>
      </c>
      <c r="B352">
        <v>6664.36</v>
      </c>
      <c r="C352">
        <v>554.12</v>
      </c>
      <c r="D352">
        <v>26545.1</v>
      </c>
      <c r="E352">
        <v>27532.26</v>
      </c>
      <c r="F352">
        <v>3187.02</v>
      </c>
    </row>
    <row r="353" spans="1:6" x14ac:dyDescent="0.3">
      <c r="A353">
        <v>3386.05</v>
      </c>
      <c r="B353">
        <v>6643.7</v>
      </c>
      <c r="C353">
        <v>554.52</v>
      </c>
      <c r="D353">
        <v>26128.2</v>
      </c>
      <c r="E353">
        <v>28233.35</v>
      </c>
      <c r="F353">
        <v>3129.17</v>
      </c>
    </row>
    <row r="354" spans="1:6" x14ac:dyDescent="0.3">
      <c r="A354">
        <v>3549.21</v>
      </c>
      <c r="B354">
        <v>6715.79</v>
      </c>
      <c r="C354">
        <v>570.45000000000005</v>
      </c>
      <c r="D354">
        <v>27140.92</v>
      </c>
      <c r="E354">
        <v>27651.41</v>
      </c>
      <c r="F354">
        <v>3197.59</v>
      </c>
    </row>
    <row r="355" spans="1:6" x14ac:dyDescent="0.3">
      <c r="A355">
        <v>3610.6</v>
      </c>
      <c r="B355">
        <v>6552.51</v>
      </c>
      <c r="C355">
        <v>564.16</v>
      </c>
      <c r="D355">
        <v>26290.32</v>
      </c>
      <c r="E355">
        <v>27397.5</v>
      </c>
      <c r="F355">
        <v>3170.44</v>
      </c>
    </row>
    <row r="356" spans="1:6" x14ac:dyDescent="0.3">
      <c r="A356">
        <v>3748.89</v>
      </c>
      <c r="B356">
        <v>6664.01</v>
      </c>
      <c r="C356">
        <v>566.24</v>
      </c>
      <c r="D356">
        <v>25247.1</v>
      </c>
      <c r="E356">
        <v>26434.94</v>
      </c>
      <c r="F356">
        <v>3269.45</v>
      </c>
    </row>
    <row r="357" spans="1:6" x14ac:dyDescent="0.3">
      <c r="A357">
        <v>3941.59</v>
      </c>
      <c r="B357">
        <v>6791.69</v>
      </c>
      <c r="C357">
        <v>575.76</v>
      </c>
      <c r="D357">
        <v>26160.15</v>
      </c>
      <c r="E357">
        <v>27626.48</v>
      </c>
      <c r="F357">
        <v>3331.83</v>
      </c>
    </row>
    <row r="358" spans="1:6" x14ac:dyDescent="0.3">
      <c r="A358">
        <v>4107.5</v>
      </c>
      <c r="B358">
        <v>6840.2</v>
      </c>
      <c r="C358">
        <v>571.89</v>
      </c>
      <c r="D358">
        <v>25906.65</v>
      </c>
      <c r="E358">
        <v>27980.89</v>
      </c>
      <c r="F358">
        <v>3298.85</v>
      </c>
    </row>
    <row r="359" spans="1:6" x14ac:dyDescent="0.3">
      <c r="A359">
        <v>3953.76</v>
      </c>
      <c r="B359">
        <v>6728.8</v>
      </c>
      <c r="C359">
        <v>564.79</v>
      </c>
      <c r="D359">
        <v>26241.83</v>
      </c>
      <c r="E359">
        <v>28198.02</v>
      </c>
      <c r="F359">
        <v>3359.81</v>
      </c>
    </row>
    <row r="360" spans="1:6" x14ac:dyDescent="0.3">
      <c r="A360">
        <v>4011.57</v>
      </c>
      <c r="B360">
        <v>6734.11</v>
      </c>
      <c r="C360">
        <v>574.80999999999995</v>
      </c>
      <c r="D360">
        <v>26572.46</v>
      </c>
      <c r="E360">
        <v>27696.35</v>
      </c>
      <c r="F360">
        <v>3297.73</v>
      </c>
    </row>
    <row r="361" spans="1:6" x14ac:dyDescent="0.3">
      <c r="A361">
        <v>3853.26</v>
      </c>
      <c r="B361">
        <v>6602.99</v>
      </c>
      <c r="C361">
        <v>562.1</v>
      </c>
      <c r="D361">
        <v>25220.02</v>
      </c>
      <c r="E361">
        <v>28556.02</v>
      </c>
      <c r="F361">
        <v>3378.44</v>
      </c>
    </row>
    <row r="362" spans="1:6" x14ac:dyDescent="0.3">
      <c r="A362">
        <v>3926.59</v>
      </c>
      <c r="B362">
        <v>6849.09</v>
      </c>
      <c r="C362">
        <v>576.42999999999995</v>
      </c>
      <c r="D362">
        <v>25858.89</v>
      </c>
      <c r="E362">
        <v>29349.81</v>
      </c>
      <c r="F362">
        <v>3362.56</v>
      </c>
    </row>
    <row r="363" spans="1:6" x14ac:dyDescent="0.3">
      <c r="A363">
        <v>4100.05</v>
      </c>
      <c r="B363">
        <v>6870.4</v>
      </c>
      <c r="C363">
        <v>578.77</v>
      </c>
      <c r="D363">
        <v>26085.08</v>
      </c>
      <c r="E363">
        <v>30288.959999999999</v>
      </c>
      <c r="F363">
        <v>3423.83</v>
      </c>
    </row>
    <row r="364" spans="1:6" x14ac:dyDescent="0.3">
      <c r="A364">
        <v>4167.16</v>
      </c>
      <c r="B364">
        <v>6827.41</v>
      </c>
      <c r="C364">
        <v>578.24</v>
      </c>
      <c r="D364">
        <v>25976.79</v>
      </c>
      <c r="E364">
        <v>31408.7</v>
      </c>
      <c r="F364">
        <v>3383.66</v>
      </c>
    </row>
    <row r="365" spans="1:6" x14ac:dyDescent="0.3">
      <c r="A365">
        <v>4020.55</v>
      </c>
      <c r="B365">
        <v>6834.5</v>
      </c>
      <c r="C365">
        <v>587.5</v>
      </c>
      <c r="D365">
        <v>25690.53</v>
      </c>
      <c r="E365">
        <v>31961.51</v>
      </c>
      <c r="F365">
        <v>3423.06</v>
      </c>
    </row>
    <row r="366" spans="1:6" x14ac:dyDescent="0.3">
      <c r="A366">
        <v>4129.68</v>
      </c>
      <c r="B366">
        <v>6929.94</v>
      </c>
      <c r="C366">
        <v>588.70000000000005</v>
      </c>
      <c r="D366">
        <v>25818.93</v>
      </c>
      <c r="E366">
        <v>32063.75</v>
      </c>
      <c r="F366">
        <v>3408.97</v>
      </c>
    </row>
    <row r="367" spans="1:6" x14ac:dyDescent="0.3">
      <c r="A367">
        <v>4309.63</v>
      </c>
      <c r="B367">
        <v>6858.47</v>
      </c>
      <c r="C367">
        <v>596.14</v>
      </c>
      <c r="D367">
        <v>26338.47</v>
      </c>
      <c r="E367">
        <v>31782.92</v>
      </c>
      <c r="F367">
        <v>3514.11</v>
      </c>
    </row>
    <row r="368" spans="1:6" x14ac:dyDescent="0.3">
      <c r="A368">
        <v>4586.32</v>
      </c>
      <c r="B368">
        <v>6966.28</v>
      </c>
      <c r="C368">
        <v>609.66999999999996</v>
      </c>
      <c r="D368">
        <v>26231.79</v>
      </c>
      <c r="E368">
        <v>33605.71</v>
      </c>
      <c r="F368">
        <v>3658.68</v>
      </c>
    </row>
    <row r="369" spans="1:6" x14ac:dyDescent="0.3">
      <c r="A369">
        <v>4840.74</v>
      </c>
      <c r="B369">
        <v>6940.01</v>
      </c>
      <c r="C369">
        <v>614.38</v>
      </c>
      <c r="D369">
        <v>26844.959999999999</v>
      </c>
      <c r="F369">
        <v>3629.7</v>
      </c>
    </row>
    <row r="370" spans="1:6" x14ac:dyDescent="0.3">
      <c r="A370">
        <v>4990.07</v>
      </c>
      <c r="B370">
        <v>6915.61</v>
      </c>
      <c r="C370">
        <v>608.34</v>
      </c>
      <c r="D370">
        <v>26749.51</v>
      </c>
      <c r="F370">
        <v>3566.32</v>
      </c>
    </row>
    <row r="371" spans="1:6" x14ac:dyDescent="0.3">
      <c r="A371">
        <v>5224.3599999999997</v>
      </c>
      <c r="B371">
        <v>6939.03</v>
      </c>
      <c r="C371">
        <v>611</v>
      </c>
      <c r="D371">
        <v>27387.11</v>
      </c>
      <c r="F371">
        <v>3699</v>
      </c>
    </row>
    <row r="372" spans="1:6" x14ac:dyDescent="0.3">
      <c r="A372">
        <v>5089.1400000000003</v>
      </c>
      <c r="B372">
        <v>6932.3</v>
      </c>
      <c r="C372">
        <v>617.12</v>
      </c>
      <c r="D372">
        <v>26559.95</v>
      </c>
      <c r="F372">
        <v>3818.85</v>
      </c>
    </row>
    <row r="373" spans="1:6" x14ac:dyDescent="0.3">
      <c r="A373">
        <v>5507.01</v>
      </c>
      <c r="B373">
        <v>6836.17</v>
      </c>
      <c r="C373">
        <v>617.70000000000005</v>
      </c>
      <c r="D373">
        <v>26567.119999999999</v>
      </c>
      <c r="F373">
        <v>3808.48</v>
      </c>
    </row>
    <row r="374" spans="1:6" x14ac:dyDescent="0.3">
      <c r="A374">
        <v>5808.53</v>
      </c>
      <c r="B374">
        <v>6909.51</v>
      </c>
      <c r="C374">
        <v>630.55999999999995</v>
      </c>
      <c r="D374">
        <v>26413.35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4"/>
  <sheetViews>
    <sheetView workbookViewId="0">
      <selection activeCell="A374" sqref="A1:A374"/>
    </sheetView>
  </sheetViews>
  <sheetFormatPr defaultRowHeight="16.5" x14ac:dyDescent="0.3"/>
  <cols>
    <col min="1" max="1" width="11.125" style="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9">
        <v>46073</v>
      </c>
      <c r="B2">
        <v>1446.7</v>
      </c>
      <c r="C2">
        <v>0.84860000000000002</v>
      </c>
      <c r="D2">
        <v>7.8146000000000004</v>
      </c>
      <c r="E2">
        <v>31.629000000000001</v>
      </c>
      <c r="F2">
        <v>155.05000000000001</v>
      </c>
    </row>
    <row r="3" spans="1:6" x14ac:dyDescent="0.3">
      <c r="A3" s="9">
        <v>46066</v>
      </c>
      <c r="B3">
        <v>1444.1</v>
      </c>
      <c r="C3">
        <v>0.84260000000000002</v>
      </c>
      <c r="D3">
        <v>7.8166000000000002</v>
      </c>
      <c r="E3">
        <v>31.439</v>
      </c>
      <c r="F3">
        <v>152.69999999999999</v>
      </c>
    </row>
    <row r="4" spans="1:6" x14ac:dyDescent="0.3">
      <c r="A4" s="9">
        <v>46059</v>
      </c>
      <c r="B4">
        <v>1463.65</v>
      </c>
      <c r="C4">
        <v>0.84640000000000004</v>
      </c>
      <c r="D4">
        <v>7.8132999999999999</v>
      </c>
      <c r="E4">
        <v>31.678000000000001</v>
      </c>
      <c r="F4">
        <v>157.22</v>
      </c>
    </row>
    <row r="5" spans="1:6" x14ac:dyDescent="0.3">
      <c r="A5" s="9">
        <v>46052</v>
      </c>
      <c r="B5">
        <v>1441.05</v>
      </c>
      <c r="C5">
        <v>0.84379999999999999</v>
      </c>
      <c r="D5">
        <v>7.8137999999999996</v>
      </c>
      <c r="E5">
        <v>31.465</v>
      </c>
      <c r="F5">
        <v>154.78</v>
      </c>
    </row>
    <row r="6" spans="1:6" x14ac:dyDescent="0.3">
      <c r="A6" s="9">
        <v>46045</v>
      </c>
      <c r="B6">
        <v>1464</v>
      </c>
      <c r="C6">
        <v>0.84550000000000003</v>
      </c>
      <c r="D6">
        <v>7.7969999999999997</v>
      </c>
      <c r="E6">
        <v>31.576000000000001</v>
      </c>
      <c r="F6">
        <v>155.69999999999999</v>
      </c>
    </row>
    <row r="7" spans="1:6" x14ac:dyDescent="0.3">
      <c r="A7" s="9">
        <v>46038</v>
      </c>
      <c r="B7">
        <v>1474.85</v>
      </c>
      <c r="C7">
        <v>0.86219999999999997</v>
      </c>
      <c r="D7">
        <v>7.7968999999999999</v>
      </c>
      <c r="E7">
        <v>31.556999999999999</v>
      </c>
      <c r="F7">
        <v>158.12</v>
      </c>
    </row>
    <row r="8" spans="1:6" x14ac:dyDescent="0.3">
      <c r="A8" s="9">
        <v>46031</v>
      </c>
      <c r="B8">
        <v>1459.4</v>
      </c>
      <c r="C8">
        <v>0.85929999999999995</v>
      </c>
      <c r="D8">
        <v>7.7946</v>
      </c>
      <c r="E8">
        <v>31.616</v>
      </c>
      <c r="F8">
        <v>157.88999999999999</v>
      </c>
    </row>
    <row r="9" spans="1:6" x14ac:dyDescent="0.3">
      <c r="A9" s="9">
        <v>46024</v>
      </c>
      <c r="B9">
        <v>1444.7</v>
      </c>
      <c r="C9">
        <v>0.85329999999999995</v>
      </c>
      <c r="D9">
        <v>7.7915999999999999</v>
      </c>
      <c r="E9">
        <v>31.41</v>
      </c>
      <c r="F9">
        <v>156.84</v>
      </c>
    </row>
    <row r="10" spans="1:6" x14ac:dyDescent="0.3">
      <c r="A10" s="9">
        <v>46017</v>
      </c>
      <c r="B10">
        <v>1442.3</v>
      </c>
      <c r="C10">
        <v>0.84950000000000003</v>
      </c>
      <c r="D10">
        <v>7.7713000000000001</v>
      </c>
      <c r="E10">
        <v>31.434000000000001</v>
      </c>
      <c r="F10">
        <v>156.57</v>
      </c>
    </row>
    <row r="11" spans="1:6" x14ac:dyDescent="0.3">
      <c r="A11" s="9">
        <v>46010</v>
      </c>
      <c r="B11">
        <v>1478.05</v>
      </c>
      <c r="C11">
        <v>0.85399999999999998</v>
      </c>
      <c r="D11">
        <v>7.7811000000000003</v>
      </c>
      <c r="E11">
        <v>31.562000000000001</v>
      </c>
      <c r="F11">
        <v>157.75</v>
      </c>
    </row>
    <row r="12" spans="1:6" x14ac:dyDescent="0.3">
      <c r="A12" s="9">
        <v>46003</v>
      </c>
      <c r="B12">
        <v>1477.8</v>
      </c>
      <c r="C12">
        <v>0.8518</v>
      </c>
      <c r="D12">
        <v>7.7845000000000004</v>
      </c>
      <c r="E12">
        <v>31.193999999999999</v>
      </c>
      <c r="F12">
        <v>155.81</v>
      </c>
    </row>
    <row r="13" spans="1:6" x14ac:dyDescent="0.3">
      <c r="A13" s="9">
        <v>45996</v>
      </c>
      <c r="B13">
        <v>1472.05</v>
      </c>
      <c r="C13">
        <v>0.8589</v>
      </c>
      <c r="D13">
        <v>7.7847</v>
      </c>
      <c r="E13">
        <v>31.239000000000001</v>
      </c>
      <c r="F13">
        <v>155.33000000000001</v>
      </c>
    </row>
    <row r="14" spans="1:6" x14ac:dyDescent="0.3">
      <c r="A14" s="9">
        <v>45989</v>
      </c>
      <c r="B14">
        <v>1467.3</v>
      </c>
      <c r="C14">
        <v>0.86219999999999997</v>
      </c>
      <c r="D14">
        <v>7.7851999999999997</v>
      </c>
      <c r="E14">
        <v>31.390999999999998</v>
      </c>
      <c r="F14">
        <v>156.18</v>
      </c>
    </row>
    <row r="15" spans="1:6" x14ac:dyDescent="0.3">
      <c r="A15" s="9">
        <v>45982</v>
      </c>
      <c r="B15">
        <v>1471.55</v>
      </c>
      <c r="C15">
        <v>0.86860000000000004</v>
      </c>
      <c r="D15">
        <v>7.7834000000000003</v>
      </c>
      <c r="E15">
        <v>31.422999999999998</v>
      </c>
      <c r="F15">
        <v>156.41</v>
      </c>
    </row>
    <row r="16" spans="1:6" x14ac:dyDescent="0.3">
      <c r="A16" s="9">
        <v>45975</v>
      </c>
      <c r="B16">
        <v>1451.35</v>
      </c>
      <c r="C16">
        <v>0.86050000000000004</v>
      </c>
      <c r="D16">
        <v>7.7732000000000001</v>
      </c>
      <c r="E16">
        <v>31.146000000000001</v>
      </c>
      <c r="F16">
        <v>154.55000000000001</v>
      </c>
    </row>
    <row r="17" spans="1:6" x14ac:dyDescent="0.3">
      <c r="A17" s="9">
        <v>45968</v>
      </c>
      <c r="B17">
        <v>1461.45</v>
      </c>
      <c r="C17">
        <v>0.86460000000000004</v>
      </c>
      <c r="D17">
        <v>7.7770000000000001</v>
      </c>
      <c r="E17">
        <v>30.986999999999998</v>
      </c>
      <c r="F17">
        <v>153.41999999999999</v>
      </c>
    </row>
    <row r="18" spans="1:6" x14ac:dyDescent="0.3">
      <c r="A18" s="9">
        <v>45961</v>
      </c>
      <c r="B18">
        <v>1430</v>
      </c>
      <c r="C18">
        <v>0.86680000000000001</v>
      </c>
      <c r="D18">
        <v>7.7702</v>
      </c>
      <c r="E18">
        <v>30.738</v>
      </c>
      <c r="F18">
        <v>153.99</v>
      </c>
    </row>
    <row r="19" spans="1:6" x14ac:dyDescent="0.3">
      <c r="A19" s="9">
        <v>45954</v>
      </c>
      <c r="B19">
        <v>1439.2</v>
      </c>
      <c r="C19">
        <v>0.86</v>
      </c>
      <c r="D19">
        <v>7.7698999999999998</v>
      </c>
      <c r="E19">
        <v>30.798999999999999</v>
      </c>
      <c r="F19">
        <v>152.86000000000001</v>
      </c>
    </row>
    <row r="20" spans="1:6" x14ac:dyDescent="0.3">
      <c r="A20" s="9">
        <v>45947</v>
      </c>
      <c r="B20">
        <v>1422.15</v>
      </c>
      <c r="C20">
        <v>0.85799999999999998</v>
      </c>
      <c r="D20">
        <v>7.7686000000000002</v>
      </c>
      <c r="E20">
        <v>30.673999999999999</v>
      </c>
      <c r="F20">
        <v>150.61000000000001</v>
      </c>
    </row>
    <row r="21" spans="1:6" x14ac:dyDescent="0.3">
      <c r="A21" s="9">
        <v>45940</v>
      </c>
      <c r="B21">
        <v>1425.3</v>
      </c>
      <c r="C21">
        <v>0.86060000000000003</v>
      </c>
      <c r="D21">
        <v>7.7827999999999999</v>
      </c>
      <c r="E21">
        <v>30.582000000000001</v>
      </c>
      <c r="F21">
        <v>151.19</v>
      </c>
    </row>
    <row r="22" spans="1:6" x14ac:dyDescent="0.3">
      <c r="A22" s="9">
        <v>45933</v>
      </c>
      <c r="B22">
        <v>1406.35</v>
      </c>
      <c r="C22">
        <v>0.85160000000000002</v>
      </c>
      <c r="D22">
        <v>7.7817999999999996</v>
      </c>
      <c r="E22">
        <v>30.375</v>
      </c>
      <c r="F22">
        <v>147.47</v>
      </c>
    </row>
    <row r="23" spans="1:6" x14ac:dyDescent="0.3">
      <c r="A23" s="9">
        <v>45926</v>
      </c>
      <c r="B23">
        <v>1410.5</v>
      </c>
      <c r="C23">
        <v>0.85450000000000004</v>
      </c>
      <c r="D23">
        <v>7.7796000000000003</v>
      </c>
      <c r="E23">
        <v>30.521999999999998</v>
      </c>
      <c r="F23">
        <v>149.49</v>
      </c>
    </row>
    <row r="24" spans="1:6" x14ac:dyDescent="0.3">
      <c r="A24" s="9">
        <v>45919</v>
      </c>
      <c r="B24">
        <v>1397.2</v>
      </c>
      <c r="C24">
        <v>0.85129999999999995</v>
      </c>
      <c r="D24">
        <v>7.7747000000000002</v>
      </c>
      <c r="E24">
        <v>30.202999999999999</v>
      </c>
      <c r="F24">
        <v>147.94999999999999</v>
      </c>
    </row>
    <row r="25" spans="1:6" x14ac:dyDescent="0.3">
      <c r="A25" s="9">
        <v>45912</v>
      </c>
      <c r="B25">
        <v>1393.55</v>
      </c>
      <c r="C25">
        <v>0.85219999999999996</v>
      </c>
      <c r="D25">
        <v>7.7790999999999997</v>
      </c>
      <c r="E25">
        <v>30.241</v>
      </c>
      <c r="F25">
        <v>147.68</v>
      </c>
    </row>
    <row r="26" spans="1:6" x14ac:dyDescent="0.3">
      <c r="A26" s="9">
        <v>45905</v>
      </c>
      <c r="B26">
        <v>1386.95</v>
      </c>
      <c r="C26">
        <v>0.85340000000000005</v>
      </c>
      <c r="D26">
        <v>7.7976999999999999</v>
      </c>
      <c r="E26">
        <v>30.562000000000001</v>
      </c>
      <c r="F26">
        <v>147.43</v>
      </c>
    </row>
    <row r="27" spans="1:6" x14ac:dyDescent="0.3">
      <c r="A27" s="9">
        <v>45898</v>
      </c>
      <c r="B27">
        <v>1389.9</v>
      </c>
      <c r="C27">
        <v>0.85580000000000001</v>
      </c>
      <c r="D27">
        <v>7.7956000000000003</v>
      </c>
      <c r="E27">
        <v>30.571000000000002</v>
      </c>
      <c r="F27">
        <v>147.05000000000001</v>
      </c>
    </row>
    <row r="28" spans="1:6" x14ac:dyDescent="0.3">
      <c r="A28" s="9">
        <v>45891</v>
      </c>
      <c r="B28">
        <v>1383</v>
      </c>
      <c r="C28">
        <v>0.85340000000000005</v>
      </c>
      <c r="D28">
        <v>7.8152999999999997</v>
      </c>
      <c r="E28">
        <v>30.571999999999999</v>
      </c>
      <c r="F28">
        <v>146.94</v>
      </c>
    </row>
    <row r="29" spans="1:6" x14ac:dyDescent="0.3">
      <c r="A29" s="9">
        <v>45884</v>
      </c>
      <c r="B29">
        <v>1390.35</v>
      </c>
      <c r="C29">
        <v>0.85450000000000004</v>
      </c>
      <c r="D29">
        <v>7.8240999999999996</v>
      </c>
      <c r="E29">
        <v>29.995999999999999</v>
      </c>
      <c r="F29">
        <v>147.19</v>
      </c>
    </row>
    <row r="30" spans="1:6" x14ac:dyDescent="0.3">
      <c r="A30" s="9">
        <v>45877</v>
      </c>
      <c r="B30">
        <v>1388</v>
      </c>
      <c r="C30">
        <v>0.85899999999999999</v>
      </c>
      <c r="D30">
        <v>7.85</v>
      </c>
      <c r="E30">
        <v>29.843</v>
      </c>
      <c r="F30">
        <v>147.74</v>
      </c>
    </row>
    <row r="31" spans="1:6" x14ac:dyDescent="0.3">
      <c r="A31" s="9">
        <v>45870</v>
      </c>
      <c r="B31">
        <v>1389.3</v>
      </c>
      <c r="C31">
        <v>0.86309999999999998</v>
      </c>
      <c r="D31">
        <v>7.8495999999999997</v>
      </c>
      <c r="E31">
        <v>29.972999999999999</v>
      </c>
      <c r="F31">
        <v>147.4</v>
      </c>
    </row>
    <row r="32" spans="1:6" x14ac:dyDescent="0.3">
      <c r="A32" s="9">
        <v>45863</v>
      </c>
      <c r="B32">
        <v>1382.8</v>
      </c>
      <c r="C32">
        <v>0.85170000000000001</v>
      </c>
      <c r="D32">
        <v>7.8495999999999997</v>
      </c>
      <c r="E32">
        <v>29.443999999999999</v>
      </c>
      <c r="F32">
        <v>147.69</v>
      </c>
    </row>
    <row r="33" spans="1:6" x14ac:dyDescent="0.3">
      <c r="A33" s="9">
        <v>45856</v>
      </c>
      <c r="B33">
        <v>1390.65</v>
      </c>
      <c r="C33">
        <v>0.86009999999999998</v>
      </c>
      <c r="D33">
        <v>7.8475000000000001</v>
      </c>
      <c r="E33">
        <v>29.390999999999998</v>
      </c>
      <c r="F33">
        <v>148.81</v>
      </c>
    </row>
    <row r="34" spans="1:6" x14ac:dyDescent="0.3">
      <c r="A34" s="9">
        <v>45849</v>
      </c>
      <c r="B34">
        <v>1377.15</v>
      </c>
      <c r="C34">
        <v>0.85550000000000004</v>
      </c>
      <c r="D34">
        <v>7.8498000000000001</v>
      </c>
      <c r="E34">
        <v>29.216000000000001</v>
      </c>
      <c r="F34">
        <v>147.43</v>
      </c>
    </row>
    <row r="35" spans="1:6" x14ac:dyDescent="0.3">
      <c r="A35" s="9">
        <v>45842</v>
      </c>
      <c r="B35">
        <v>1363.2</v>
      </c>
      <c r="C35">
        <v>0.84899999999999998</v>
      </c>
      <c r="D35">
        <v>7.8493000000000004</v>
      </c>
      <c r="E35">
        <v>28.922999999999998</v>
      </c>
      <c r="F35">
        <v>144.47</v>
      </c>
    </row>
    <row r="36" spans="1:6" x14ac:dyDescent="0.3">
      <c r="A36" s="9">
        <v>45835</v>
      </c>
      <c r="B36">
        <v>1361.55</v>
      </c>
      <c r="C36">
        <v>0.85340000000000005</v>
      </c>
      <c r="D36">
        <v>7.8498000000000001</v>
      </c>
      <c r="E36">
        <v>29.053999999999998</v>
      </c>
      <c r="F36">
        <v>144.65</v>
      </c>
    </row>
    <row r="37" spans="1:6" x14ac:dyDescent="0.3">
      <c r="A37" s="9">
        <v>45828</v>
      </c>
      <c r="B37">
        <v>1370.75</v>
      </c>
      <c r="C37">
        <v>0.8679</v>
      </c>
      <c r="D37">
        <v>7.85</v>
      </c>
      <c r="E37">
        <v>29.532</v>
      </c>
      <c r="F37">
        <v>146.09</v>
      </c>
    </row>
    <row r="38" spans="1:6" x14ac:dyDescent="0.3">
      <c r="A38" s="9">
        <v>45821</v>
      </c>
      <c r="B38">
        <v>1363.25</v>
      </c>
      <c r="C38">
        <v>0.8659</v>
      </c>
      <c r="D38">
        <v>7.8494999999999999</v>
      </c>
      <c r="E38">
        <v>29.553999999999998</v>
      </c>
      <c r="F38">
        <v>144.07</v>
      </c>
    </row>
    <row r="39" spans="1:6" x14ac:dyDescent="0.3">
      <c r="A39" s="9">
        <v>45814</v>
      </c>
      <c r="B39">
        <v>1355.75</v>
      </c>
      <c r="C39">
        <v>0.87749999999999995</v>
      </c>
      <c r="D39">
        <v>7.8468999999999998</v>
      </c>
      <c r="E39">
        <v>29.923999999999999</v>
      </c>
      <c r="F39">
        <v>144.85</v>
      </c>
    </row>
    <row r="40" spans="1:6" x14ac:dyDescent="0.3">
      <c r="A40" s="9">
        <v>45807</v>
      </c>
      <c r="B40">
        <v>1382.6</v>
      </c>
      <c r="C40">
        <v>0.88129999999999997</v>
      </c>
      <c r="D40">
        <v>7.8413000000000004</v>
      </c>
      <c r="E40">
        <v>29.876999999999999</v>
      </c>
      <c r="F40">
        <v>144.02000000000001</v>
      </c>
    </row>
    <row r="41" spans="1:6" x14ac:dyDescent="0.3">
      <c r="A41" s="9">
        <v>45800</v>
      </c>
      <c r="B41">
        <v>1366</v>
      </c>
      <c r="C41">
        <v>0.88009999999999999</v>
      </c>
      <c r="D41">
        <v>7.8322000000000003</v>
      </c>
      <c r="E41">
        <v>29.968</v>
      </c>
      <c r="F41">
        <v>142.56</v>
      </c>
    </row>
    <row r="42" spans="1:6" x14ac:dyDescent="0.3">
      <c r="A42" s="9">
        <v>45793</v>
      </c>
      <c r="B42">
        <v>1401.75</v>
      </c>
      <c r="C42">
        <v>0.89580000000000004</v>
      </c>
      <c r="D42">
        <v>7.8144</v>
      </c>
      <c r="E42">
        <v>30.134</v>
      </c>
      <c r="F42">
        <v>145.69999999999999</v>
      </c>
    </row>
    <row r="43" spans="1:6" x14ac:dyDescent="0.3">
      <c r="A43" s="9">
        <v>45786</v>
      </c>
      <c r="B43">
        <v>1398.1</v>
      </c>
      <c r="C43">
        <v>0.88890000000000002</v>
      </c>
      <c r="D43">
        <v>7.7784000000000004</v>
      </c>
      <c r="E43">
        <v>30.231000000000002</v>
      </c>
      <c r="F43">
        <v>145.37</v>
      </c>
    </row>
    <row r="44" spans="1:6" x14ac:dyDescent="0.3">
      <c r="A44" s="9">
        <v>45779</v>
      </c>
      <c r="B44">
        <v>1401.1</v>
      </c>
      <c r="C44">
        <v>0.88519999999999999</v>
      </c>
      <c r="D44">
        <v>7.75</v>
      </c>
      <c r="E44">
        <v>30.747</v>
      </c>
      <c r="F44">
        <v>144.96</v>
      </c>
    </row>
    <row r="45" spans="1:6" x14ac:dyDescent="0.3">
      <c r="A45" s="9">
        <v>45772</v>
      </c>
      <c r="B45">
        <v>1440.2</v>
      </c>
      <c r="C45">
        <v>0.87990000000000002</v>
      </c>
      <c r="D45">
        <v>7.7572000000000001</v>
      </c>
      <c r="E45">
        <v>32.521000000000001</v>
      </c>
      <c r="F45">
        <v>143.66999999999999</v>
      </c>
    </row>
    <row r="46" spans="1:6" x14ac:dyDescent="0.3">
      <c r="A46" s="9">
        <v>45765</v>
      </c>
      <c r="B46">
        <v>1423.8</v>
      </c>
      <c r="C46">
        <v>0.87770000000000004</v>
      </c>
      <c r="D46">
        <v>7.7610000000000001</v>
      </c>
      <c r="E46">
        <v>32.616999999999997</v>
      </c>
      <c r="F46">
        <v>142.18</v>
      </c>
    </row>
    <row r="47" spans="1:6" x14ac:dyDescent="0.3">
      <c r="A47" s="9">
        <v>45758</v>
      </c>
      <c r="B47">
        <v>1421.6</v>
      </c>
      <c r="C47">
        <v>0.88060000000000005</v>
      </c>
      <c r="D47">
        <v>7.7545999999999999</v>
      </c>
      <c r="E47">
        <v>32.484000000000002</v>
      </c>
      <c r="F47">
        <v>143.54</v>
      </c>
    </row>
    <row r="48" spans="1:6" x14ac:dyDescent="0.3">
      <c r="A48" s="9">
        <v>45751</v>
      </c>
      <c r="B48">
        <v>1462.15</v>
      </c>
      <c r="C48">
        <v>0.91279999999999994</v>
      </c>
      <c r="D48">
        <v>7.7746000000000004</v>
      </c>
      <c r="E48">
        <v>32.966999999999999</v>
      </c>
      <c r="F48">
        <v>146.93</v>
      </c>
    </row>
    <row r="49" spans="1:6" x14ac:dyDescent="0.3">
      <c r="A49" s="9">
        <v>45744</v>
      </c>
      <c r="B49">
        <v>1469.4</v>
      </c>
      <c r="C49">
        <v>0.92349999999999999</v>
      </c>
      <c r="D49">
        <v>7.7786999999999997</v>
      </c>
      <c r="E49">
        <v>33.122999999999998</v>
      </c>
      <c r="F49">
        <v>149.84</v>
      </c>
    </row>
    <row r="50" spans="1:6" x14ac:dyDescent="0.3">
      <c r="A50" s="9">
        <v>45737</v>
      </c>
      <c r="B50">
        <v>1465.75</v>
      </c>
      <c r="C50">
        <v>0.9244</v>
      </c>
      <c r="D50">
        <v>7.7727000000000004</v>
      </c>
      <c r="E50">
        <v>33.005000000000003</v>
      </c>
      <c r="F50">
        <v>149.32</v>
      </c>
    </row>
    <row r="51" spans="1:6" x14ac:dyDescent="0.3">
      <c r="A51" s="9">
        <v>45730</v>
      </c>
      <c r="B51">
        <v>1453.35</v>
      </c>
      <c r="C51">
        <v>0.91920000000000002</v>
      </c>
      <c r="D51">
        <v>7.7727000000000004</v>
      </c>
      <c r="E51">
        <v>32.981999999999999</v>
      </c>
      <c r="F51">
        <v>148.63999999999999</v>
      </c>
    </row>
    <row r="52" spans="1:6" x14ac:dyDescent="0.3">
      <c r="A52" s="9">
        <v>45723</v>
      </c>
      <c r="B52">
        <v>1449.45</v>
      </c>
      <c r="C52">
        <v>0.92310000000000003</v>
      </c>
      <c r="D52">
        <v>7.7706</v>
      </c>
      <c r="E52">
        <v>32.823</v>
      </c>
      <c r="F52">
        <v>148.04</v>
      </c>
    </row>
    <row r="53" spans="1:6" x14ac:dyDescent="0.3">
      <c r="A53" s="9">
        <v>45716</v>
      </c>
      <c r="B53">
        <v>1460.25</v>
      </c>
      <c r="C53">
        <v>0.96379999999999999</v>
      </c>
      <c r="D53">
        <v>7.7786999999999997</v>
      </c>
      <c r="E53">
        <v>32.905000000000001</v>
      </c>
      <c r="F53">
        <v>150.63</v>
      </c>
    </row>
    <row r="54" spans="1:6" x14ac:dyDescent="0.3">
      <c r="A54" s="9">
        <v>45709</v>
      </c>
      <c r="B54">
        <v>1434.05</v>
      </c>
      <c r="C54">
        <v>0.95620000000000005</v>
      </c>
      <c r="D54">
        <v>7.7702999999999998</v>
      </c>
      <c r="E54">
        <v>32.756999999999998</v>
      </c>
      <c r="F54">
        <v>149.27000000000001</v>
      </c>
    </row>
    <row r="55" spans="1:6" x14ac:dyDescent="0.3">
      <c r="A55" s="9">
        <v>45702</v>
      </c>
      <c r="B55">
        <v>1441.05</v>
      </c>
      <c r="C55">
        <v>0.95309999999999995</v>
      </c>
      <c r="D55">
        <v>7.7842000000000002</v>
      </c>
      <c r="E55">
        <v>32.719000000000001</v>
      </c>
      <c r="F55">
        <v>152.31</v>
      </c>
    </row>
    <row r="56" spans="1:6" x14ac:dyDescent="0.3">
      <c r="A56" s="9">
        <v>45695</v>
      </c>
      <c r="B56">
        <v>1448.75</v>
      </c>
      <c r="C56">
        <v>0.96819999999999995</v>
      </c>
      <c r="D56">
        <v>7.7907000000000002</v>
      </c>
      <c r="E56">
        <v>32.765999999999998</v>
      </c>
      <c r="F56">
        <v>151.41</v>
      </c>
    </row>
    <row r="57" spans="1:6" x14ac:dyDescent="0.3">
      <c r="A57" s="9">
        <v>45688</v>
      </c>
      <c r="B57">
        <v>1454.3</v>
      </c>
      <c r="C57">
        <v>0.96499999999999997</v>
      </c>
      <c r="D57">
        <v>7.7923999999999998</v>
      </c>
      <c r="E57">
        <v>33.067</v>
      </c>
      <c r="F57">
        <v>155.19</v>
      </c>
    </row>
    <row r="58" spans="1:6" x14ac:dyDescent="0.3">
      <c r="A58" s="9">
        <v>45681</v>
      </c>
      <c r="B58">
        <v>1430.5</v>
      </c>
      <c r="C58">
        <v>0.95269999999999999</v>
      </c>
      <c r="D58">
        <v>7.7869000000000002</v>
      </c>
      <c r="E58">
        <v>32.68</v>
      </c>
      <c r="F58">
        <v>156</v>
      </c>
    </row>
    <row r="59" spans="1:6" x14ac:dyDescent="0.3">
      <c r="A59" s="9">
        <v>45674</v>
      </c>
      <c r="B59">
        <v>1457.35</v>
      </c>
      <c r="C59">
        <v>0.97340000000000004</v>
      </c>
      <c r="D59">
        <v>7.7857000000000003</v>
      </c>
      <c r="E59">
        <v>32.927999999999997</v>
      </c>
      <c r="F59">
        <v>156.30000000000001</v>
      </c>
    </row>
    <row r="60" spans="1:6" x14ac:dyDescent="0.3">
      <c r="A60" s="9">
        <v>45667</v>
      </c>
      <c r="B60">
        <v>1471.3</v>
      </c>
      <c r="C60">
        <v>0.97609999999999997</v>
      </c>
      <c r="D60">
        <v>7.7876000000000003</v>
      </c>
      <c r="E60">
        <v>32.972999999999999</v>
      </c>
      <c r="F60">
        <v>157.72999999999999</v>
      </c>
    </row>
    <row r="61" spans="1:6" x14ac:dyDescent="0.3">
      <c r="A61" s="9">
        <v>45660</v>
      </c>
      <c r="B61">
        <v>1470.85</v>
      </c>
      <c r="C61">
        <v>0.97009999999999996</v>
      </c>
      <c r="D61">
        <v>7.7786</v>
      </c>
      <c r="E61">
        <v>32.957999999999998</v>
      </c>
      <c r="F61">
        <v>157.26</v>
      </c>
    </row>
    <row r="62" spans="1:6" x14ac:dyDescent="0.3">
      <c r="A62" s="9">
        <v>45653</v>
      </c>
      <c r="B62">
        <v>1470.9</v>
      </c>
      <c r="C62">
        <v>0.95909999999999995</v>
      </c>
      <c r="D62">
        <v>7.7632000000000003</v>
      </c>
      <c r="E62">
        <v>32.795000000000002</v>
      </c>
      <c r="F62">
        <v>157.87</v>
      </c>
    </row>
    <row r="63" spans="1:6" x14ac:dyDescent="0.3">
      <c r="A63" s="9">
        <v>45646</v>
      </c>
      <c r="B63">
        <v>1447.15</v>
      </c>
      <c r="C63">
        <v>0.95879999999999999</v>
      </c>
      <c r="D63">
        <v>7.7756999999999996</v>
      </c>
      <c r="E63">
        <v>32.698999999999998</v>
      </c>
      <c r="F63">
        <v>156.31</v>
      </c>
    </row>
    <row r="64" spans="1:6" x14ac:dyDescent="0.3">
      <c r="A64" s="9">
        <v>45639</v>
      </c>
      <c r="B64">
        <v>1435.45</v>
      </c>
      <c r="C64">
        <v>0.95230000000000004</v>
      </c>
      <c r="D64">
        <v>7.7758000000000003</v>
      </c>
      <c r="E64">
        <v>32.503999999999998</v>
      </c>
      <c r="F64">
        <v>153.65</v>
      </c>
    </row>
    <row r="65" spans="1:6" x14ac:dyDescent="0.3">
      <c r="A65" s="9">
        <v>45632</v>
      </c>
      <c r="B65">
        <v>1423.4</v>
      </c>
      <c r="C65">
        <v>0.94630000000000003</v>
      </c>
      <c r="D65">
        <v>7.7794999999999996</v>
      </c>
      <c r="E65">
        <v>32.384999999999998</v>
      </c>
      <c r="F65">
        <v>150</v>
      </c>
    </row>
    <row r="66" spans="1:6" x14ac:dyDescent="0.3">
      <c r="A66" s="9">
        <v>45625</v>
      </c>
      <c r="B66">
        <v>1397.2</v>
      </c>
      <c r="C66">
        <v>0.94550000000000001</v>
      </c>
      <c r="D66">
        <v>7.782</v>
      </c>
      <c r="E66">
        <v>32.505000000000003</v>
      </c>
      <c r="F66">
        <v>149.77000000000001</v>
      </c>
    </row>
    <row r="67" spans="1:6" x14ac:dyDescent="0.3">
      <c r="A67" s="9">
        <v>45618</v>
      </c>
      <c r="B67">
        <v>1406</v>
      </c>
      <c r="C67">
        <v>0.95989999999999998</v>
      </c>
      <c r="D67">
        <v>7.7842000000000002</v>
      </c>
      <c r="E67">
        <v>32.548000000000002</v>
      </c>
      <c r="F67">
        <v>154.78</v>
      </c>
    </row>
    <row r="68" spans="1:6" x14ac:dyDescent="0.3">
      <c r="A68" s="9">
        <v>45611</v>
      </c>
      <c r="B68">
        <v>1398.45</v>
      </c>
      <c r="C68">
        <v>0.94879999999999998</v>
      </c>
      <c r="D68">
        <v>7.7851999999999997</v>
      </c>
      <c r="E68">
        <v>32.470999999999997</v>
      </c>
      <c r="F68">
        <v>154.30000000000001</v>
      </c>
    </row>
    <row r="69" spans="1:6" x14ac:dyDescent="0.3">
      <c r="A69" s="9">
        <v>45604</v>
      </c>
      <c r="B69">
        <v>1395.9</v>
      </c>
      <c r="C69">
        <v>0.93300000000000005</v>
      </c>
      <c r="D69">
        <v>7.7744999999999997</v>
      </c>
      <c r="E69">
        <v>32.118000000000002</v>
      </c>
      <c r="F69">
        <v>152.63999999999999</v>
      </c>
    </row>
    <row r="70" spans="1:6" x14ac:dyDescent="0.3">
      <c r="A70" s="9">
        <v>45597</v>
      </c>
      <c r="B70">
        <v>1378.55</v>
      </c>
      <c r="C70">
        <v>0.92300000000000004</v>
      </c>
      <c r="D70">
        <v>7.7771999999999997</v>
      </c>
      <c r="E70">
        <v>31.93</v>
      </c>
      <c r="F70">
        <v>153.01</v>
      </c>
    </row>
    <row r="71" spans="1:6" x14ac:dyDescent="0.3">
      <c r="A71" s="9">
        <v>45590</v>
      </c>
      <c r="B71">
        <v>1390.1</v>
      </c>
      <c r="C71">
        <v>0.92630000000000001</v>
      </c>
      <c r="D71">
        <v>7.7702</v>
      </c>
      <c r="E71">
        <v>32.07</v>
      </c>
      <c r="F71">
        <v>152.31</v>
      </c>
    </row>
    <row r="72" spans="1:6" x14ac:dyDescent="0.3">
      <c r="A72" s="9">
        <v>45583</v>
      </c>
      <c r="B72">
        <v>1368.8</v>
      </c>
      <c r="C72">
        <v>0.92020000000000002</v>
      </c>
      <c r="D72">
        <v>7.7705000000000002</v>
      </c>
      <c r="E72">
        <v>32.052</v>
      </c>
      <c r="F72">
        <v>149.53</v>
      </c>
    </row>
    <row r="73" spans="1:6" x14ac:dyDescent="0.3">
      <c r="A73" s="9">
        <v>45576</v>
      </c>
      <c r="B73">
        <v>1350.95</v>
      </c>
      <c r="C73">
        <v>0.9143</v>
      </c>
      <c r="D73">
        <v>7.7706</v>
      </c>
      <c r="E73">
        <v>32.168999999999997</v>
      </c>
      <c r="F73">
        <v>149.13</v>
      </c>
    </row>
    <row r="74" spans="1:6" x14ac:dyDescent="0.3">
      <c r="A74" s="9">
        <v>45569</v>
      </c>
      <c r="B74">
        <v>1348.2</v>
      </c>
      <c r="C74">
        <v>0.91120000000000001</v>
      </c>
      <c r="D74">
        <v>7.7667999999999999</v>
      </c>
      <c r="E74">
        <v>32.024999999999999</v>
      </c>
      <c r="F74">
        <v>148.69999999999999</v>
      </c>
    </row>
    <row r="75" spans="1:6" x14ac:dyDescent="0.3">
      <c r="A75" s="9">
        <v>45562</v>
      </c>
      <c r="B75">
        <v>1310.55</v>
      </c>
      <c r="C75">
        <v>0.89590000000000003</v>
      </c>
      <c r="D75">
        <v>7.7723000000000004</v>
      </c>
      <c r="E75">
        <v>31.597999999999999</v>
      </c>
      <c r="F75">
        <v>142.21</v>
      </c>
    </row>
    <row r="76" spans="1:6" x14ac:dyDescent="0.3">
      <c r="A76" s="9">
        <v>45555</v>
      </c>
      <c r="B76">
        <v>1335.2</v>
      </c>
      <c r="C76">
        <v>0.89590000000000003</v>
      </c>
      <c r="D76">
        <v>7.7903000000000002</v>
      </c>
      <c r="E76">
        <v>31.988</v>
      </c>
      <c r="F76">
        <v>143.85</v>
      </c>
    </row>
    <row r="77" spans="1:6" x14ac:dyDescent="0.3">
      <c r="A77" s="9">
        <v>45548</v>
      </c>
      <c r="B77">
        <v>1333.55</v>
      </c>
      <c r="C77">
        <v>0.90290000000000004</v>
      </c>
      <c r="D77">
        <v>7.7995000000000001</v>
      </c>
      <c r="E77">
        <v>31.992999999999999</v>
      </c>
      <c r="F77">
        <v>140.85</v>
      </c>
    </row>
    <row r="78" spans="1:6" x14ac:dyDescent="0.3">
      <c r="A78" s="9">
        <v>45541</v>
      </c>
      <c r="B78">
        <v>1335</v>
      </c>
      <c r="C78">
        <v>0.9022</v>
      </c>
      <c r="D78">
        <v>7.7954999999999997</v>
      </c>
      <c r="E78">
        <v>31.916</v>
      </c>
      <c r="F78">
        <v>142.30000000000001</v>
      </c>
    </row>
    <row r="79" spans="1:6" x14ac:dyDescent="0.3">
      <c r="A79" s="9">
        <v>45534</v>
      </c>
      <c r="B79">
        <v>1337.8</v>
      </c>
      <c r="C79">
        <v>0.90510000000000002</v>
      </c>
      <c r="D79">
        <v>7.7976999999999999</v>
      </c>
      <c r="E79">
        <v>31.957000000000001</v>
      </c>
      <c r="F79">
        <v>146.16999999999999</v>
      </c>
    </row>
    <row r="80" spans="1:6" x14ac:dyDescent="0.3">
      <c r="A80" s="9">
        <v>45527</v>
      </c>
      <c r="B80">
        <v>1330</v>
      </c>
      <c r="C80">
        <v>0.89349999999999996</v>
      </c>
      <c r="D80">
        <v>7.7961</v>
      </c>
      <c r="E80">
        <v>31.965</v>
      </c>
      <c r="F80">
        <v>144.37</v>
      </c>
    </row>
    <row r="81" spans="1:6" x14ac:dyDescent="0.3">
      <c r="A81" s="9">
        <v>45520</v>
      </c>
      <c r="B81">
        <v>1351.75</v>
      </c>
      <c r="C81">
        <v>0.90690000000000004</v>
      </c>
      <c r="D81">
        <v>7.7942</v>
      </c>
      <c r="E81">
        <v>32.286999999999999</v>
      </c>
      <c r="F81">
        <v>147.63</v>
      </c>
    </row>
    <row r="82" spans="1:6" x14ac:dyDescent="0.3">
      <c r="A82" s="9">
        <v>45513</v>
      </c>
      <c r="B82">
        <v>1365.1</v>
      </c>
      <c r="C82">
        <v>0.91600000000000004</v>
      </c>
      <c r="D82">
        <v>7.7976999999999999</v>
      </c>
      <c r="E82">
        <v>32.4</v>
      </c>
      <c r="F82">
        <v>146.61000000000001</v>
      </c>
    </row>
    <row r="83" spans="1:6" x14ac:dyDescent="0.3">
      <c r="A83" s="9">
        <v>45506</v>
      </c>
      <c r="B83">
        <v>1361.15</v>
      </c>
      <c r="C83">
        <v>0.91649999999999998</v>
      </c>
      <c r="D83">
        <v>7.8074000000000003</v>
      </c>
      <c r="E83">
        <v>32.801000000000002</v>
      </c>
      <c r="F83">
        <v>146.53</v>
      </c>
    </row>
    <row r="84" spans="1:6" x14ac:dyDescent="0.3">
      <c r="A84" s="9">
        <v>45499</v>
      </c>
      <c r="B84">
        <v>1383.95</v>
      </c>
      <c r="C84">
        <v>0.92110000000000003</v>
      </c>
      <c r="D84">
        <v>7.8066000000000004</v>
      </c>
      <c r="E84">
        <v>32.83</v>
      </c>
      <c r="F84">
        <v>153.76</v>
      </c>
    </row>
    <row r="85" spans="1:6" x14ac:dyDescent="0.3">
      <c r="A85" s="9">
        <v>45492</v>
      </c>
      <c r="B85">
        <v>1390.65</v>
      </c>
      <c r="C85">
        <v>0.91890000000000005</v>
      </c>
      <c r="D85">
        <v>7.8109999999999999</v>
      </c>
      <c r="E85">
        <v>32.747</v>
      </c>
      <c r="F85">
        <v>157.47999999999999</v>
      </c>
    </row>
    <row r="86" spans="1:6" x14ac:dyDescent="0.3">
      <c r="A86" s="9">
        <v>45485</v>
      </c>
      <c r="B86">
        <v>1375.35</v>
      </c>
      <c r="C86">
        <v>0.91679999999999995</v>
      </c>
      <c r="D86">
        <v>7.8074000000000003</v>
      </c>
      <c r="E86">
        <v>32.548000000000002</v>
      </c>
      <c r="F86">
        <v>157.83000000000001</v>
      </c>
    </row>
    <row r="87" spans="1:6" x14ac:dyDescent="0.3">
      <c r="A87" s="9">
        <v>45478</v>
      </c>
      <c r="B87">
        <v>1380.95</v>
      </c>
      <c r="C87">
        <v>0.92249999999999999</v>
      </c>
      <c r="D87">
        <v>7.8128000000000002</v>
      </c>
      <c r="E87">
        <v>32.470999999999997</v>
      </c>
      <c r="F87">
        <v>160.75</v>
      </c>
    </row>
    <row r="88" spans="1:6" x14ac:dyDescent="0.3">
      <c r="A88" s="9">
        <v>45471</v>
      </c>
      <c r="B88">
        <v>1376.5</v>
      </c>
      <c r="C88">
        <v>0.93340000000000001</v>
      </c>
      <c r="D88">
        <v>7.8082000000000003</v>
      </c>
      <c r="E88">
        <v>32.438000000000002</v>
      </c>
      <c r="F88">
        <v>160.88</v>
      </c>
    </row>
    <row r="89" spans="1:6" x14ac:dyDescent="0.3">
      <c r="A89" s="9">
        <v>45464</v>
      </c>
      <c r="B89">
        <v>1388.25</v>
      </c>
      <c r="C89">
        <v>0.93520000000000003</v>
      </c>
      <c r="D89">
        <v>7.8064</v>
      </c>
      <c r="E89">
        <v>32.375999999999998</v>
      </c>
      <c r="F89">
        <v>159.80000000000001</v>
      </c>
    </row>
    <row r="90" spans="1:6" x14ac:dyDescent="0.3">
      <c r="A90" s="9">
        <v>45457</v>
      </c>
      <c r="B90">
        <v>1379.25</v>
      </c>
      <c r="C90">
        <v>0.93430000000000002</v>
      </c>
      <c r="D90">
        <v>7.8116000000000003</v>
      </c>
      <c r="E90">
        <v>32.350999999999999</v>
      </c>
      <c r="F90">
        <v>157.4</v>
      </c>
    </row>
    <row r="91" spans="1:6" x14ac:dyDescent="0.3">
      <c r="A91" s="9">
        <v>45450</v>
      </c>
      <c r="B91">
        <v>1365.5</v>
      </c>
      <c r="C91">
        <v>0.92579999999999996</v>
      </c>
      <c r="D91">
        <v>7.8124000000000002</v>
      </c>
      <c r="E91">
        <v>32.24</v>
      </c>
      <c r="F91">
        <v>156.75</v>
      </c>
    </row>
    <row r="92" spans="1:6" x14ac:dyDescent="0.3">
      <c r="A92" s="9">
        <v>45443</v>
      </c>
      <c r="B92">
        <v>1385</v>
      </c>
      <c r="C92">
        <v>0.92179999999999995</v>
      </c>
      <c r="D92">
        <v>7.8197000000000001</v>
      </c>
      <c r="E92">
        <v>32.469000000000001</v>
      </c>
      <c r="F92">
        <v>157.31</v>
      </c>
    </row>
    <row r="93" spans="1:6" x14ac:dyDescent="0.3">
      <c r="A93" s="9">
        <v>45436</v>
      </c>
      <c r="B93">
        <v>1369.45</v>
      </c>
      <c r="C93">
        <v>0.92190000000000005</v>
      </c>
      <c r="D93">
        <v>7.8133999999999997</v>
      </c>
      <c r="E93">
        <v>32.259</v>
      </c>
      <c r="F93">
        <v>156.99</v>
      </c>
    </row>
    <row r="94" spans="1:6" x14ac:dyDescent="0.3">
      <c r="A94" s="9">
        <v>45429</v>
      </c>
      <c r="B94">
        <v>1355.15</v>
      </c>
      <c r="C94">
        <v>0.92</v>
      </c>
      <c r="D94">
        <v>7.8018000000000001</v>
      </c>
      <c r="E94">
        <v>32.209000000000003</v>
      </c>
      <c r="F94">
        <v>155.65</v>
      </c>
    </row>
    <row r="95" spans="1:6" x14ac:dyDescent="0.3">
      <c r="A95" s="9">
        <v>45422</v>
      </c>
      <c r="B95">
        <v>1368.05</v>
      </c>
      <c r="C95">
        <v>0.92849999999999999</v>
      </c>
      <c r="D95">
        <v>7.8136999999999999</v>
      </c>
      <c r="E95">
        <v>32.421999999999997</v>
      </c>
      <c r="F95">
        <v>155.78</v>
      </c>
    </row>
    <row r="96" spans="1:6" x14ac:dyDescent="0.3">
      <c r="A96" s="9">
        <v>45415</v>
      </c>
      <c r="B96">
        <v>1363</v>
      </c>
      <c r="C96">
        <v>0.92920000000000003</v>
      </c>
      <c r="D96">
        <v>7.8117999999999999</v>
      </c>
      <c r="E96">
        <v>32.360999999999997</v>
      </c>
      <c r="F96">
        <v>153.05000000000001</v>
      </c>
    </row>
    <row r="97" spans="1:6" x14ac:dyDescent="0.3">
      <c r="A97" s="9">
        <v>45408</v>
      </c>
      <c r="B97">
        <v>1375.3</v>
      </c>
      <c r="C97">
        <v>0.93520000000000003</v>
      </c>
      <c r="D97">
        <v>7.8282999999999996</v>
      </c>
      <c r="E97">
        <v>32.582000000000001</v>
      </c>
      <c r="F97">
        <v>158.33000000000001</v>
      </c>
    </row>
    <row r="98" spans="1:6" x14ac:dyDescent="0.3">
      <c r="A98" s="9">
        <v>45401</v>
      </c>
      <c r="B98">
        <v>1382.3</v>
      </c>
      <c r="C98">
        <v>0.93840000000000001</v>
      </c>
      <c r="D98">
        <v>7.8327</v>
      </c>
      <c r="E98">
        <v>32.529000000000003</v>
      </c>
      <c r="F98">
        <v>154.63999999999999</v>
      </c>
    </row>
    <row r="99" spans="1:6" x14ac:dyDescent="0.3">
      <c r="A99" s="9">
        <v>45394</v>
      </c>
      <c r="B99">
        <v>1375.4</v>
      </c>
      <c r="C99">
        <v>0.93959999999999999</v>
      </c>
      <c r="D99">
        <v>7.8375000000000004</v>
      </c>
      <c r="E99">
        <v>32.271999999999998</v>
      </c>
      <c r="F99">
        <v>153.22999999999999</v>
      </c>
    </row>
    <row r="100" spans="1:6" x14ac:dyDescent="0.3">
      <c r="A100" s="9">
        <v>45387</v>
      </c>
      <c r="B100">
        <v>1352.7</v>
      </c>
      <c r="C100">
        <v>0.92279999999999995</v>
      </c>
      <c r="D100">
        <v>7.8287000000000004</v>
      </c>
      <c r="E100">
        <v>32.049999999999997</v>
      </c>
      <c r="F100">
        <v>151.62</v>
      </c>
    </row>
    <row r="101" spans="1:6" x14ac:dyDescent="0.3">
      <c r="A101" s="9">
        <v>45380</v>
      </c>
      <c r="B101">
        <v>1347.35</v>
      </c>
      <c r="C101">
        <v>0.92679999999999996</v>
      </c>
      <c r="D101">
        <v>7.8247</v>
      </c>
      <c r="E101">
        <v>31.983000000000001</v>
      </c>
      <c r="F101">
        <v>151.35</v>
      </c>
    </row>
    <row r="102" spans="1:6" x14ac:dyDescent="0.3">
      <c r="A102" s="9">
        <v>45373</v>
      </c>
      <c r="B102">
        <v>1338.45</v>
      </c>
      <c r="C102">
        <v>0.92520000000000002</v>
      </c>
      <c r="D102">
        <v>7.8216000000000001</v>
      </c>
      <c r="E102">
        <v>31.965</v>
      </c>
      <c r="F102">
        <v>151.41</v>
      </c>
    </row>
    <row r="103" spans="1:6" x14ac:dyDescent="0.3">
      <c r="A103" s="9">
        <v>45366</v>
      </c>
      <c r="B103">
        <v>1329.9</v>
      </c>
      <c r="C103">
        <v>0.91839999999999999</v>
      </c>
      <c r="D103">
        <v>7.8223000000000003</v>
      </c>
      <c r="E103">
        <v>31.626999999999999</v>
      </c>
      <c r="F103">
        <v>149.04</v>
      </c>
    </row>
    <row r="104" spans="1:6" x14ac:dyDescent="0.3">
      <c r="A104" s="9">
        <v>45359</v>
      </c>
      <c r="B104">
        <v>1319.75</v>
      </c>
      <c r="C104">
        <v>0.91420000000000001</v>
      </c>
      <c r="D104">
        <v>7.8201999999999998</v>
      </c>
      <c r="E104">
        <v>31.422000000000001</v>
      </c>
      <c r="F104">
        <v>147.06</v>
      </c>
    </row>
    <row r="105" spans="1:6" x14ac:dyDescent="0.3">
      <c r="A105" s="9">
        <v>45352</v>
      </c>
      <c r="B105">
        <v>1331.4</v>
      </c>
      <c r="C105">
        <v>0.92269999999999996</v>
      </c>
      <c r="D105">
        <v>7.8280000000000003</v>
      </c>
      <c r="E105">
        <v>31.613</v>
      </c>
      <c r="F105">
        <v>150.12</v>
      </c>
    </row>
    <row r="106" spans="1:6" x14ac:dyDescent="0.3">
      <c r="A106" s="9">
        <v>45345</v>
      </c>
      <c r="B106">
        <v>1331.1</v>
      </c>
      <c r="C106">
        <v>0.92410000000000003</v>
      </c>
      <c r="D106">
        <v>7.8243</v>
      </c>
      <c r="E106">
        <v>31.561</v>
      </c>
      <c r="F106">
        <v>150.51</v>
      </c>
    </row>
    <row r="107" spans="1:6" x14ac:dyDescent="0.3">
      <c r="A107" s="9">
        <v>45338</v>
      </c>
      <c r="B107">
        <v>1335.55</v>
      </c>
      <c r="C107">
        <v>0.92789999999999995</v>
      </c>
      <c r="D107">
        <v>7.8220000000000001</v>
      </c>
      <c r="E107">
        <v>31.36</v>
      </c>
      <c r="F107">
        <v>150.21</v>
      </c>
    </row>
    <row r="108" spans="1:6" x14ac:dyDescent="0.3">
      <c r="A108" s="9">
        <v>45331</v>
      </c>
      <c r="B108">
        <v>1328.25</v>
      </c>
      <c r="C108">
        <v>0.92730000000000001</v>
      </c>
      <c r="D108">
        <v>7.8194999999999997</v>
      </c>
      <c r="E108">
        <v>31.356999999999999</v>
      </c>
      <c r="F108">
        <v>149.29</v>
      </c>
    </row>
    <row r="109" spans="1:6" x14ac:dyDescent="0.3">
      <c r="A109" s="9">
        <v>45324</v>
      </c>
      <c r="B109">
        <v>1322.35</v>
      </c>
      <c r="C109">
        <v>0.92689999999999995</v>
      </c>
      <c r="D109">
        <v>7.8209</v>
      </c>
      <c r="E109">
        <v>31.231000000000002</v>
      </c>
      <c r="F109">
        <v>148.38</v>
      </c>
    </row>
    <row r="110" spans="1:6" x14ac:dyDescent="0.3">
      <c r="A110" s="9">
        <v>45317</v>
      </c>
      <c r="B110">
        <v>1336.3</v>
      </c>
      <c r="C110">
        <v>0.9214</v>
      </c>
      <c r="D110">
        <v>7.8144999999999998</v>
      </c>
      <c r="E110">
        <v>31.297000000000001</v>
      </c>
      <c r="F110">
        <v>148.15</v>
      </c>
    </row>
    <row r="111" spans="1:6" x14ac:dyDescent="0.3">
      <c r="A111" s="9">
        <v>45310</v>
      </c>
      <c r="B111">
        <v>1338.9</v>
      </c>
      <c r="C111">
        <v>0.91759999999999997</v>
      </c>
      <c r="D111">
        <v>7.8181000000000003</v>
      </c>
      <c r="E111">
        <v>31.402999999999999</v>
      </c>
      <c r="F111">
        <v>148.12</v>
      </c>
    </row>
    <row r="112" spans="1:6" x14ac:dyDescent="0.3">
      <c r="A112" s="9">
        <v>45303</v>
      </c>
      <c r="B112">
        <v>1313.85</v>
      </c>
      <c r="C112">
        <v>0.91320000000000001</v>
      </c>
      <c r="D112">
        <v>7.8208000000000002</v>
      </c>
      <c r="E112">
        <v>31.126000000000001</v>
      </c>
      <c r="F112">
        <v>144.88</v>
      </c>
    </row>
    <row r="113" spans="1:6" x14ac:dyDescent="0.3">
      <c r="A113" s="9">
        <v>45296</v>
      </c>
      <c r="B113">
        <v>1315.65</v>
      </c>
      <c r="C113">
        <v>0.91390000000000005</v>
      </c>
      <c r="D113">
        <v>7.8118999999999996</v>
      </c>
      <c r="E113">
        <v>30.988</v>
      </c>
      <c r="F113">
        <v>144.63</v>
      </c>
    </row>
    <row r="114" spans="1:6" x14ac:dyDescent="0.3">
      <c r="A114" s="9">
        <v>45289</v>
      </c>
      <c r="B114">
        <v>1288.0999999999999</v>
      </c>
      <c r="C114">
        <v>0.90590000000000004</v>
      </c>
      <c r="D114">
        <v>7.8114999999999997</v>
      </c>
      <c r="E114">
        <v>30.579000000000001</v>
      </c>
      <c r="F114">
        <v>141.04</v>
      </c>
    </row>
    <row r="115" spans="1:6" x14ac:dyDescent="0.3">
      <c r="A115" s="9">
        <v>45282</v>
      </c>
      <c r="B115">
        <v>1302.9000000000001</v>
      </c>
      <c r="C115">
        <v>0.90800000000000003</v>
      </c>
      <c r="D115">
        <v>7.8116000000000003</v>
      </c>
      <c r="E115">
        <v>31.177</v>
      </c>
      <c r="F115">
        <v>142.41</v>
      </c>
    </row>
    <row r="116" spans="1:6" x14ac:dyDescent="0.3">
      <c r="A116" s="9">
        <v>45275</v>
      </c>
      <c r="B116">
        <v>1296.3499999999999</v>
      </c>
      <c r="C116">
        <v>0.91779999999999995</v>
      </c>
      <c r="D116">
        <v>7.8033000000000001</v>
      </c>
      <c r="E116">
        <v>31.216000000000001</v>
      </c>
      <c r="F116">
        <v>142.15</v>
      </c>
    </row>
    <row r="117" spans="1:6" x14ac:dyDescent="0.3">
      <c r="A117" s="9">
        <v>45268</v>
      </c>
      <c r="B117">
        <v>1306.95</v>
      </c>
      <c r="C117">
        <v>0.92910000000000004</v>
      </c>
      <c r="D117">
        <v>7.8085000000000004</v>
      </c>
      <c r="E117">
        <v>31.38</v>
      </c>
      <c r="F117">
        <v>144.94999999999999</v>
      </c>
    </row>
    <row r="118" spans="1:6" x14ac:dyDescent="0.3">
      <c r="A118" s="9">
        <v>45261</v>
      </c>
      <c r="B118">
        <v>1305.75</v>
      </c>
      <c r="C118">
        <v>0.91879999999999995</v>
      </c>
      <c r="D118">
        <v>7.8144</v>
      </c>
      <c r="E118">
        <v>31.457999999999998</v>
      </c>
      <c r="F118">
        <v>146.82</v>
      </c>
    </row>
    <row r="119" spans="1:6" x14ac:dyDescent="0.3">
      <c r="A119" s="9">
        <v>45254</v>
      </c>
      <c r="B119">
        <v>1306.3</v>
      </c>
      <c r="C119">
        <v>0.91410000000000002</v>
      </c>
      <c r="D119">
        <v>7.7918000000000003</v>
      </c>
      <c r="E119">
        <v>31.638999999999999</v>
      </c>
      <c r="F119">
        <v>149.44</v>
      </c>
    </row>
    <row r="120" spans="1:6" x14ac:dyDescent="0.3">
      <c r="A120" s="9">
        <v>45247</v>
      </c>
      <c r="B120">
        <v>1296.75</v>
      </c>
      <c r="C120">
        <v>0.91620000000000001</v>
      </c>
      <c r="D120">
        <v>7.7964000000000002</v>
      </c>
      <c r="E120">
        <v>31.806000000000001</v>
      </c>
      <c r="F120">
        <v>149.63</v>
      </c>
    </row>
    <row r="121" spans="1:6" x14ac:dyDescent="0.3">
      <c r="A121" s="9">
        <v>45240</v>
      </c>
      <c r="B121">
        <v>1316.9</v>
      </c>
      <c r="C121">
        <v>0.93579999999999997</v>
      </c>
      <c r="D121">
        <v>7.8089000000000004</v>
      </c>
      <c r="E121">
        <v>32.366</v>
      </c>
      <c r="F121">
        <v>151.52000000000001</v>
      </c>
    </row>
    <row r="122" spans="1:6" x14ac:dyDescent="0.3">
      <c r="A122" s="9">
        <v>45233</v>
      </c>
      <c r="B122">
        <v>1322.3</v>
      </c>
      <c r="C122">
        <v>0.93189999999999995</v>
      </c>
      <c r="D122">
        <v>7.8243999999999998</v>
      </c>
      <c r="E122">
        <v>32.276000000000003</v>
      </c>
      <c r="F122">
        <v>149.38999999999999</v>
      </c>
    </row>
    <row r="123" spans="1:6" x14ac:dyDescent="0.3">
      <c r="A123" s="9">
        <v>45226</v>
      </c>
      <c r="B123">
        <v>1355.9</v>
      </c>
      <c r="C123">
        <v>0.94650000000000001</v>
      </c>
      <c r="D123">
        <v>7.8211000000000004</v>
      </c>
      <c r="E123">
        <v>32.439</v>
      </c>
      <c r="F123">
        <v>149.66</v>
      </c>
    </row>
    <row r="124" spans="1:6" x14ac:dyDescent="0.3">
      <c r="A124" s="9">
        <v>45219</v>
      </c>
      <c r="B124">
        <v>1352.5</v>
      </c>
      <c r="C124">
        <v>0.94389999999999996</v>
      </c>
      <c r="D124">
        <v>7.8239999999999998</v>
      </c>
      <c r="E124">
        <v>32.366</v>
      </c>
      <c r="F124">
        <v>149.86000000000001</v>
      </c>
    </row>
    <row r="125" spans="1:6" x14ac:dyDescent="0.3">
      <c r="A125" s="9">
        <v>45212</v>
      </c>
      <c r="B125">
        <v>1350.05</v>
      </c>
      <c r="C125">
        <v>0.95150000000000001</v>
      </c>
      <c r="D125">
        <v>7.8246000000000002</v>
      </c>
      <c r="E125">
        <v>32.216999999999999</v>
      </c>
      <c r="F125">
        <v>149.57</v>
      </c>
    </row>
    <row r="126" spans="1:6" x14ac:dyDescent="0.3">
      <c r="A126" s="9">
        <v>45205</v>
      </c>
      <c r="B126">
        <v>1350</v>
      </c>
      <c r="C126">
        <v>0.9446</v>
      </c>
      <c r="D126">
        <v>7.8315999999999999</v>
      </c>
      <c r="E126">
        <v>32.133000000000003</v>
      </c>
      <c r="F126">
        <v>149.32</v>
      </c>
    </row>
    <row r="127" spans="1:6" x14ac:dyDescent="0.3">
      <c r="A127" s="9">
        <v>45198</v>
      </c>
      <c r="B127">
        <v>1349.4</v>
      </c>
      <c r="C127">
        <v>0.94579999999999997</v>
      </c>
      <c r="D127">
        <v>7.8305999999999996</v>
      </c>
      <c r="E127">
        <v>32.243000000000002</v>
      </c>
      <c r="F127">
        <v>149.37</v>
      </c>
    </row>
    <row r="128" spans="1:6" x14ac:dyDescent="0.3">
      <c r="A128" s="9">
        <v>45191</v>
      </c>
      <c r="B128">
        <v>1336.75</v>
      </c>
      <c r="C128">
        <v>0.93869999999999998</v>
      </c>
      <c r="D128">
        <v>7.8207000000000004</v>
      </c>
      <c r="E128">
        <v>32.145000000000003</v>
      </c>
      <c r="F128">
        <v>148.37</v>
      </c>
    </row>
    <row r="129" spans="1:6" x14ac:dyDescent="0.3">
      <c r="A129" s="9">
        <v>45184</v>
      </c>
      <c r="B129">
        <v>1326</v>
      </c>
      <c r="C129">
        <v>0.93830000000000002</v>
      </c>
      <c r="D129">
        <v>7.8270999999999997</v>
      </c>
      <c r="E129">
        <v>31.908999999999999</v>
      </c>
      <c r="F129">
        <v>147.85</v>
      </c>
    </row>
    <row r="130" spans="1:6" x14ac:dyDescent="0.3">
      <c r="A130" s="9">
        <v>45177</v>
      </c>
      <c r="B130">
        <v>1332.95</v>
      </c>
      <c r="C130">
        <v>0.93459999999999999</v>
      </c>
      <c r="D130">
        <v>7.8399000000000001</v>
      </c>
      <c r="E130">
        <v>32.067999999999998</v>
      </c>
      <c r="F130">
        <v>147.83000000000001</v>
      </c>
    </row>
    <row r="131" spans="1:6" x14ac:dyDescent="0.3">
      <c r="A131" s="9">
        <v>45170</v>
      </c>
      <c r="B131">
        <v>1318.75</v>
      </c>
      <c r="C131">
        <v>0.92769999999999997</v>
      </c>
      <c r="D131">
        <v>7.8442999999999996</v>
      </c>
      <c r="E131">
        <v>31.84</v>
      </c>
      <c r="F131">
        <v>146.22</v>
      </c>
    </row>
    <row r="132" spans="1:6" x14ac:dyDescent="0.3">
      <c r="A132" s="9">
        <v>45163</v>
      </c>
      <c r="B132">
        <v>1325</v>
      </c>
      <c r="C132">
        <v>0.92630000000000001</v>
      </c>
      <c r="D132">
        <v>7.8434999999999997</v>
      </c>
      <c r="E132">
        <v>31.815999999999999</v>
      </c>
      <c r="F132">
        <v>146.44</v>
      </c>
    </row>
    <row r="133" spans="1:6" x14ac:dyDescent="0.3">
      <c r="A133" s="9">
        <v>45156</v>
      </c>
      <c r="B133">
        <v>1338.2</v>
      </c>
      <c r="C133">
        <v>0.91969999999999996</v>
      </c>
      <c r="D133">
        <v>7.8326000000000002</v>
      </c>
      <c r="E133">
        <v>31.917999999999999</v>
      </c>
      <c r="F133">
        <v>145.38999999999999</v>
      </c>
    </row>
    <row r="134" spans="1:6" x14ac:dyDescent="0.3">
      <c r="A134" s="9">
        <v>45149</v>
      </c>
      <c r="B134">
        <v>1324.65</v>
      </c>
      <c r="C134">
        <v>0.91339999999999999</v>
      </c>
      <c r="D134">
        <v>7.8174000000000001</v>
      </c>
      <c r="E134">
        <v>31.818000000000001</v>
      </c>
      <c r="F134">
        <v>144.96</v>
      </c>
    </row>
    <row r="135" spans="1:6" x14ac:dyDescent="0.3">
      <c r="A135" s="9">
        <v>45142</v>
      </c>
      <c r="B135">
        <v>1309.7</v>
      </c>
      <c r="C135">
        <v>0.90859999999999996</v>
      </c>
      <c r="D135">
        <v>7.8113999999999999</v>
      </c>
      <c r="E135">
        <v>31.696999999999999</v>
      </c>
      <c r="F135">
        <v>141.76</v>
      </c>
    </row>
    <row r="136" spans="1:6" x14ac:dyDescent="0.3">
      <c r="A136" s="9">
        <v>45135</v>
      </c>
      <c r="B136">
        <v>1277.05</v>
      </c>
      <c r="C136">
        <v>0.90780000000000005</v>
      </c>
      <c r="D136">
        <v>7.7968000000000002</v>
      </c>
      <c r="E136">
        <v>31.411000000000001</v>
      </c>
      <c r="F136">
        <v>141.16</v>
      </c>
    </row>
    <row r="137" spans="1:6" x14ac:dyDescent="0.3">
      <c r="A137" s="9">
        <v>45128</v>
      </c>
      <c r="B137">
        <v>1283.4000000000001</v>
      </c>
      <c r="C137">
        <v>0.89890000000000003</v>
      </c>
      <c r="D137">
        <v>7.8174000000000001</v>
      </c>
      <c r="E137">
        <v>31.262</v>
      </c>
      <c r="F137">
        <v>141.72999999999999</v>
      </c>
    </row>
    <row r="138" spans="1:6" x14ac:dyDescent="0.3">
      <c r="A138" s="9">
        <v>45121</v>
      </c>
      <c r="B138">
        <v>1266.0999999999999</v>
      </c>
      <c r="C138">
        <v>0.89070000000000005</v>
      </c>
      <c r="D138">
        <v>7.8148999999999997</v>
      </c>
      <c r="E138">
        <v>30.853000000000002</v>
      </c>
      <c r="F138">
        <v>138.80000000000001</v>
      </c>
    </row>
    <row r="139" spans="1:6" x14ac:dyDescent="0.3">
      <c r="A139" s="9">
        <v>45114</v>
      </c>
      <c r="B139">
        <v>1305.2</v>
      </c>
      <c r="C139">
        <v>0.91180000000000005</v>
      </c>
      <c r="D139">
        <v>7.8274999999999997</v>
      </c>
      <c r="E139">
        <v>31.31</v>
      </c>
      <c r="F139">
        <v>142.21</v>
      </c>
    </row>
    <row r="140" spans="1:6" x14ac:dyDescent="0.3">
      <c r="A140" s="9">
        <v>45107</v>
      </c>
      <c r="B140">
        <v>1317.75</v>
      </c>
      <c r="C140">
        <v>0.91669999999999996</v>
      </c>
      <c r="D140">
        <v>7.8365</v>
      </c>
      <c r="E140">
        <v>31.154</v>
      </c>
      <c r="F140">
        <v>144.31</v>
      </c>
    </row>
    <row r="141" spans="1:6" x14ac:dyDescent="0.3">
      <c r="A141" s="9">
        <v>45100</v>
      </c>
      <c r="B141">
        <v>1304.25</v>
      </c>
      <c r="C141">
        <v>0.91790000000000005</v>
      </c>
      <c r="D141">
        <v>7.8297999999999996</v>
      </c>
      <c r="E141">
        <v>30.949000000000002</v>
      </c>
      <c r="F141">
        <v>143.69999999999999</v>
      </c>
    </row>
    <row r="142" spans="1:6" x14ac:dyDescent="0.3">
      <c r="A142" s="9">
        <v>45093</v>
      </c>
      <c r="B142">
        <v>1272.3499999999999</v>
      </c>
      <c r="C142">
        <v>0.9143</v>
      </c>
      <c r="D142">
        <v>7.8198999999999996</v>
      </c>
      <c r="E142">
        <v>30.707000000000001</v>
      </c>
      <c r="F142">
        <v>141.82</v>
      </c>
    </row>
    <row r="143" spans="1:6" x14ac:dyDescent="0.3">
      <c r="A143" s="9">
        <v>45086</v>
      </c>
      <c r="B143">
        <v>1291.6500000000001</v>
      </c>
      <c r="C143">
        <v>0.93030000000000002</v>
      </c>
      <c r="D143">
        <v>7.8388999999999998</v>
      </c>
      <c r="E143">
        <v>30.74</v>
      </c>
      <c r="F143">
        <v>139.4</v>
      </c>
    </row>
    <row r="144" spans="1:6" x14ac:dyDescent="0.3">
      <c r="A144" s="9">
        <v>45079</v>
      </c>
      <c r="B144">
        <v>1305.3499999999999</v>
      </c>
      <c r="C144">
        <v>0.93389999999999995</v>
      </c>
      <c r="D144">
        <v>7.8376000000000001</v>
      </c>
      <c r="E144">
        <v>30.667999999999999</v>
      </c>
      <c r="F144">
        <v>139.91999999999999</v>
      </c>
    </row>
    <row r="145" spans="1:6" x14ac:dyDescent="0.3">
      <c r="A145" s="9">
        <v>45072</v>
      </c>
      <c r="B145">
        <v>1324.6</v>
      </c>
      <c r="C145">
        <v>0.93259999999999998</v>
      </c>
      <c r="D145">
        <v>7.8337000000000003</v>
      </c>
      <c r="E145">
        <v>30.716000000000001</v>
      </c>
      <c r="F145">
        <v>140.6</v>
      </c>
    </row>
    <row r="146" spans="1:6" x14ac:dyDescent="0.3">
      <c r="A146" s="9">
        <v>45065</v>
      </c>
      <c r="B146">
        <v>1326.6</v>
      </c>
      <c r="C146">
        <v>0.92549999999999999</v>
      </c>
      <c r="D146">
        <v>7.8164999999999996</v>
      </c>
      <c r="E146">
        <v>30.629000000000001</v>
      </c>
      <c r="F146">
        <v>137.97999999999999</v>
      </c>
    </row>
    <row r="147" spans="1:6" x14ac:dyDescent="0.3">
      <c r="A147" s="9">
        <v>45058</v>
      </c>
      <c r="B147">
        <v>1334.45</v>
      </c>
      <c r="C147">
        <v>0.92169999999999996</v>
      </c>
      <c r="D147">
        <v>7.8410000000000002</v>
      </c>
      <c r="E147">
        <v>30.759</v>
      </c>
      <c r="F147">
        <v>135.69999999999999</v>
      </c>
    </row>
    <row r="148" spans="1:6" x14ac:dyDescent="0.3">
      <c r="A148" s="9">
        <v>45051</v>
      </c>
      <c r="B148">
        <v>1322.6</v>
      </c>
      <c r="C148">
        <v>0.90749999999999997</v>
      </c>
      <c r="D148">
        <v>7.8478000000000003</v>
      </c>
      <c r="E148">
        <v>30.664000000000001</v>
      </c>
      <c r="F148">
        <v>134.80000000000001</v>
      </c>
    </row>
    <row r="149" spans="1:6" x14ac:dyDescent="0.3">
      <c r="A149" s="9">
        <v>45044</v>
      </c>
      <c r="B149">
        <v>1338.5</v>
      </c>
      <c r="C149">
        <v>0.90749999999999997</v>
      </c>
      <c r="D149">
        <v>7.8495999999999997</v>
      </c>
      <c r="E149">
        <v>30.751999999999999</v>
      </c>
      <c r="F149">
        <v>136.30000000000001</v>
      </c>
    </row>
    <row r="150" spans="1:6" x14ac:dyDescent="0.3">
      <c r="A150" s="9">
        <v>45037</v>
      </c>
      <c r="B150">
        <v>1327.85</v>
      </c>
      <c r="C150">
        <v>0.9103</v>
      </c>
      <c r="D150">
        <v>7.8476999999999997</v>
      </c>
      <c r="E150">
        <v>30.629000000000001</v>
      </c>
      <c r="F150">
        <v>134.16</v>
      </c>
    </row>
    <row r="151" spans="1:6" x14ac:dyDescent="0.3">
      <c r="A151" s="9">
        <v>45030</v>
      </c>
      <c r="B151">
        <v>1299.05</v>
      </c>
      <c r="C151">
        <v>0.90969999999999995</v>
      </c>
      <c r="D151">
        <v>7.8494999999999999</v>
      </c>
      <c r="E151">
        <v>30.436</v>
      </c>
      <c r="F151">
        <v>133.79</v>
      </c>
    </row>
    <row r="152" spans="1:6" x14ac:dyDescent="0.3">
      <c r="A152" s="9">
        <v>45023</v>
      </c>
      <c r="B152">
        <v>1316.9</v>
      </c>
      <c r="C152">
        <v>0.91700000000000004</v>
      </c>
      <c r="D152">
        <v>7.8498000000000001</v>
      </c>
      <c r="E152">
        <v>30.443000000000001</v>
      </c>
      <c r="F152">
        <v>132.16</v>
      </c>
    </row>
    <row r="153" spans="1:6" x14ac:dyDescent="0.3">
      <c r="A153" s="9">
        <v>45016</v>
      </c>
      <c r="B153">
        <v>1301.8499999999999</v>
      </c>
      <c r="C153">
        <v>0.92259999999999998</v>
      </c>
      <c r="D153">
        <v>7.8498000000000001</v>
      </c>
      <c r="E153">
        <v>30.486999999999998</v>
      </c>
      <c r="F153">
        <v>132.86000000000001</v>
      </c>
    </row>
    <row r="154" spans="1:6" x14ac:dyDescent="0.3">
      <c r="A154" s="9">
        <v>45009</v>
      </c>
      <c r="B154">
        <v>1294</v>
      </c>
      <c r="C154">
        <v>0.9294</v>
      </c>
      <c r="D154">
        <v>7.8498000000000001</v>
      </c>
      <c r="E154">
        <v>30.318999999999999</v>
      </c>
      <c r="F154">
        <v>130.72999999999999</v>
      </c>
    </row>
    <row r="155" spans="1:6" x14ac:dyDescent="0.3">
      <c r="A155" s="9">
        <v>45002</v>
      </c>
      <c r="B155">
        <v>1302.8</v>
      </c>
      <c r="C155">
        <v>0.93720000000000003</v>
      </c>
      <c r="D155">
        <v>7.8494000000000002</v>
      </c>
      <c r="E155">
        <v>30.552</v>
      </c>
      <c r="F155">
        <v>131.85</v>
      </c>
    </row>
    <row r="156" spans="1:6" x14ac:dyDescent="0.3">
      <c r="A156" s="9">
        <v>44995</v>
      </c>
      <c r="B156">
        <v>1324.5</v>
      </c>
      <c r="C156">
        <v>0.93959999999999999</v>
      </c>
      <c r="D156">
        <v>7.8465999999999996</v>
      </c>
      <c r="E156">
        <v>30.844999999999999</v>
      </c>
      <c r="F156">
        <v>135.03</v>
      </c>
    </row>
    <row r="157" spans="1:6" x14ac:dyDescent="0.3">
      <c r="A157" s="9">
        <v>44988</v>
      </c>
      <c r="B157">
        <v>1301.3</v>
      </c>
      <c r="C157">
        <v>0.94030000000000002</v>
      </c>
      <c r="D157">
        <v>7.8494999999999999</v>
      </c>
      <c r="E157">
        <v>30.623999999999999</v>
      </c>
      <c r="F157">
        <v>135.87</v>
      </c>
    </row>
    <row r="158" spans="1:6" x14ac:dyDescent="0.3">
      <c r="A158" s="9">
        <v>44981</v>
      </c>
      <c r="B158">
        <v>1304.7</v>
      </c>
      <c r="C158">
        <v>0.94810000000000005</v>
      </c>
      <c r="D158">
        <v>7.8484999999999996</v>
      </c>
      <c r="E158">
        <v>30.562999999999999</v>
      </c>
      <c r="F158">
        <v>136.47999999999999</v>
      </c>
    </row>
    <row r="159" spans="1:6" x14ac:dyDescent="0.3">
      <c r="A159" s="9">
        <v>44974</v>
      </c>
      <c r="B159">
        <v>1299.6500000000001</v>
      </c>
      <c r="C159">
        <v>0.93510000000000004</v>
      </c>
      <c r="D159">
        <v>7.8449999999999998</v>
      </c>
      <c r="E159">
        <v>30.417000000000002</v>
      </c>
      <c r="F159">
        <v>134.15</v>
      </c>
    </row>
    <row r="160" spans="1:6" x14ac:dyDescent="0.3">
      <c r="A160" s="9">
        <v>44967</v>
      </c>
      <c r="B160">
        <v>1264.95</v>
      </c>
      <c r="C160">
        <v>0.9365</v>
      </c>
      <c r="D160">
        <v>7.8498000000000001</v>
      </c>
      <c r="E160">
        <v>30.120999999999999</v>
      </c>
      <c r="F160">
        <v>131.36000000000001</v>
      </c>
    </row>
    <row r="161" spans="1:6" x14ac:dyDescent="0.3">
      <c r="A161" s="9">
        <v>44960</v>
      </c>
      <c r="B161">
        <v>1229.3499999999999</v>
      </c>
      <c r="C161">
        <v>0.9264</v>
      </c>
      <c r="D161">
        <v>7.8464</v>
      </c>
      <c r="E161">
        <v>29.71</v>
      </c>
      <c r="F161">
        <v>131.19</v>
      </c>
    </row>
    <row r="162" spans="1:6" x14ac:dyDescent="0.3">
      <c r="A162" s="9">
        <v>44953</v>
      </c>
      <c r="B162">
        <v>1231.3</v>
      </c>
      <c r="C162">
        <v>0.92020000000000002</v>
      </c>
      <c r="D162">
        <v>7.8296000000000001</v>
      </c>
      <c r="E162">
        <v>30.077000000000002</v>
      </c>
      <c r="F162">
        <v>129.88</v>
      </c>
    </row>
    <row r="163" spans="1:6" x14ac:dyDescent="0.3">
      <c r="A163" s="9">
        <v>44946</v>
      </c>
      <c r="B163">
        <v>1235.55</v>
      </c>
      <c r="C163">
        <v>0.92110000000000003</v>
      </c>
      <c r="D163">
        <v>7.8292000000000002</v>
      </c>
      <c r="E163">
        <v>30.344999999999999</v>
      </c>
      <c r="F163">
        <v>129.6</v>
      </c>
    </row>
    <row r="164" spans="1:6" x14ac:dyDescent="0.3">
      <c r="A164" s="9">
        <v>44939</v>
      </c>
      <c r="B164">
        <v>1241.3499999999999</v>
      </c>
      <c r="C164">
        <v>0.92330000000000001</v>
      </c>
      <c r="D164">
        <v>7.8098000000000001</v>
      </c>
      <c r="E164">
        <v>30.282</v>
      </c>
      <c r="F164">
        <v>127.87</v>
      </c>
    </row>
    <row r="165" spans="1:6" x14ac:dyDescent="0.3">
      <c r="A165" s="9">
        <v>44932</v>
      </c>
      <c r="B165">
        <v>1268.75</v>
      </c>
      <c r="C165">
        <v>0.9395</v>
      </c>
      <c r="D165">
        <v>7.8071999999999999</v>
      </c>
      <c r="E165">
        <v>30.727</v>
      </c>
      <c r="F165">
        <v>132.08000000000001</v>
      </c>
    </row>
    <row r="166" spans="1:6" x14ac:dyDescent="0.3">
      <c r="A166" s="9">
        <v>44925</v>
      </c>
      <c r="B166">
        <v>1265.5</v>
      </c>
      <c r="C166">
        <v>0.93410000000000004</v>
      </c>
      <c r="D166">
        <v>7.8015999999999996</v>
      </c>
      <c r="E166">
        <v>30.73</v>
      </c>
      <c r="F166">
        <v>131.12</v>
      </c>
    </row>
    <row r="167" spans="1:6" x14ac:dyDescent="0.3">
      <c r="A167" s="9">
        <v>44918</v>
      </c>
      <c r="B167">
        <v>1280.7</v>
      </c>
      <c r="C167">
        <v>0.94189999999999996</v>
      </c>
      <c r="D167">
        <v>7.8051000000000004</v>
      </c>
      <c r="E167">
        <v>30.738</v>
      </c>
      <c r="F167">
        <v>132.91</v>
      </c>
    </row>
    <row r="168" spans="1:6" x14ac:dyDescent="0.3">
      <c r="A168" s="9">
        <v>44911</v>
      </c>
      <c r="B168">
        <v>1307.05</v>
      </c>
      <c r="C168">
        <v>0.9446</v>
      </c>
      <c r="D168">
        <v>7.7839999999999998</v>
      </c>
      <c r="E168">
        <v>30.721</v>
      </c>
      <c r="F168">
        <v>136.6</v>
      </c>
    </row>
    <row r="169" spans="1:6" x14ac:dyDescent="0.3">
      <c r="A169" s="9">
        <v>44904</v>
      </c>
      <c r="B169">
        <v>1301.55</v>
      </c>
      <c r="C169">
        <v>0.94869999999999999</v>
      </c>
      <c r="D169">
        <v>7.7862999999999998</v>
      </c>
      <c r="E169">
        <v>30.623000000000001</v>
      </c>
      <c r="F169">
        <v>136.56</v>
      </c>
    </row>
    <row r="170" spans="1:6" x14ac:dyDescent="0.3">
      <c r="A170" s="9">
        <v>44897</v>
      </c>
      <c r="B170">
        <v>1300.2</v>
      </c>
      <c r="C170">
        <v>0.94920000000000004</v>
      </c>
      <c r="D170">
        <v>7.7887000000000004</v>
      </c>
      <c r="E170">
        <v>30.529</v>
      </c>
      <c r="F170">
        <v>134.31</v>
      </c>
    </row>
    <row r="171" spans="1:6" x14ac:dyDescent="0.3">
      <c r="A171" s="9">
        <v>44890</v>
      </c>
      <c r="B171">
        <v>1324.2</v>
      </c>
      <c r="C171">
        <v>0.96199999999999997</v>
      </c>
      <c r="D171">
        <v>7.8133999999999997</v>
      </c>
      <c r="E171">
        <v>30.844999999999999</v>
      </c>
      <c r="F171">
        <v>139.19</v>
      </c>
    </row>
    <row r="172" spans="1:6" x14ac:dyDescent="0.3">
      <c r="A172" s="9">
        <v>44883</v>
      </c>
      <c r="B172">
        <v>1340.15</v>
      </c>
      <c r="C172">
        <v>0.96850000000000003</v>
      </c>
      <c r="D172">
        <v>7.8219000000000003</v>
      </c>
      <c r="E172">
        <v>31.126000000000001</v>
      </c>
      <c r="F172">
        <v>140.37</v>
      </c>
    </row>
    <row r="173" spans="1:6" x14ac:dyDescent="0.3">
      <c r="A173" s="9">
        <v>44876</v>
      </c>
      <c r="B173">
        <v>1318.75</v>
      </c>
      <c r="C173">
        <v>0.96640000000000004</v>
      </c>
      <c r="D173">
        <v>7.8364000000000003</v>
      </c>
      <c r="E173">
        <v>31.198</v>
      </c>
      <c r="F173">
        <v>138.81</v>
      </c>
    </row>
    <row r="174" spans="1:6" x14ac:dyDescent="0.3">
      <c r="A174" s="9">
        <v>44869</v>
      </c>
      <c r="B174">
        <v>1419.05</v>
      </c>
      <c r="C174">
        <v>1.0043</v>
      </c>
      <c r="D174">
        <v>7.8497000000000003</v>
      </c>
      <c r="E174">
        <v>32.186999999999998</v>
      </c>
      <c r="F174">
        <v>146.62</v>
      </c>
    </row>
    <row r="175" spans="1:6" x14ac:dyDescent="0.3">
      <c r="A175" s="9">
        <v>44862</v>
      </c>
      <c r="B175">
        <v>1421.6</v>
      </c>
      <c r="C175">
        <v>1.0035000000000001</v>
      </c>
      <c r="D175">
        <v>7.8486000000000002</v>
      </c>
      <c r="E175">
        <v>32.146000000000001</v>
      </c>
      <c r="F175">
        <v>147.6</v>
      </c>
    </row>
    <row r="176" spans="1:6" x14ac:dyDescent="0.3">
      <c r="A176" s="9">
        <v>44855</v>
      </c>
      <c r="B176">
        <v>1440.15</v>
      </c>
      <c r="C176">
        <v>1.014</v>
      </c>
      <c r="D176">
        <v>7.8494999999999999</v>
      </c>
      <c r="E176">
        <v>32.183999999999997</v>
      </c>
      <c r="F176">
        <v>147.65</v>
      </c>
    </row>
    <row r="177" spans="1:6" x14ac:dyDescent="0.3">
      <c r="A177" s="9">
        <v>44848</v>
      </c>
      <c r="B177">
        <v>1428.95</v>
      </c>
      <c r="C177">
        <v>1.0286</v>
      </c>
      <c r="D177">
        <v>7.85</v>
      </c>
      <c r="E177">
        <v>31.919</v>
      </c>
      <c r="F177">
        <v>148.66999999999999</v>
      </c>
    </row>
    <row r="178" spans="1:6" x14ac:dyDescent="0.3">
      <c r="A178" s="9">
        <v>44841</v>
      </c>
      <c r="B178">
        <v>1412.8</v>
      </c>
      <c r="C178">
        <v>1.0262</v>
      </c>
      <c r="D178">
        <v>7.8498999999999999</v>
      </c>
      <c r="E178">
        <v>31.649000000000001</v>
      </c>
      <c r="F178">
        <v>145.25</v>
      </c>
    </row>
    <row r="179" spans="1:6" x14ac:dyDescent="0.3">
      <c r="A179" s="9">
        <v>44834</v>
      </c>
      <c r="B179">
        <v>1431.15</v>
      </c>
      <c r="C179">
        <v>1.0202</v>
      </c>
      <c r="D179">
        <v>7.8498000000000001</v>
      </c>
      <c r="E179">
        <v>31.753</v>
      </c>
      <c r="F179">
        <v>144.74</v>
      </c>
    </row>
    <row r="180" spans="1:6" x14ac:dyDescent="0.3">
      <c r="A180" s="9">
        <v>44827</v>
      </c>
      <c r="B180">
        <v>1409.55</v>
      </c>
      <c r="C180">
        <v>1.0323</v>
      </c>
      <c r="D180">
        <v>7.8494000000000002</v>
      </c>
      <c r="E180">
        <v>31.722999999999999</v>
      </c>
      <c r="F180">
        <v>143.31</v>
      </c>
    </row>
    <row r="181" spans="1:6" x14ac:dyDescent="0.3">
      <c r="A181" s="9">
        <v>44820</v>
      </c>
      <c r="B181">
        <v>1388.7</v>
      </c>
      <c r="C181">
        <v>0.99839999999999995</v>
      </c>
      <c r="D181">
        <v>7.8491999999999997</v>
      </c>
      <c r="E181">
        <v>31.356000000000002</v>
      </c>
      <c r="F181">
        <v>142.91999999999999</v>
      </c>
    </row>
    <row r="182" spans="1:6" x14ac:dyDescent="0.3">
      <c r="A182" s="9">
        <v>44813</v>
      </c>
      <c r="B182">
        <v>1380.75</v>
      </c>
      <c r="C182">
        <v>0.99590000000000001</v>
      </c>
      <c r="D182">
        <v>7.8487999999999998</v>
      </c>
      <c r="E182">
        <v>30.931999999999999</v>
      </c>
      <c r="F182">
        <v>142.47</v>
      </c>
    </row>
    <row r="183" spans="1:6" x14ac:dyDescent="0.3">
      <c r="A183" s="9">
        <v>44806</v>
      </c>
      <c r="B183">
        <v>1362.7</v>
      </c>
      <c r="C183">
        <v>1.0046999999999999</v>
      </c>
      <c r="D183">
        <v>7.8494999999999999</v>
      </c>
      <c r="E183">
        <v>30.594999999999999</v>
      </c>
      <c r="F183">
        <v>140.19999999999999</v>
      </c>
    </row>
    <row r="184" spans="1:6" x14ac:dyDescent="0.3">
      <c r="A184" s="9">
        <v>44799</v>
      </c>
      <c r="B184">
        <v>1331.5</v>
      </c>
      <c r="C184">
        <v>1.0035000000000001</v>
      </c>
      <c r="D184">
        <v>7.8467000000000002</v>
      </c>
      <c r="E184">
        <v>30.212</v>
      </c>
      <c r="F184">
        <v>137.63999999999999</v>
      </c>
    </row>
    <row r="185" spans="1:6" x14ac:dyDescent="0.3">
      <c r="A185" s="9">
        <v>44792</v>
      </c>
      <c r="B185">
        <v>1325.85</v>
      </c>
      <c r="C185">
        <v>0.99629999999999996</v>
      </c>
      <c r="D185">
        <v>7.8452999999999999</v>
      </c>
      <c r="E185">
        <v>30.027000000000001</v>
      </c>
      <c r="F185">
        <v>136.97</v>
      </c>
    </row>
    <row r="186" spans="1:6" x14ac:dyDescent="0.3">
      <c r="A186" s="9">
        <v>44785</v>
      </c>
      <c r="B186">
        <v>1302.45</v>
      </c>
      <c r="C186">
        <v>0.97470000000000001</v>
      </c>
      <c r="D186">
        <v>7.8375000000000004</v>
      </c>
      <c r="E186">
        <v>29.991</v>
      </c>
      <c r="F186">
        <v>133.41999999999999</v>
      </c>
    </row>
    <row r="187" spans="1:6" x14ac:dyDescent="0.3">
      <c r="A187" s="9">
        <v>44778</v>
      </c>
      <c r="B187">
        <v>1298.25</v>
      </c>
      <c r="C187">
        <v>0.98199999999999998</v>
      </c>
      <c r="D187">
        <v>7.8498999999999999</v>
      </c>
      <c r="E187">
        <v>29.943999999999999</v>
      </c>
      <c r="F187">
        <v>135.01</v>
      </c>
    </row>
    <row r="188" spans="1:6" x14ac:dyDescent="0.3">
      <c r="A188" s="9">
        <v>44771</v>
      </c>
      <c r="B188">
        <v>1299.25</v>
      </c>
      <c r="C188">
        <v>0.97850000000000004</v>
      </c>
      <c r="D188">
        <v>7.85</v>
      </c>
      <c r="E188">
        <v>29.916</v>
      </c>
      <c r="F188">
        <v>133.27000000000001</v>
      </c>
    </row>
    <row r="189" spans="1:6" x14ac:dyDescent="0.3">
      <c r="A189" s="9">
        <v>44764</v>
      </c>
      <c r="B189">
        <v>1312.9</v>
      </c>
      <c r="C189">
        <v>0.97919999999999996</v>
      </c>
      <c r="D189">
        <v>7.8484999999999996</v>
      </c>
      <c r="E189">
        <v>29.905999999999999</v>
      </c>
      <c r="F189">
        <v>136.12</v>
      </c>
    </row>
    <row r="190" spans="1:6" x14ac:dyDescent="0.3">
      <c r="A190" s="9">
        <v>44757</v>
      </c>
      <c r="B190">
        <v>1326.2</v>
      </c>
      <c r="C190">
        <v>0.99129999999999996</v>
      </c>
      <c r="D190">
        <v>7.8498999999999999</v>
      </c>
      <c r="E190">
        <v>29.956</v>
      </c>
      <c r="F190">
        <v>138.57</v>
      </c>
    </row>
    <row r="191" spans="1:6" x14ac:dyDescent="0.3">
      <c r="A191" s="9">
        <v>44750</v>
      </c>
      <c r="B191">
        <v>1300.4000000000001</v>
      </c>
      <c r="C191">
        <v>0.98170000000000002</v>
      </c>
      <c r="D191">
        <v>7.8484999999999996</v>
      </c>
      <c r="E191">
        <v>29.791</v>
      </c>
      <c r="F191">
        <v>136.1</v>
      </c>
    </row>
    <row r="192" spans="1:6" x14ac:dyDescent="0.3">
      <c r="A192" s="9">
        <v>44743</v>
      </c>
      <c r="B192">
        <v>1297.25</v>
      </c>
      <c r="C192">
        <v>0.95899999999999996</v>
      </c>
      <c r="D192">
        <v>7.8468</v>
      </c>
      <c r="E192">
        <v>29.785</v>
      </c>
      <c r="F192">
        <v>135.21</v>
      </c>
    </row>
    <row r="193" spans="1:6" x14ac:dyDescent="0.3">
      <c r="A193" s="9">
        <v>44736</v>
      </c>
      <c r="B193">
        <v>1298.4000000000001</v>
      </c>
      <c r="C193">
        <v>0.94740000000000002</v>
      </c>
      <c r="D193">
        <v>7.8491999999999997</v>
      </c>
      <c r="E193">
        <v>29.736000000000001</v>
      </c>
      <c r="F193">
        <v>135.22999999999999</v>
      </c>
    </row>
    <row r="194" spans="1:6" x14ac:dyDescent="0.3">
      <c r="A194" s="9">
        <v>44729</v>
      </c>
      <c r="B194">
        <v>1287.6500000000001</v>
      </c>
      <c r="C194">
        <v>0.95279999999999998</v>
      </c>
      <c r="D194">
        <v>7.8498999999999999</v>
      </c>
      <c r="E194">
        <v>29.741</v>
      </c>
      <c r="F194">
        <v>135.02000000000001</v>
      </c>
    </row>
    <row r="195" spans="1:6" x14ac:dyDescent="0.3">
      <c r="A195" s="9">
        <v>44722</v>
      </c>
      <c r="B195">
        <v>1268.55</v>
      </c>
      <c r="C195">
        <v>0.9506</v>
      </c>
      <c r="D195">
        <v>7.8494999999999999</v>
      </c>
      <c r="E195">
        <v>29.568000000000001</v>
      </c>
      <c r="F195">
        <v>134.41</v>
      </c>
    </row>
    <row r="196" spans="1:6" x14ac:dyDescent="0.3">
      <c r="A196" s="9">
        <v>44715</v>
      </c>
      <c r="B196">
        <v>1242.4000000000001</v>
      </c>
      <c r="C196">
        <v>0.93300000000000005</v>
      </c>
      <c r="D196">
        <v>7.8452999999999999</v>
      </c>
      <c r="E196">
        <v>29.35</v>
      </c>
      <c r="F196">
        <v>130.88</v>
      </c>
    </row>
    <row r="197" spans="1:6" x14ac:dyDescent="0.3">
      <c r="A197" s="9">
        <v>44708</v>
      </c>
      <c r="B197">
        <v>1256.3499999999999</v>
      </c>
      <c r="C197">
        <v>0.93159999999999998</v>
      </c>
      <c r="D197">
        <v>7.8491999999999997</v>
      </c>
      <c r="E197">
        <v>29.306000000000001</v>
      </c>
      <c r="F197">
        <v>127.11</v>
      </c>
    </row>
    <row r="198" spans="1:6" x14ac:dyDescent="0.3">
      <c r="A198" s="9">
        <v>44701</v>
      </c>
      <c r="B198">
        <v>1268.1500000000001</v>
      </c>
      <c r="C198">
        <v>0.94669999999999999</v>
      </c>
      <c r="D198">
        <v>7.8482000000000003</v>
      </c>
      <c r="E198">
        <v>29.623999999999999</v>
      </c>
      <c r="F198">
        <v>127.88</v>
      </c>
    </row>
    <row r="199" spans="1:6" x14ac:dyDescent="0.3">
      <c r="A199" s="9">
        <v>44694</v>
      </c>
      <c r="B199">
        <v>1284.1500000000001</v>
      </c>
      <c r="C199">
        <v>0.96050000000000002</v>
      </c>
      <c r="D199">
        <v>7.8498999999999999</v>
      </c>
      <c r="E199">
        <v>29.805</v>
      </c>
      <c r="F199">
        <v>129.22</v>
      </c>
    </row>
    <row r="200" spans="1:6" x14ac:dyDescent="0.3">
      <c r="A200" s="9">
        <v>44687</v>
      </c>
      <c r="B200">
        <v>1273.3</v>
      </c>
      <c r="C200">
        <v>0.94820000000000004</v>
      </c>
      <c r="D200">
        <v>7.8495999999999997</v>
      </c>
      <c r="E200">
        <v>29.681999999999999</v>
      </c>
      <c r="F200">
        <v>130.56</v>
      </c>
    </row>
    <row r="201" spans="1:6" x14ac:dyDescent="0.3">
      <c r="A201" s="9">
        <v>44680</v>
      </c>
      <c r="B201">
        <v>1255.8499999999999</v>
      </c>
      <c r="C201">
        <v>0.94850000000000001</v>
      </c>
      <c r="D201">
        <v>7.8468</v>
      </c>
      <c r="E201">
        <v>29.437000000000001</v>
      </c>
      <c r="F201">
        <v>129.69999999999999</v>
      </c>
    </row>
    <row r="202" spans="1:6" x14ac:dyDescent="0.3">
      <c r="A202" s="9">
        <v>44673</v>
      </c>
      <c r="B202">
        <v>1239</v>
      </c>
      <c r="C202">
        <v>0.92579999999999996</v>
      </c>
      <c r="D202">
        <v>7.8467000000000002</v>
      </c>
      <c r="E202">
        <v>29.265999999999998</v>
      </c>
      <c r="F202">
        <v>128.5</v>
      </c>
    </row>
    <row r="203" spans="1:6" x14ac:dyDescent="0.3">
      <c r="A203" s="9">
        <v>44666</v>
      </c>
      <c r="B203">
        <v>1229.8</v>
      </c>
      <c r="C203">
        <v>0.92459999999999998</v>
      </c>
      <c r="D203">
        <v>7.8440000000000003</v>
      </c>
      <c r="E203">
        <v>29.128</v>
      </c>
      <c r="F203">
        <v>126.46</v>
      </c>
    </row>
    <row r="204" spans="1:6" x14ac:dyDescent="0.3">
      <c r="A204" s="9">
        <v>44659</v>
      </c>
      <c r="B204">
        <v>1225.5</v>
      </c>
      <c r="C204">
        <v>0.91949999999999998</v>
      </c>
      <c r="D204">
        <v>7.8391999999999999</v>
      </c>
      <c r="E204">
        <v>28.901</v>
      </c>
      <c r="F204">
        <v>124.34</v>
      </c>
    </row>
    <row r="205" spans="1:6" x14ac:dyDescent="0.3">
      <c r="A205" s="9">
        <v>44652</v>
      </c>
      <c r="B205">
        <v>1215.5</v>
      </c>
      <c r="C205">
        <v>0.90510000000000002</v>
      </c>
      <c r="D205">
        <v>7.8339999999999996</v>
      </c>
      <c r="E205">
        <v>28.675000000000001</v>
      </c>
      <c r="F205">
        <v>122.52</v>
      </c>
    </row>
    <row r="206" spans="1:6" x14ac:dyDescent="0.3">
      <c r="A206" s="9">
        <v>44645</v>
      </c>
      <c r="B206">
        <v>1218.75</v>
      </c>
      <c r="C206">
        <v>0.91049999999999998</v>
      </c>
      <c r="D206">
        <v>7.8284000000000002</v>
      </c>
      <c r="E206">
        <v>28.626999999999999</v>
      </c>
      <c r="F206">
        <v>122.05</v>
      </c>
    </row>
    <row r="207" spans="1:6" x14ac:dyDescent="0.3">
      <c r="A207" s="9">
        <v>44638</v>
      </c>
      <c r="B207">
        <v>1208.25</v>
      </c>
      <c r="C207">
        <v>0.90490000000000004</v>
      </c>
      <c r="D207">
        <v>7.8244999999999996</v>
      </c>
      <c r="E207">
        <v>28.335000000000001</v>
      </c>
      <c r="F207">
        <v>119.17</v>
      </c>
    </row>
    <row r="208" spans="1:6" x14ac:dyDescent="0.3">
      <c r="A208" s="9">
        <v>44631</v>
      </c>
      <c r="B208">
        <v>1231.7</v>
      </c>
      <c r="C208">
        <v>0.91639999999999999</v>
      </c>
      <c r="D208">
        <v>7.8292999999999999</v>
      </c>
      <c r="E208">
        <v>28.382999999999999</v>
      </c>
      <c r="F208">
        <v>117.29</v>
      </c>
    </row>
    <row r="209" spans="1:6" x14ac:dyDescent="0.3">
      <c r="A209" s="9">
        <v>44624</v>
      </c>
      <c r="B209">
        <v>1214.1500000000001</v>
      </c>
      <c r="C209">
        <v>0.91469999999999996</v>
      </c>
      <c r="D209">
        <v>7.8136000000000001</v>
      </c>
      <c r="E209">
        <v>28.131</v>
      </c>
      <c r="F209">
        <v>114.82</v>
      </c>
    </row>
    <row r="210" spans="1:6" x14ac:dyDescent="0.3">
      <c r="A210" s="9">
        <v>44617</v>
      </c>
      <c r="B210">
        <v>1201.75</v>
      </c>
      <c r="C210">
        <v>0.8871</v>
      </c>
      <c r="D210">
        <v>7.8082000000000003</v>
      </c>
      <c r="E210">
        <v>27.995000000000001</v>
      </c>
      <c r="F210">
        <v>115.55</v>
      </c>
    </row>
    <row r="211" spans="1:6" x14ac:dyDescent="0.3">
      <c r="A211" s="9">
        <v>44610</v>
      </c>
      <c r="B211">
        <v>1195.75</v>
      </c>
      <c r="C211">
        <v>0.88329999999999997</v>
      </c>
      <c r="D211">
        <v>7.8002000000000002</v>
      </c>
      <c r="E211">
        <v>27.856000000000002</v>
      </c>
      <c r="F211">
        <v>115.01</v>
      </c>
    </row>
    <row r="212" spans="1:6" x14ac:dyDescent="0.3">
      <c r="A212" s="9">
        <v>44603</v>
      </c>
      <c r="B212">
        <v>1198.5</v>
      </c>
      <c r="C212">
        <v>0.88109999999999999</v>
      </c>
      <c r="D212">
        <v>7.8005000000000004</v>
      </c>
      <c r="E212">
        <v>27.834</v>
      </c>
      <c r="F212">
        <v>115.42</v>
      </c>
    </row>
    <row r="213" spans="1:6" x14ac:dyDescent="0.3">
      <c r="A213" s="9">
        <v>44596</v>
      </c>
      <c r="B213">
        <v>1197.05</v>
      </c>
      <c r="C213">
        <v>0.87329999999999997</v>
      </c>
      <c r="D213">
        <v>7.7881999999999998</v>
      </c>
      <c r="E213">
        <v>27.824000000000002</v>
      </c>
      <c r="F213">
        <v>115.26</v>
      </c>
    </row>
    <row r="214" spans="1:6" x14ac:dyDescent="0.3">
      <c r="A214" s="9">
        <v>44589</v>
      </c>
      <c r="B214">
        <v>1205.9000000000001</v>
      </c>
      <c r="C214">
        <v>0.89710000000000001</v>
      </c>
      <c r="D214">
        <v>7.7925000000000004</v>
      </c>
      <c r="E214">
        <v>27.835000000000001</v>
      </c>
      <c r="F214">
        <v>115.26</v>
      </c>
    </row>
    <row r="215" spans="1:6" x14ac:dyDescent="0.3">
      <c r="A215" s="9">
        <v>44582</v>
      </c>
      <c r="B215">
        <v>1194.05</v>
      </c>
      <c r="C215">
        <v>0.88149999999999995</v>
      </c>
      <c r="D215">
        <v>7.7865000000000002</v>
      </c>
      <c r="E215">
        <v>27.702000000000002</v>
      </c>
      <c r="F215">
        <v>113.68</v>
      </c>
    </row>
    <row r="216" spans="1:6" x14ac:dyDescent="0.3">
      <c r="A216" s="9">
        <v>44575</v>
      </c>
      <c r="B216">
        <v>1187.3</v>
      </c>
      <c r="C216">
        <v>0.876</v>
      </c>
      <c r="D216">
        <v>7.7846000000000002</v>
      </c>
      <c r="E216">
        <v>27.582000000000001</v>
      </c>
      <c r="F216">
        <v>114.19</v>
      </c>
    </row>
    <row r="217" spans="1:6" x14ac:dyDescent="0.3">
      <c r="A217" s="9">
        <v>44568</v>
      </c>
      <c r="B217">
        <v>1201.55</v>
      </c>
      <c r="C217">
        <v>0.88009999999999999</v>
      </c>
      <c r="D217">
        <v>7.7973999999999997</v>
      </c>
      <c r="E217">
        <v>27.689</v>
      </c>
      <c r="F217">
        <v>115.56</v>
      </c>
    </row>
    <row r="218" spans="1:6" x14ac:dyDescent="0.3">
      <c r="A218" s="9">
        <v>44561</v>
      </c>
      <c r="B218">
        <v>1188.9000000000001</v>
      </c>
      <c r="C218">
        <v>0.87929999999999997</v>
      </c>
      <c r="D218">
        <v>7.7965999999999998</v>
      </c>
      <c r="E218">
        <v>27.673999999999999</v>
      </c>
      <c r="F218">
        <v>115.08</v>
      </c>
    </row>
    <row r="219" spans="1:6" x14ac:dyDescent="0.3">
      <c r="A219" s="9">
        <v>44554</v>
      </c>
      <c r="B219">
        <v>1186.5</v>
      </c>
      <c r="C219">
        <v>0.88339999999999996</v>
      </c>
      <c r="D219">
        <v>7.8</v>
      </c>
      <c r="E219">
        <v>27.733000000000001</v>
      </c>
      <c r="F219">
        <v>114.38</v>
      </c>
    </row>
    <row r="220" spans="1:6" x14ac:dyDescent="0.3">
      <c r="A220" s="9">
        <v>44547</v>
      </c>
      <c r="B220">
        <v>1181</v>
      </c>
      <c r="C220">
        <v>0.88990000000000002</v>
      </c>
      <c r="D220">
        <v>7.8026999999999997</v>
      </c>
      <c r="E220">
        <v>27.815000000000001</v>
      </c>
      <c r="F220">
        <v>113.63</v>
      </c>
    </row>
    <row r="221" spans="1:6" x14ac:dyDescent="0.3">
      <c r="A221" s="9">
        <v>44540</v>
      </c>
      <c r="B221">
        <v>1181.3499999999999</v>
      </c>
      <c r="C221">
        <v>0.88360000000000005</v>
      </c>
      <c r="D221">
        <v>7.7988999999999997</v>
      </c>
      <c r="E221">
        <v>27.734999999999999</v>
      </c>
      <c r="F221">
        <v>113.44</v>
      </c>
    </row>
    <row r="222" spans="1:6" x14ac:dyDescent="0.3">
      <c r="A222" s="9">
        <v>44533</v>
      </c>
      <c r="B222">
        <v>1179.9000000000001</v>
      </c>
      <c r="C222">
        <v>0.88400000000000001</v>
      </c>
      <c r="D222">
        <v>7.7953999999999999</v>
      </c>
      <c r="E222">
        <v>27.715</v>
      </c>
      <c r="F222">
        <v>112.8</v>
      </c>
    </row>
    <row r="223" spans="1:6" x14ac:dyDescent="0.3">
      <c r="A223" s="9">
        <v>44526</v>
      </c>
      <c r="B223">
        <v>1193.3</v>
      </c>
      <c r="C223">
        <v>0.88339999999999996</v>
      </c>
      <c r="D223">
        <v>7.7984</v>
      </c>
      <c r="E223">
        <v>27.847000000000001</v>
      </c>
      <c r="F223">
        <v>113.38</v>
      </c>
    </row>
    <row r="224" spans="1:6" x14ac:dyDescent="0.3">
      <c r="A224" s="9">
        <v>44519</v>
      </c>
      <c r="B224">
        <v>1185.3</v>
      </c>
      <c r="C224">
        <v>0.88639999999999997</v>
      </c>
      <c r="D224">
        <v>7.7907000000000002</v>
      </c>
      <c r="E224">
        <v>27.788</v>
      </c>
      <c r="F224">
        <v>113.99</v>
      </c>
    </row>
    <row r="225" spans="1:6" x14ac:dyDescent="0.3">
      <c r="A225" s="9">
        <v>44512</v>
      </c>
      <c r="B225">
        <v>1179.5999999999999</v>
      </c>
      <c r="C225">
        <v>0.87390000000000001</v>
      </c>
      <c r="D225">
        <v>7.7907999999999999</v>
      </c>
      <c r="E225">
        <v>27.826000000000001</v>
      </c>
      <c r="F225">
        <v>113.89</v>
      </c>
    </row>
    <row r="226" spans="1:6" x14ac:dyDescent="0.3">
      <c r="A226" s="9">
        <v>44505</v>
      </c>
      <c r="B226">
        <v>1185.05</v>
      </c>
      <c r="C226">
        <v>0.86439999999999995</v>
      </c>
      <c r="D226">
        <v>7.7827999999999999</v>
      </c>
      <c r="E226">
        <v>27.872</v>
      </c>
      <c r="F226">
        <v>113.41</v>
      </c>
    </row>
    <row r="227" spans="1:6" x14ac:dyDescent="0.3">
      <c r="A227" s="9">
        <v>44498</v>
      </c>
      <c r="B227">
        <v>1168.5</v>
      </c>
      <c r="C227">
        <v>0.86499999999999999</v>
      </c>
      <c r="D227">
        <v>7.7789999999999999</v>
      </c>
      <c r="E227">
        <v>27.797999999999998</v>
      </c>
      <c r="F227">
        <v>113.95</v>
      </c>
    </row>
    <row r="228" spans="1:6" x14ac:dyDescent="0.3">
      <c r="A228" s="9">
        <v>44491</v>
      </c>
      <c r="B228">
        <v>1177.05</v>
      </c>
      <c r="C228">
        <v>0.85870000000000002</v>
      </c>
      <c r="D228">
        <v>7.7731000000000003</v>
      </c>
      <c r="E228">
        <v>27.861999999999998</v>
      </c>
      <c r="F228">
        <v>113.5</v>
      </c>
    </row>
    <row r="229" spans="1:6" x14ac:dyDescent="0.3">
      <c r="A229" s="9">
        <v>44484</v>
      </c>
      <c r="B229">
        <v>1182.4000000000001</v>
      </c>
      <c r="C229">
        <v>0.86209999999999998</v>
      </c>
      <c r="D229">
        <v>7.7774000000000001</v>
      </c>
      <c r="E229">
        <v>27.989000000000001</v>
      </c>
      <c r="F229">
        <v>114.22</v>
      </c>
    </row>
    <row r="230" spans="1:6" x14ac:dyDescent="0.3">
      <c r="A230" s="9">
        <v>44477</v>
      </c>
      <c r="B230">
        <v>1194.8</v>
      </c>
      <c r="C230">
        <v>0.86399999999999999</v>
      </c>
      <c r="D230">
        <v>7.7840999999999996</v>
      </c>
      <c r="E230">
        <v>28.077000000000002</v>
      </c>
      <c r="F230">
        <v>112.24</v>
      </c>
    </row>
    <row r="231" spans="1:6" x14ac:dyDescent="0.3">
      <c r="A231" s="9">
        <v>44470</v>
      </c>
      <c r="B231">
        <v>1188.1500000000001</v>
      </c>
      <c r="C231">
        <v>0.86260000000000003</v>
      </c>
      <c r="D231">
        <v>7.7858000000000001</v>
      </c>
      <c r="E231">
        <v>27.841999999999999</v>
      </c>
      <c r="F231">
        <v>111.05</v>
      </c>
    </row>
    <row r="232" spans="1:6" x14ac:dyDescent="0.3">
      <c r="A232" s="9">
        <v>44463</v>
      </c>
      <c r="B232">
        <v>1176.7</v>
      </c>
      <c r="C232">
        <v>0.85319999999999996</v>
      </c>
      <c r="D232">
        <v>7.7854999999999999</v>
      </c>
      <c r="E232">
        <v>27.715</v>
      </c>
      <c r="F232">
        <v>110.73</v>
      </c>
    </row>
    <row r="233" spans="1:6" x14ac:dyDescent="0.3">
      <c r="A233" s="9">
        <v>44456</v>
      </c>
      <c r="B233">
        <v>1175.3</v>
      </c>
      <c r="C233">
        <v>0.85289999999999999</v>
      </c>
      <c r="D233">
        <v>7.7827999999999999</v>
      </c>
      <c r="E233">
        <v>27.72</v>
      </c>
      <c r="F233">
        <v>109.93</v>
      </c>
    </row>
    <row r="234" spans="1:6" x14ac:dyDescent="0.3">
      <c r="A234" s="9">
        <v>44449</v>
      </c>
      <c r="B234">
        <v>1169.0999999999999</v>
      </c>
      <c r="C234">
        <v>0.84670000000000001</v>
      </c>
      <c r="D234">
        <v>7.7775999999999996</v>
      </c>
      <c r="E234">
        <v>27.611000000000001</v>
      </c>
      <c r="F234">
        <v>109.94</v>
      </c>
    </row>
    <row r="235" spans="1:6" x14ac:dyDescent="0.3">
      <c r="A235" s="9">
        <v>44442</v>
      </c>
      <c r="B235">
        <v>1157.05</v>
      </c>
      <c r="C235">
        <v>0.84179999999999999</v>
      </c>
      <c r="D235">
        <v>7.7718999999999996</v>
      </c>
      <c r="E235">
        <v>27.667000000000002</v>
      </c>
      <c r="F235">
        <v>109.71</v>
      </c>
    </row>
    <row r="236" spans="1:6" x14ac:dyDescent="0.3">
      <c r="A236" s="9">
        <v>44435</v>
      </c>
      <c r="B236">
        <v>1169.0999999999999</v>
      </c>
      <c r="C236">
        <v>0.84770000000000001</v>
      </c>
      <c r="D236">
        <v>7.7876000000000003</v>
      </c>
      <c r="E236">
        <v>27.936</v>
      </c>
      <c r="F236">
        <v>109.84</v>
      </c>
    </row>
    <row r="237" spans="1:6" x14ac:dyDescent="0.3">
      <c r="A237" s="9">
        <v>44428</v>
      </c>
      <c r="B237">
        <v>1179.6500000000001</v>
      </c>
      <c r="C237">
        <v>0.85470000000000002</v>
      </c>
      <c r="D237">
        <v>7.7908999999999997</v>
      </c>
      <c r="E237">
        <v>28.026</v>
      </c>
      <c r="F237">
        <v>109.78</v>
      </c>
    </row>
    <row r="238" spans="1:6" x14ac:dyDescent="0.3">
      <c r="A238" s="9">
        <v>44421</v>
      </c>
      <c r="B238">
        <v>1168.95</v>
      </c>
      <c r="C238">
        <v>0.8478</v>
      </c>
      <c r="D238">
        <v>7.7828999999999997</v>
      </c>
      <c r="E238">
        <v>27.843</v>
      </c>
      <c r="F238">
        <v>109.59</v>
      </c>
    </row>
    <row r="239" spans="1:6" x14ac:dyDescent="0.3">
      <c r="A239" s="9">
        <v>44414</v>
      </c>
      <c r="B239">
        <v>1142.1500000000001</v>
      </c>
      <c r="C239">
        <v>0.85019999999999996</v>
      </c>
      <c r="D239">
        <v>7.7801999999999998</v>
      </c>
      <c r="E239">
        <v>27.792999999999999</v>
      </c>
      <c r="F239">
        <v>110.25</v>
      </c>
    </row>
    <row r="240" spans="1:6" x14ac:dyDescent="0.3">
      <c r="A240" s="9">
        <v>44407</v>
      </c>
      <c r="B240">
        <v>1150.25</v>
      </c>
      <c r="C240">
        <v>0.8427</v>
      </c>
      <c r="D240">
        <v>7.7717999999999998</v>
      </c>
      <c r="E240">
        <v>27.959</v>
      </c>
      <c r="F240">
        <v>109.72</v>
      </c>
    </row>
    <row r="241" spans="1:6" x14ac:dyDescent="0.3">
      <c r="A241" s="9">
        <v>44400</v>
      </c>
      <c r="B241">
        <v>1150.8</v>
      </c>
      <c r="C241">
        <v>0.84950000000000003</v>
      </c>
      <c r="D241">
        <v>7.77</v>
      </c>
      <c r="E241">
        <v>28.047999999999998</v>
      </c>
      <c r="F241">
        <v>110.55</v>
      </c>
    </row>
    <row r="242" spans="1:6" x14ac:dyDescent="0.3">
      <c r="A242" s="9">
        <v>44393</v>
      </c>
      <c r="B242">
        <v>1140.05</v>
      </c>
      <c r="C242">
        <v>0.84709999999999996</v>
      </c>
      <c r="D242">
        <v>7.7676999999999996</v>
      </c>
      <c r="E242">
        <v>27.98</v>
      </c>
      <c r="F242">
        <v>110.07</v>
      </c>
    </row>
    <row r="243" spans="1:6" x14ac:dyDescent="0.3">
      <c r="A243" s="9">
        <v>44386</v>
      </c>
      <c r="B243">
        <v>1148.9000000000001</v>
      </c>
      <c r="C243">
        <v>0.84189999999999998</v>
      </c>
      <c r="D243">
        <v>7.7674000000000003</v>
      </c>
      <c r="E243">
        <v>28.042000000000002</v>
      </c>
      <c r="F243">
        <v>110.14</v>
      </c>
    </row>
    <row r="244" spans="1:6" x14ac:dyDescent="0.3">
      <c r="A244" s="9">
        <v>44379</v>
      </c>
      <c r="B244">
        <v>1134.8499999999999</v>
      </c>
      <c r="C244">
        <v>0.84279999999999999</v>
      </c>
      <c r="D244">
        <v>7.7660999999999998</v>
      </c>
      <c r="E244">
        <v>27.995999999999999</v>
      </c>
      <c r="F244">
        <v>111.05</v>
      </c>
    </row>
    <row r="245" spans="1:6" x14ac:dyDescent="0.3">
      <c r="A245" s="9">
        <v>44372</v>
      </c>
      <c r="B245">
        <v>1127.75</v>
      </c>
      <c r="C245">
        <v>0.83779999999999999</v>
      </c>
      <c r="D245">
        <v>7.7614000000000001</v>
      </c>
      <c r="E245">
        <v>27.89</v>
      </c>
      <c r="F245">
        <v>110.75</v>
      </c>
    </row>
    <row r="246" spans="1:6" x14ac:dyDescent="0.3">
      <c r="A246" s="9">
        <v>44365</v>
      </c>
      <c r="B246">
        <v>1132.0999999999999</v>
      </c>
      <c r="C246">
        <v>0.84289999999999998</v>
      </c>
      <c r="D246">
        <v>7.7628000000000004</v>
      </c>
      <c r="E246">
        <v>27.763999999999999</v>
      </c>
      <c r="F246">
        <v>110.21</v>
      </c>
    </row>
    <row r="247" spans="1:6" x14ac:dyDescent="0.3">
      <c r="A247" s="9">
        <v>44358</v>
      </c>
      <c r="B247">
        <v>1111.2</v>
      </c>
      <c r="C247">
        <v>0.82589999999999997</v>
      </c>
      <c r="D247">
        <v>7.7615999999999996</v>
      </c>
      <c r="E247">
        <v>27.608000000000001</v>
      </c>
      <c r="F247">
        <v>109.66</v>
      </c>
    </row>
    <row r="248" spans="1:6" x14ac:dyDescent="0.3">
      <c r="A248" s="9">
        <v>44351</v>
      </c>
      <c r="B248">
        <v>1116.45</v>
      </c>
      <c r="C248">
        <v>0.82189999999999996</v>
      </c>
      <c r="D248">
        <v>7.7567000000000004</v>
      </c>
      <c r="E248">
        <v>27.707999999999998</v>
      </c>
      <c r="F248">
        <v>109.52</v>
      </c>
    </row>
    <row r="249" spans="1:6" x14ac:dyDescent="0.3">
      <c r="A249" s="9">
        <v>44344</v>
      </c>
      <c r="B249">
        <v>1115.4000000000001</v>
      </c>
      <c r="C249">
        <v>0.82020000000000004</v>
      </c>
      <c r="D249">
        <v>7.7617000000000003</v>
      </c>
      <c r="E249">
        <v>27.716000000000001</v>
      </c>
      <c r="F249">
        <v>109.85</v>
      </c>
    </row>
    <row r="250" spans="1:6" x14ac:dyDescent="0.3">
      <c r="A250" s="9">
        <v>44337</v>
      </c>
      <c r="B250">
        <v>1126.8499999999999</v>
      </c>
      <c r="C250">
        <v>0.82089999999999996</v>
      </c>
      <c r="D250">
        <v>7.7641999999999998</v>
      </c>
      <c r="E250">
        <v>27.946999999999999</v>
      </c>
      <c r="F250">
        <v>108.96</v>
      </c>
    </row>
    <row r="251" spans="1:6" x14ac:dyDescent="0.3">
      <c r="A251" s="9">
        <v>44330</v>
      </c>
      <c r="B251">
        <v>1128.75</v>
      </c>
      <c r="C251">
        <v>0.82340000000000002</v>
      </c>
      <c r="D251">
        <v>7.7676999999999996</v>
      </c>
      <c r="E251">
        <v>27.957000000000001</v>
      </c>
      <c r="F251">
        <v>109.35</v>
      </c>
    </row>
    <row r="252" spans="1:6" x14ac:dyDescent="0.3">
      <c r="A252" s="9">
        <v>44323</v>
      </c>
      <c r="B252">
        <v>1121.3</v>
      </c>
      <c r="C252">
        <v>0.82210000000000005</v>
      </c>
      <c r="D252">
        <v>7.7659000000000002</v>
      </c>
      <c r="E252">
        <v>27.902999999999999</v>
      </c>
      <c r="F252">
        <v>108.6</v>
      </c>
    </row>
    <row r="253" spans="1:6" x14ac:dyDescent="0.3">
      <c r="A253" s="9">
        <v>44316</v>
      </c>
      <c r="B253">
        <v>1112.4000000000001</v>
      </c>
      <c r="C253">
        <v>0.83199999999999996</v>
      </c>
      <c r="D253">
        <v>7.7675000000000001</v>
      </c>
      <c r="E253">
        <v>27.902000000000001</v>
      </c>
      <c r="F253">
        <v>109.31</v>
      </c>
    </row>
    <row r="254" spans="1:6" x14ac:dyDescent="0.3">
      <c r="A254" s="9">
        <v>44309</v>
      </c>
      <c r="B254">
        <v>1117.7</v>
      </c>
      <c r="C254">
        <v>0.8266</v>
      </c>
      <c r="D254">
        <v>7.7592999999999996</v>
      </c>
      <c r="E254">
        <v>28.099</v>
      </c>
      <c r="F254">
        <v>107.88</v>
      </c>
    </row>
    <row r="255" spans="1:6" x14ac:dyDescent="0.3">
      <c r="A255" s="9">
        <v>44302</v>
      </c>
      <c r="B255">
        <v>1116.5</v>
      </c>
      <c r="C255">
        <v>0.83460000000000001</v>
      </c>
      <c r="D255">
        <v>7.7713000000000001</v>
      </c>
      <c r="E255">
        <v>28.332999999999998</v>
      </c>
      <c r="F255">
        <v>108.8</v>
      </c>
    </row>
    <row r="256" spans="1:6" x14ac:dyDescent="0.3">
      <c r="A256" s="9">
        <v>44295</v>
      </c>
      <c r="B256">
        <v>1120.95</v>
      </c>
      <c r="C256">
        <v>0.84030000000000005</v>
      </c>
      <c r="D256">
        <v>7.7778999999999998</v>
      </c>
      <c r="E256">
        <v>28.459</v>
      </c>
      <c r="F256">
        <v>109.67</v>
      </c>
    </row>
    <row r="257" spans="1:6" x14ac:dyDescent="0.3">
      <c r="A257" s="9">
        <v>44288</v>
      </c>
      <c r="B257">
        <v>1127.5</v>
      </c>
      <c r="C257">
        <v>0.85040000000000004</v>
      </c>
      <c r="D257">
        <v>7.7759</v>
      </c>
      <c r="E257">
        <v>28.533999999999999</v>
      </c>
      <c r="F257">
        <v>110.69</v>
      </c>
    </row>
    <row r="258" spans="1:6" x14ac:dyDescent="0.3">
      <c r="A258" s="9">
        <v>44281</v>
      </c>
      <c r="B258">
        <v>1129.3499999999999</v>
      </c>
      <c r="C258">
        <v>0.84789999999999999</v>
      </c>
      <c r="D258">
        <v>7.7689000000000004</v>
      </c>
      <c r="E258">
        <v>28.602</v>
      </c>
      <c r="F258">
        <v>109.64</v>
      </c>
    </row>
    <row r="259" spans="1:6" x14ac:dyDescent="0.3">
      <c r="A259" s="9">
        <v>44274</v>
      </c>
      <c r="B259">
        <v>1131.0999999999999</v>
      </c>
      <c r="C259">
        <v>0.84</v>
      </c>
      <c r="D259">
        <v>7.7652999999999999</v>
      </c>
      <c r="E259">
        <v>28.436</v>
      </c>
      <c r="F259">
        <v>108.88</v>
      </c>
    </row>
    <row r="260" spans="1:6" x14ac:dyDescent="0.3">
      <c r="A260" s="9">
        <v>44267</v>
      </c>
      <c r="B260">
        <v>1133.7</v>
      </c>
      <c r="C260">
        <v>0.83660000000000001</v>
      </c>
      <c r="D260">
        <v>7.7629000000000001</v>
      </c>
      <c r="E260">
        <v>28.187999999999999</v>
      </c>
      <c r="F260">
        <v>109.03</v>
      </c>
    </row>
    <row r="261" spans="1:6" x14ac:dyDescent="0.3">
      <c r="A261" s="9">
        <v>44260</v>
      </c>
      <c r="B261">
        <v>1125.9000000000001</v>
      </c>
      <c r="C261">
        <v>0.83960000000000001</v>
      </c>
      <c r="D261">
        <v>7.7632000000000003</v>
      </c>
      <c r="E261">
        <v>27.899000000000001</v>
      </c>
      <c r="F261">
        <v>108.31</v>
      </c>
    </row>
    <row r="262" spans="1:6" x14ac:dyDescent="0.3">
      <c r="A262" s="9">
        <v>44253</v>
      </c>
      <c r="B262">
        <v>1123.4000000000001</v>
      </c>
      <c r="C262">
        <v>0.82830000000000004</v>
      </c>
      <c r="D262">
        <v>7.7565999999999997</v>
      </c>
      <c r="E262">
        <v>27.876000000000001</v>
      </c>
      <c r="F262">
        <v>106.57</v>
      </c>
    </row>
    <row r="263" spans="1:6" x14ac:dyDescent="0.3">
      <c r="A263" s="9">
        <v>44246</v>
      </c>
      <c r="B263">
        <v>1105.8499999999999</v>
      </c>
      <c r="C263">
        <v>0.82520000000000004</v>
      </c>
      <c r="D263">
        <v>7.7530999999999999</v>
      </c>
      <c r="E263">
        <v>27.937999999999999</v>
      </c>
      <c r="F263">
        <v>105.45</v>
      </c>
    </row>
    <row r="264" spans="1:6" x14ac:dyDescent="0.3">
      <c r="A264" s="9">
        <v>44239</v>
      </c>
      <c r="B264">
        <v>1106.8499999999999</v>
      </c>
      <c r="C264">
        <v>0.82509999999999994</v>
      </c>
      <c r="D264">
        <v>7.7527999999999997</v>
      </c>
      <c r="E264">
        <v>28.001000000000001</v>
      </c>
      <c r="F264">
        <v>104.94</v>
      </c>
    </row>
    <row r="265" spans="1:6" x14ac:dyDescent="0.3">
      <c r="A265" s="9">
        <v>44232</v>
      </c>
      <c r="B265">
        <v>1123.8</v>
      </c>
      <c r="C265">
        <v>0.83</v>
      </c>
      <c r="D265">
        <v>7.7529000000000003</v>
      </c>
      <c r="E265">
        <v>27.989000000000001</v>
      </c>
      <c r="F265">
        <v>105.39</v>
      </c>
    </row>
    <row r="266" spans="1:6" x14ac:dyDescent="0.3">
      <c r="A266" s="9">
        <v>44225</v>
      </c>
      <c r="B266">
        <v>1118.75</v>
      </c>
      <c r="C266">
        <v>0.82389999999999997</v>
      </c>
      <c r="D266">
        <v>7.7534000000000001</v>
      </c>
      <c r="E266">
        <v>28.018000000000001</v>
      </c>
      <c r="F266">
        <v>104.68</v>
      </c>
    </row>
    <row r="267" spans="1:6" x14ac:dyDescent="0.3">
      <c r="A267" s="9">
        <v>44218</v>
      </c>
      <c r="B267">
        <v>1103.1500000000001</v>
      </c>
      <c r="C267">
        <v>0.82150000000000001</v>
      </c>
      <c r="D267">
        <v>7.7521000000000004</v>
      </c>
      <c r="E267">
        <v>27.984999999999999</v>
      </c>
      <c r="F267">
        <v>103.78</v>
      </c>
    </row>
    <row r="268" spans="1:6" x14ac:dyDescent="0.3">
      <c r="A268" s="9">
        <v>44211</v>
      </c>
      <c r="B268">
        <v>1099.45</v>
      </c>
      <c r="C268">
        <v>0.82809999999999995</v>
      </c>
      <c r="D268">
        <v>7.7539999999999996</v>
      </c>
      <c r="E268">
        <v>28.024999999999999</v>
      </c>
      <c r="F268">
        <v>103.85</v>
      </c>
    </row>
    <row r="269" spans="1:6" x14ac:dyDescent="0.3">
      <c r="A269" s="9">
        <v>44204</v>
      </c>
      <c r="B269">
        <v>1089.7</v>
      </c>
      <c r="C269">
        <v>0.81850000000000001</v>
      </c>
      <c r="D269">
        <v>7.7561999999999998</v>
      </c>
      <c r="E269">
        <v>28.001000000000001</v>
      </c>
      <c r="F269">
        <v>103.94</v>
      </c>
    </row>
    <row r="270" spans="1:6" x14ac:dyDescent="0.3">
      <c r="A270" s="9">
        <v>44197</v>
      </c>
      <c r="B270">
        <v>1086.3499999999999</v>
      </c>
      <c r="C270">
        <v>0.81869999999999998</v>
      </c>
      <c r="D270">
        <v>7.7529000000000003</v>
      </c>
      <c r="E270">
        <v>28.094000000000001</v>
      </c>
      <c r="F270">
        <v>103.2</v>
      </c>
    </row>
    <row r="271" spans="1:6" x14ac:dyDescent="0.3">
      <c r="A271" s="9">
        <v>44190</v>
      </c>
      <c r="B271">
        <v>1102.9000000000001</v>
      </c>
      <c r="C271">
        <v>0.82010000000000005</v>
      </c>
      <c r="D271">
        <v>7.7538</v>
      </c>
      <c r="E271">
        <v>28.12</v>
      </c>
      <c r="F271">
        <v>103.43</v>
      </c>
    </row>
    <row r="272" spans="1:6" x14ac:dyDescent="0.3">
      <c r="A272" s="9">
        <v>44183</v>
      </c>
      <c r="B272">
        <v>1099.55</v>
      </c>
      <c r="C272">
        <v>0.81579999999999997</v>
      </c>
      <c r="D272">
        <v>7.7522000000000002</v>
      </c>
      <c r="E272">
        <v>28.146999999999998</v>
      </c>
      <c r="F272">
        <v>103.3</v>
      </c>
    </row>
    <row r="273" spans="1:6" x14ac:dyDescent="0.3">
      <c r="A273" s="9">
        <v>44176</v>
      </c>
      <c r="B273">
        <v>1090.0999999999999</v>
      </c>
      <c r="C273">
        <v>0.82550000000000001</v>
      </c>
      <c r="D273">
        <v>7.7512999999999996</v>
      </c>
      <c r="E273">
        <v>28.172999999999998</v>
      </c>
      <c r="F273">
        <v>104.04</v>
      </c>
    </row>
    <row r="274" spans="1:6" x14ac:dyDescent="0.3">
      <c r="A274" s="9">
        <v>44169</v>
      </c>
      <c r="B274">
        <v>1082.05</v>
      </c>
      <c r="C274">
        <v>0.82499999999999996</v>
      </c>
      <c r="D274">
        <v>7.7507000000000001</v>
      </c>
      <c r="E274">
        <v>28.218</v>
      </c>
      <c r="F274">
        <v>104.17</v>
      </c>
    </row>
    <row r="275" spans="1:6" x14ac:dyDescent="0.3">
      <c r="A275" s="9">
        <v>44162</v>
      </c>
      <c r="B275">
        <v>1103.4000000000001</v>
      </c>
      <c r="C275">
        <v>0.83589999999999998</v>
      </c>
      <c r="D275">
        <v>7.7506000000000004</v>
      </c>
      <c r="E275">
        <v>28.527999999999999</v>
      </c>
      <c r="F275">
        <v>104.09</v>
      </c>
    </row>
    <row r="276" spans="1:6" x14ac:dyDescent="0.3">
      <c r="A276" s="9">
        <v>44155</v>
      </c>
      <c r="B276">
        <v>1114.1500000000001</v>
      </c>
      <c r="C276">
        <v>0.84350000000000003</v>
      </c>
      <c r="D276">
        <v>7.7522000000000002</v>
      </c>
      <c r="E276">
        <v>28.545000000000002</v>
      </c>
      <c r="F276">
        <v>103.86</v>
      </c>
    </row>
    <row r="277" spans="1:6" x14ac:dyDescent="0.3">
      <c r="A277" s="9">
        <v>44148</v>
      </c>
      <c r="B277">
        <v>1115.6500000000001</v>
      </c>
      <c r="C277">
        <v>0.84489999999999998</v>
      </c>
      <c r="D277">
        <v>7.7533000000000003</v>
      </c>
      <c r="E277">
        <v>28.513999999999999</v>
      </c>
      <c r="F277">
        <v>104.63</v>
      </c>
    </row>
    <row r="278" spans="1:6" x14ac:dyDescent="0.3">
      <c r="A278" s="9">
        <v>44141</v>
      </c>
      <c r="B278">
        <v>1120.5</v>
      </c>
      <c r="C278">
        <v>0.84219999999999995</v>
      </c>
      <c r="D278">
        <v>7.7535999999999996</v>
      </c>
      <c r="E278">
        <v>28.539000000000001</v>
      </c>
      <c r="F278">
        <v>103.35</v>
      </c>
    </row>
    <row r="279" spans="1:6" x14ac:dyDescent="0.3">
      <c r="A279" s="9">
        <v>44134</v>
      </c>
      <c r="B279">
        <v>1135.1500000000001</v>
      </c>
      <c r="C279">
        <v>0.85860000000000003</v>
      </c>
      <c r="D279">
        <v>7.7522000000000002</v>
      </c>
      <c r="E279">
        <v>28.582999999999998</v>
      </c>
      <c r="F279">
        <v>104.66</v>
      </c>
    </row>
    <row r="280" spans="1:6" x14ac:dyDescent="0.3">
      <c r="A280" s="9">
        <v>44127</v>
      </c>
      <c r="B280">
        <v>1132.8499999999999</v>
      </c>
      <c r="C280">
        <v>0.84309999999999996</v>
      </c>
      <c r="D280">
        <v>7.7500999999999998</v>
      </c>
      <c r="E280">
        <v>28.611999999999998</v>
      </c>
      <c r="F280">
        <v>104.71</v>
      </c>
    </row>
    <row r="281" spans="1:6" x14ac:dyDescent="0.3">
      <c r="A281" s="9">
        <v>44120</v>
      </c>
      <c r="B281">
        <v>1147.4000000000001</v>
      </c>
      <c r="C281">
        <v>0.85340000000000005</v>
      </c>
      <c r="D281">
        <v>7.7500999999999998</v>
      </c>
      <c r="E281">
        <v>28.824999999999999</v>
      </c>
      <c r="F281">
        <v>105.4</v>
      </c>
    </row>
    <row r="282" spans="1:6" x14ac:dyDescent="0.3">
      <c r="A282" s="9">
        <v>44113</v>
      </c>
      <c r="B282">
        <v>1153.4000000000001</v>
      </c>
      <c r="C282">
        <v>0.84560000000000002</v>
      </c>
      <c r="D282">
        <v>7.7500999999999998</v>
      </c>
      <c r="E282">
        <v>28.632000000000001</v>
      </c>
      <c r="F282">
        <v>105.62</v>
      </c>
    </row>
    <row r="283" spans="1:6" x14ac:dyDescent="0.3">
      <c r="A283" s="9">
        <v>44106</v>
      </c>
      <c r="B283">
        <v>1169.5999999999999</v>
      </c>
      <c r="C283">
        <v>0.85350000000000004</v>
      </c>
      <c r="D283">
        <v>7.7503000000000002</v>
      </c>
      <c r="E283">
        <v>29.018999999999998</v>
      </c>
      <c r="F283">
        <v>105.29</v>
      </c>
    </row>
    <row r="284" spans="1:6" x14ac:dyDescent="0.3">
      <c r="A284" s="9">
        <v>44099</v>
      </c>
      <c r="B284">
        <v>1172.5</v>
      </c>
      <c r="C284">
        <v>0.85980000000000001</v>
      </c>
      <c r="D284">
        <v>7.75</v>
      </c>
      <c r="E284">
        <v>29.207000000000001</v>
      </c>
      <c r="F284">
        <v>105.58</v>
      </c>
    </row>
    <row r="285" spans="1:6" x14ac:dyDescent="0.3">
      <c r="A285" s="9">
        <v>44092</v>
      </c>
      <c r="B285">
        <v>1160.45</v>
      </c>
      <c r="C285">
        <v>0.84460000000000002</v>
      </c>
      <c r="D285">
        <v>7.7500999999999998</v>
      </c>
      <c r="E285">
        <v>29.067</v>
      </c>
      <c r="F285">
        <v>104.57</v>
      </c>
    </row>
    <row r="286" spans="1:6" x14ac:dyDescent="0.3">
      <c r="A286" s="9">
        <v>44085</v>
      </c>
      <c r="B286">
        <v>1186.9000000000001</v>
      </c>
      <c r="C286">
        <v>0.84419999999999995</v>
      </c>
      <c r="D286">
        <v>7.7503000000000002</v>
      </c>
      <c r="E286">
        <v>29.341000000000001</v>
      </c>
      <c r="F286">
        <v>106.16</v>
      </c>
    </row>
    <row r="287" spans="1:6" x14ac:dyDescent="0.3">
      <c r="A287" s="9">
        <v>44078</v>
      </c>
      <c r="B287">
        <v>1189.6500000000001</v>
      </c>
      <c r="C287">
        <v>0.84470000000000001</v>
      </c>
      <c r="D287">
        <v>7.7506000000000004</v>
      </c>
      <c r="E287">
        <v>29.39</v>
      </c>
      <c r="F287">
        <v>106.24</v>
      </c>
    </row>
    <row r="288" spans="1:6" x14ac:dyDescent="0.3">
      <c r="A288" s="9">
        <v>44071</v>
      </c>
      <c r="B288">
        <v>1184.4000000000001</v>
      </c>
      <c r="C288">
        <v>0.84</v>
      </c>
      <c r="D288">
        <v>7.7504</v>
      </c>
      <c r="E288">
        <v>29.411999999999999</v>
      </c>
      <c r="F288">
        <v>105.37</v>
      </c>
    </row>
    <row r="289" spans="1:6" x14ac:dyDescent="0.3">
      <c r="A289" s="9">
        <v>44064</v>
      </c>
      <c r="B289">
        <v>1186.3</v>
      </c>
      <c r="C289">
        <v>0.84770000000000001</v>
      </c>
      <c r="D289">
        <v>7.7502000000000004</v>
      </c>
      <c r="E289">
        <v>29.427</v>
      </c>
      <c r="F289">
        <v>105.8</v>
      </c>
    </row>
    <row r="290" spans="1:6" x14ac:dyDescent="0.3">
      <c r="A290" s="9">
        <v>44057</v>
      </c>
      <c r="B290">
        <v>1184.5999999999999</v>
      </c>
      <c r="C290">
        <v>0.84440000000000004</v>
      </c>
      <c r="D290">
        <v>7.7507999999999999</v>
      </c>
      <c r="E290">
        <v>29.451000000000001</v>
      </c>
      <c r="F290">
        <v>106.6</v>
      </c>
    </row>
    <row r="291" spans="1:6" x14ac:dyDescent="0.3">
      <c r="A291" s="9">
        <v>44050</v>
      </c>
      <c r="B291">
        <v>1184.75</v>
      </c>
      <c r="C291">
        <v>0.84850000000000003</v>
      </c>
      <c r="D291">
        <v>7.7503000000000002</v>
      </c>
      <c r="E291">
        <v>29.41</v>
      </c>
      <c r="F291">
        <v>105.92</v>
      </c>
    </row>
    <row r="292" spans="1:6" x14ac:dyDescent="0.3">
      <c r="A292" s="9">
        <v>44043</v>
      </c>
      <c r="B292">
        <v>1191.1500000000001</v>
      </c>
      <c r="C292">
        <v>0.84899999999999998</v>
      </c>
      <c r="D292">
        <v>7.7503000000000002</v>
      </c>
      <c r="E292">
        <v>29.376000000000001</v>
      </c>
      <c r="F292">
        <v>105.83</v>
      </c>
    </row>
    <row r="293" spans="1:6" x14ac:dyDescent="0.3">
      <c r="A293" s="9">
        <v>44036</v>
      </c>
      <c r="B293">
        <v>1201.45</v>
      </c>
      <c r="C293">
        <v>0.8579</v>
      </c>
      <c r="D293">
        <v>7.7512999999999996</v>
      </c>
      <c r="E293">
        <v>29.484999999999999</v>
      </c>
      <c r="F293">
        <v>106.14</v>
      </c>
    </row>
    <row r="294" spans="1:6" x14ac:dyDescent="0.3">
      <c r="A294" s="9">
        <v>44029</v>
      </c>
      <c r="B294">
        <v>1205.05</v>
      </c>
      <c r="C294">
        <v>0.87490000000000001</v>
      </c>
      <c r="D294">
        <v>7.7538999999999998</v>
      </c>
      <c r="E294">
        <v>29.532</v>
      </c>
      <c r="F294">
        <v>107.02</v>
      </c>
    </row>
    <row r="295" spans="1:6" x14ac:dyDescent="0.3">
      <c r="A295" s="9">
        <v>44022</v>
      </c>
      <c r="B295">
        <v>1204.45</v>
      </c>
      <c r="C295">
        <v>0.88500000000000001</v>
      </c>
      <c r="D295">
        <v>7.7526000000000002</v>
      </c>
      <c r="E295">
        <v>29.548999999999999</v>
      </c>
      <c r="F295">
        <v>106.93</v>
      </c>
    </row>
    <row r="296" spans="1:6" x14ac:dyDescent="0.3">
      <c r="A296" s="9">
        <v>44015</v>
      </c>
      <c r="B296">
        <v>1198.6500000000001</v>
      </c>
      <c r="C296">
        <v>0.88919999999999999</v>
      </c>
      <c r="D296">
        <v>7.7503000000000002</v>
      </c>
      <c r="E296">
        <v>29.529</v>
      </c>
      <c r="F296">
        <v>107.51</v>
      </c>
    </row>
    <row r="297" spans="1:6" x14ac:dyDescent="0.3">
      <c r="A297" s="9">
        <v>44008</v>
      </c>
      <c r="B297">
        <v>1200.7</v>
      </c>
      <c r="C297">
        <v>0.89139999999999997</v>
      </c>
      <c r="D297">
        <v>7.7504</v>
      </c>
      <c r="E297">
        <v>29.524999999999999</v>
      </c>
      <c r="F297">
        <v>107.22</v>
      </c>
    </row>
    <row r="298" spans="1:6" x14ac:dyDescent="0.3">
      <c r="A298" s="9">
        <v>44001</v>
      </c>
      <c r="B298">
        <v>1209.6500000000001</v>
      </c>
      <c r="C298">
        <v>0.89470000000000005</v>
      </c>
      <c r="D298">
        <v>7.7504</v>
      </c>
      <c r="E298">
        <v>29.591000000000001</v>
      </c>
      <c r="F298">
        <v>106.87</v>
      </c>
    </row>
    <row r="299" spans="1:6" x14ac:dyDescent="0.3">
      <c r="A299" s="9">
        <v>43994</v>
      </c>
      <c r="B299">
        <v>1203.9000000000001</v>
      </c>
      <c r="C299">
        <v>0.88839999999999997</v>
      </c>
      <c r="D299">
        <v>7.7500999999999998</v>
      </c>
      <c r="E299">
        <v>29.661999999999999</v>
      </c>
      <c r="F299">
        <v>107.38</v>
      </c>
    </row>
    <row r="300" spans="1:6" x14ac:dyDescent="0.3">
      <c r="A300" s="9">
        <v>43987</v>
      </c>
      <c r="B300">
        <v>1207.2</v>
      </c>
      <c r="C300">
        <v>0.88560000000000005</v>
      </c>
      <c r="D300">
        <v>7.7502000000000004</v>
      </c>
      <c r="E300">
        <v>29.788</v>
      </c>
      <c r="F300">
        <v>109.59</v>
      </c>
    </row>
    <row r="301" spans="1:6" x14ac:dyDescent="0.3">
      <c r="A301" s="9">
        <v>43980</v>
      </c>
      <c r="B301">
        <v>1238.3499999999999</v>
      </c>
      <c r="C301">
        <v>0.90059999999999996</v>
      </c>
      <c r="D301">
        <v>7.7511999999999999</v>
      </c>
      <c r="E301">
        <v>30.018000000000001</v>
      </c>
      <c r="F301">
        <v>107.83</v>
      </c>
    </row>
    <row r="302" spans="1:6" x14ac:dyDescent="0.3">
      <c r="A302" s="9">
        <v>43973</v>
      </c>
      <c r="B302">
        <v>1237</v>
      </c>
      <c r="C302">
        <v>0.91720000000000002</v>
      </c>
      <c r="D302">
        <v>7.7557999999999998</v>
      </c>
      <c r="E302">
        <v>29.995999999999999</v>
      </c>
      <c r="F302">
        <v>107.64</v>
      </c>
    </row>
    <row r="303" spans="1:6" x14ac:dyDescent="0.3">
      <c r="A303" s="9">
        <v>43966</v>
      </c>
      <c r="B303">
        <v>1231.2</v>
      </c>
      <c r="C303">
        <v>0.92420000000000002</v>
      </c>
      <c r="D303">
        <v>7.7508999999999997</v>
      </c>
      <c r="E303">
        <v>29.922000000000001</v>
      </c>
      <c r="F303">
        <v>107.06</v>
      </c>
    </row>
    <row r="304" spans="1:6" x14ac:dyDescent="0.3">
      <c r="A304" s="9">
        <v>43959</v>
      </c>
      <c r="B304">
        <v>1219.9000000000001</v>
      </c>
      <c r="C304">
        <v>0.92249999999999999</v>
      </c>
      <c r="D304">
        <v>7.7519999999999998</v>
      </c>
      <c r="E304">
        <v>29.887</v>
      </c>
      <c r="F304">
        <v>106.65</v>
      </c>
    </row>
    <row r="305" spans="1:6" x14ac:dyDescent="0.3">
      <c r="A305" s="9">
        <v>43952</v>
      </c>
      <c r="B305">
        <v>1218.5</v>
      </c>
      <c r="C305">
        <v>0.91069999999999995</v>
      </c>
      <c r="D305">
        <v>7.7523</v>
      </c>
      <c r="E305">
        <v>29.736000000000001</v>
      </c>
      <c r="F305">
        <v>106.91</v>
      </c>
    </row>
    <row r="306" spans="1:6" x14ac:dyDescent="0.3">
      <c r="A306" s="9">
        <v>43945</v>
      </c>
      <c r="B306">
        <v>1235.6500000000001</v>
      </c>
      <c r="C306">
        <v>0.92390000000000005</v>
      </c>
      <c r="D306">
        <v>7.7504999999999997</v>
      </c>
      <c r="E306">
        <v>30.07</v>
      </c>
      <c r="F306">
        <v>107.51</v>
      </c>
    </row>
    <row r="307" spans="1:6" x14ac:dyDescent="0.3">
      <c r="A307" s="9">
        <v>43938</v>
      </c>
      <c r="B307">
        <v>1217.95</v>
      </c>
      <c r="C307">
        <v>0.91949999999999998</v>
      </c>
      <c r="D307">
        <v>7.7504999999999997</v>
      </c>
      <c r="E307">
        <v>30.074000000000002</v>
      </c>
      <c r="F307">
        <v>107.54</v>
      </c>
    </row>
    <row r="308" spans="1:6" x14ac:dyDescent="0.3">
      <c r="A308" s="9">
        <v>43931</v>
      </c>
      <c r="B308">
        <v>1208.8499999999999</v>
      </c>
      <c r="C308">
        <v>0.91439999999999999</v>
      </c>
      <c r="D308">
        <v>7.7526999999999999</v>
      </c>
      <c r="E308">
        <v>30.068000000000001</v>
      </c>
      <c r="F308">
        <v>108.47</v>
      </c>
    </row>
    <row r="309" spans="1:6" x14ac:dyDescent="0.3">
      <c r="A309" s="9">
        <v>43924</v>
      </c>
      <c r="B309">
        <v>1231.3499999999999</v>
      </c>
      <c r="C309">
        <v>0.92620000000000002</v>
      </c>
      <c r="D309">
        <v>7.7525000000000004</v>
      </c>
      <c r="E309">
        <v>30.292999999999999</v>
      </c>
      <c r="F309">
        <v>108.55</v>
      </c>
    </row>
    <row r="310" spans="1:6" x14ac:dyDescent="0.3">
      <c r="A310" s="9">
        <v>43917</v>
      </c>
      <c r="B310">
        <v>1211.0999999999999</v>
      </c>
      <c r="C310">
        <v>0.89800000000000002</v>
      </c>
      <c r="D310">
        <v>7.7518000000000002</v>
      </c>
      <c r="E310">
        <v>30.222000000000001</v>
      </c>
      <c r="F310">
        <v>107.94</v>
      </c>
    </row>
    <row r="311" spans="1:6" x14ac:dyDescent="0.3">
      <c r="A311" s="9">
        <v>43910</v>
      </c>
      <c r="B311">
        <v>1248.05</v>
      </c>
      <c r="C311">
        <v>0.93489999999999995</v>
      </c>
      <c r="D311">
        <v>7.7576000000000001</v>
      </c>
      <c r="E311">
        <v>30.239000000000001</v>
      </c>
      <c r="F311">
        <v>110.93</v>
      </c>
    </row>
    <row r="312" spans="1:6" x14ac:dyDescent="0.3">
      <c r="A312" s="9">
        <v>43903</v>
      </c>
      <c r="B312">
        <v>1219.4000000000001</v>
      </c>
      <c r="C312">
        <v>0.90039999999999998</v>
      </c>
      <c r="D312">
        <v>7.7729999999999997</v>
      </c>
      <c r="E312">
        <v>30.158999999999999</v>
      </c>
      <c r="F312">
        <v>107.62</v>
      </c>
    </row>
    <row r="313" spans="1:6" x14ac:dyDescent="0.3">
      <c r="A313" s="9">
        <v>43896</v>
      </c>
      <c r="B313">
        <v>1192.3</v>
      </c>
      <c r="C313">
        <v>0.88619999999999999</v>
      </c>
      <c r="D313">
        <v>7.7679999999999998</v>
      </c>
      <c r="E313">
        <v>30.012</v>
      </c>
      <c r="F313">
        <v>105.39</v>
      </c>
    </row>
    <row r="314" spans="1:6" x14ac:dyDescent="0.3">
      <c r="A314" s="9">
        <v>43889</v>
      </c>
      <c r="B314">
        <v>1214.5</v>
      </c>
      <c r="C314">
        <v>0.90690000000000004</v>
      </c>
      <c r="D314">
        <v>7.7934999999999999</v>
      </c>
      <c r="E314">
        <v>30.286999999999999</v>
      </c>
      <c r="F314">
        <v>107.89</v>
      </c>
    </row>
    <row r="315" spans="1:6" x14ac:dyDescent="0.3">
      <c r="A315" s="9">
        <v>43882</v>
      </c>
      <c r="B315">
        <v>1209.1500000000001</v>
      </c>
      <c r="C315">
        <v>0.92190000000000005</v>
      </c>
      <c r="D315">
        <v>7.7876000000000003</v>
      </c>
      <c r="E315">
        <v>30.399000000000001</v>
      </c>
      <c r="F315">
        <v>111.61</v>
      </c>
    </row>
    <row r="316" spans="1:6" x14ac:dyDescent="0.3">
      <c r="A316" s="9">
        <v>43875</v>
      </c>
      <c r="B316">
        <v>1183.0999999999999</v>
      </c>
      <c r="C316">
        <v>0.92330000000000001</v>
      </c>
      <c r="D316">
        <v>7.7686000000000002</v>
      </c>
      <c r="E316">
        <v>30.02</v>
      </c>
      <c r="F316">
        <v>109.78</v>
      </c>
    </row>
    <row r="317" spans="1:6" x14ac:dyDescent="0.3">
      <c r="A317" s="9">
        <v>43868</v>
      </c>
      <c r="B317">
        <v>1186.5</v>
      </c>
      <c r="C317">
        <v>0.91359999999999997</v>
      </c>
      <c r="D317">
        <v>7.7666000000000004</v>
      </c>
      <c r="E317">
        <v>30.111999999999998</v>
      </c>
      <c r="F317">
        <v>109.75</v>
      </c>
    </row>
    <row r="318" spans="1:6" x14ac:dyDescent="0.3">
      <c r="A318" s="9">
        <v>43861</v>
      </c>
      <c r="B318">
        <v>1191.7</v>
      </c>
      <c r="C318">
        <v>0.90149999999999997</v>
      </c>
      <c r="D318">
        <v>7.7643000000000004</v>
      </c>
      <c r="E318">
        <v>30.241</v>
      </c>
      <c r="F318">
        <v>108.35</v>
      </c>
    </row>
    <row r="319" spans="1:6" x14ac:dyDescent="0.3">
      <c r="A319" s="9">
        <v>43854</v>
      </c>
      <c r="B319">
        <v>1168.6500000000001</v>
      </c>
      <c r="C319">
        <v>0.90700000000000003</v>
      </c>
      <c r="D319">
        <v>7.7724000000000002</v>
      </c>
      <c r="E319">
        <v>30.027000000000001</v>
      </c>
      <c r="F319">
        <v>109.28</v>
      </c>
    </row>
    <row r="320" spans="1:6" x14ac:dyDescent="0.3">
      <c r="A320" s="9">
        <v>43847</v>
      </c>
      <c r="B320">
        <v>1159.5</v>
      </c>
      <c r="C320">
        <v>0.90159999999999996</v>
      </c>
      <c r="D320">
        <v>7.7667999999999999</v>
      </c>
      <c r="E320">
        <v>29.937999999999999</v>
      </c>
      <c r="F320">
        <v>110.14</v>
      </c>
    </row>
    <row r="321" spans="1:6" x14ac:dyDescent="0.3">
      <c r="A321" s="9">
        <v>43840</v>
      </c>
      <c r="B321">
        <v>1161.6500000000001</v>
      </c>
      <c r="C321">
        <v>0.89929999999999999</v>
      </c>
      <c r="D321">
        <v>7.7666000000000004</v>
      </c>
      <c r="E321">
        <v>30.009</v>
      </c>
      <c r="F321">
        <v>109.45</v>
      </c>
    </row>
    <row r="322" spans="1:6" x14ac:dyDescent="0.3">
      <c r="A322" s="9">
        <v>43833</v>
      </c>
      <c r="B322">
        <v>1166.9000000000001</v>
      </c>
      <c r="C322">
        <v>0.89600000000000002</v>
      </c>
      <c r="D322">
        <v>7.7789000000000001</v>
      </c>
      <c r="E322">
        <v>30.047000000000001</v>
      </c>
      <c r="F322">
        <v>108.09</v>
      </c>
    </row>
    <row r="323" spans="1:6" x14ac:dyDescent="0.3">
      <c r="A323" s="9">
        <v>43826</v>
      </c>
      <c r="B323">
        <v>1161.4000000000001</v>
      </c>
      <c r="C323">
        <v>0.89470000000000005</v>
      </c>
      <c r="D323">
        <v>7.7870999999999997</v>
      </c>
      <c r="E323">
        <v>30.117999999999999</v>
      </c>
      <c r="F323">
        <v>109.44</v>
      </c>
    </row>
    <row r="324" spans="1:6" x14ac:dyDescent="0.3">
      <c r="A324" s="9">
        <v>43819</v>
      </c>
      <c r="B324">
        <v>1160.2</v>
      </c>
      <c r="C324">
        <v>0.90269999999999995</v>
      </c>
      <c r="D324">
        <v>7.7954999999999997</v>
      </c>
      <c r="E324">
        <v>30.172000000000001</v>
      </c>
      <c r="F324">
        <v>109.44</v>
      </c>
    </row>
    <row r="325" spans="1:6" x14ac:dyDescent="0.3">
      <c r="A325" s="9">
        <v>43812</v>
      </c>
      <c r="B325">
        <v>1171.6500000000001</v>
      </c>
      <c r="C325">
        <v>0.89910000000000001</v>
      </c>
      <c r="D325">
        <v>7.7972000000000001</v>
      </c>
      <c r="E325">
        <v>30.302</v>
      </c>
      <c r="F325">
        <v>109.38</v>
      </c>
    </row>
    <row r="326" spans="1:6" x14ac:dyDescent="0.3">
      <c r="A326" s="9">
        <v>43805</v>
      </c>
      <c r="B326">
        <v>1189.9000000000001</v>
      </c>
      <c r="C326">
        <v>0.90390000000000004</v>
      </c>
      <c r="D326">
        <v>7.8296999999999999</v>
      </c>
      <c r="E326">
        <v>30.484999999999999</v>
      </c>
      <c r="F326">
        <v>108.58</v>
      </c>
    </row>
    <row r="327" spans="1:6" x14ac:dyDescent="0.3">
      <c r="A327" s="9">
        <v>43798</v>
      </c>
      <c r="B327">
        <v>1181.45</v>
      </c>
      <c r="C327">
        <v>0.90759999999999996</v>
      </c>
      <c r="D327">
        <v>7.8288000000000002</v>
      </c>
      <c r="E327">
        <v>30.507999999999999</v>
      </c>
      <c r="F327">
        <v>109.49</v>
      </c>
    </row>
    <row r="328" spans="1:6" x14ac:dyDescent="0.3">
      <c r="A328" s="9">
        <v>43791</v>
      </c>
      <c r="B328">
        <v>1178.95</v>
      </c>
      <c r="C328">
        <v>0.90739999999999998</v>
      </c>
      <c r="D328">
        <v>7.8254999999999999</v>
      </c>
      <c r="E328">
        <v>30.513000000000002</v>
      </c>
      <c r="F328">
        <v>108.66</v>
      </c>
    </row>
    <row r="329" spans="1:6" x14ac:dyDescent="0.3">
      <c r="A329" s="9">
        <v>43784</v>
      </c>
      <c r="B329">
        <v>1166.75</v>
      </c>
      <c r="C329">
        <v>0.90490000000000004</v>
      </c>
      <c r="D329">
        <v>7.8262</v>
      </c>
      <c r="E329">
        <v>30.527999999999999</v>
      </c>
      <c r="F329">
        <v>108.8</v>
      </c>
    </row>
    <row r="330" spans="1:6" x14ac:dyDescent="0.3">
      <c r="A330" s="9">
        <v>43777</v>
      </c>
      <c r="B330">
        <v>1157.4000000000001</v>
      </c>
      <c r="C330">
        <v>0.90759999999999996</v>
      </c>
      <c r="D330">
        <v>7.8299000000000003</v>
      </c>
      <c r="E330">
        <v>30.364999999999998</v>
      </c>
      <c r="F330">
        <v>109.26</v>
      </c>
    </row>
    <row r="331" spans="1:6" x14ac:dyDescent="0.3">
      <c r="A331" s="9">
        <v>43770</v>
      </c>
      <c r="B331">
        <v>1165.55</v>
      </c>
      <c r="C331">
        <v>0.89559999999999995</v>
      </c>
      <c r="D331">
        <v>7.8362999999999996</v>
      </c>
      <c r="E331">
        <v>30.454999999999998</v>
      </c>
      <c r="F331">
        <v>108.19</v>
      </c>
    </row>
    <row r="332" spans="1:6" x14ac:dyDescent="0.3">
      <c r="A332" s="9">
        <v>43763</v>
      </c>
      <c r="B332">
        <v>1172.9000000000001</v>
      </c>
      <c r="C332">
        <v>0.90249999999999997</v>
      </c>
      <c r="D332">
        <v>7.8375000000000004</v>
      </c>
      <c r="E332">
        <v>30.588999999999999</v>
      </c>
      <c r="F332">
        <v>108.67</v>
      </c>
    </row>
    <row r="333" spans="1:6" x14ac:dyDescent="0.3">
      <c r="A333" s="9">
        <v>43756</v>
      </c>
      <c r="B333">
        <v>1181.45</v>
      </c>
      <c r="C333">
        <v>0.89500000000000002</v>
      </c>
      <c r="D333">
        <v>7.843</v>
      </c>
      <c r="E333">
        <v>30.591000000000001</v>
      </c>
      <c r="F333">
        <v>108.45</v>
      </c>
    </row>
    <row r="334" spans="1:6" x14ac:dyDescent="0.3">
      <c r="A334" s="9">
        <v>43749</v>
      </c>
      <c r="B334">
        <v>1188.9000000000001</v>
      </c>
      <c r="C334">
        <v>0.90559999999999996</v>
      </c>
      <c r="D334">
        <v>7.8433000000000002</v>
      </c>
      <c r="E334">
        <v>30.617999999999999</v>
      </c>
      <c r="F334">
        <v>108.29</v>
      </c>
    </row>
    <row r="335" spans="1:6" x14ac:dyDescent="0.3">
      <c r="A335" s="9">
        <v>43742</v>
      </c>
      <c r="B335">
        <v>1196.5999999999999</v>
      </c>
      <c r="C335">
        <v>0.91090000000000004</v>
      </c>
      <c r="D335">
        <v>7.8395000000000001</v>
      </c>
      <c r="E335">
        <v>30.908000000000001</v>
      </c>
      <c r="F335">
        <v>106.94</v>
      </c>
    </row>
    <row r="336" spans="1:6" x14ac:dyDescent="0.3">
      <c r="A336" s="9">
        <v>43735</v>
      </c>
      <c r="B336">
        <v>1199.95</v>
      </c>
      <c r="C336">
        <v>0.91400000000000003</v>
      </c>
      <c r="D336">
        <v>7.8400999999999996</v>
      </c>
      <c r="E336">
        <v>31.035</v>
      </c>
      <c r="F336">
        <v>107.92</v>
      </c>
    </row>
    <row r="337" spans="1:6" x14ac:dyDescent="0.3">
      <c r="A337" s="9">
        <v>43728</v>
      </c>
      <c r="B337">
        <v>1188.05</v>
      </c>
      <c r="C337">
        <v>0.90759999999999996</v>
      </c>
      <c r="D337">
        <v>7.8367000000000004</v>
      </c>
      <c r="E337">
        <v>30.943000000000001</v>
      </c>
      <c r="F337">
        <v>107.56</v>
      </c>
    </row>
    <row r="338" spans="1:6" x14ac:dyDescent="0.3">
      <c r="A338" s="9">
        <v>43721</v>
      </c>
      <c r="B338">
        <v>1190.8</v>
      </c>
      <c r="C338">
        <v>0.90300000000000002</v>
      </c>
      <c r="D338">
        <v>7.82</v>
      </c>
      <c r="E338">
        <v>30.890999999999998</v>
      </c>
      <c r="F338">
        <v>108.09</v>
      </c>
    </row>
    <row r="339" spans="1:6" x14ac:dyDescent="0.3">
      <c r="A339" s="9">
        <v>43714</v>
      </c>
      <c r="B339">
        <v>1196.95</v>
      </c>
      <c r="C339">
        <v>0.90669999999999995</v>
      </c>
      <c r="D339">
        <v>7.8394000000000004</v>
      </c>
      <c r="E339">
        <v>31.238</v>
      </c>
      <c r="F339">
        <v>106.92</v>
      </c>
    </row>
    <row r="340" spans="1:6" x14ac:dyDescent="0.3">
      <c r="A340" s="9">
        <v>43707</v>
      </c>
      <c r="B340">
        <v>1211.3</v>
      </c>
      <c r="C340">
        <v>0.91020000000000001</v>
      </c>
      <c r="D340">
        <v>7.8419999999999996</v>
      </c>
      <c r="E340">
        <v>31.329000000000001</v>
      </c>
      <c r="F340">
        <v>106.28</v>
      </c>
    </row>
    <row r="341" spans="1:6" x14ac:dyDescent="0.3">
      <c r="A341" s="9">
        <v>43700</v>
      </c>
      <c r="B341">
        <v>1210.6500000000001</v>
      </c>
      <c r="C341">
        <v>0.89749999999999996</v>
      </c>
      <c r="D341">
        <v>7.8426</v>
      </c>
      <c r="E341">
        <v>31.37</v>
      </c>
      <c r="F341">
        <v>105.39</v>
      </c>
    </row>
    <row r="342" spans="1:6" x14ac:dyDescent="0.3">
      <c r="A342" s="9">
        <v>43693</v>
      </c>
      <c r="B342">
        <v>1211.5</v>
      </c>
      <c r="C342">
        <v>0.90159999999999996</v>
      </c>
      <c r="D342">
        <v>7.8432000000000004</v>
      </c>
      <c r="E342">
        <v>31.36</v>
      </c>
      <c r="F342">
        <v>106.38</v>
      </c>
    </row>
    <row r="343" spans="1:6" x14ac:dyDescent="0.3">
      <c r="A343" s="9">
        <v>43686</v>
      </c>
      <c r="B343">
        <v>1210</v>
      </c>
      <c r="C343">
        <v>0.89290000000000003</v>
      </c>
      <c r="D343">
        <v>7.8425000000000002</v>
      </c>
      <c r="E343">
        <v>31.308</v>
      </c>
      <c r="F343">
        <v>105.69</v>
      </c>
    </row>
    <row r="344" spans="1:6" x14ac:dyDescent="0.3">
      <c r="A344" s="9">
        <v>43679</v>
      </c>
      <c r="B344">
        <v>1197.9000000000001</v>
      </c>
      <c r="C344">
        <v>0.9002</v>
      </c>
      <c r="D344">
        <v>7.8266999999999998</v>
      </c>
      <c r="E344">
        <v>31.382000000000001</v>
      </c>
      <c r="F344">
        <v>106.59</v>
      </c>
    </row>
    <row r="345" spans="1:6" x14ac:dyDescent="0.3">
      <c r="A345" s="9">
        <v>43672</v>
      </c>
      <c r="B345">
        <v>1185</v>
      </c>
      <c r="C345">
        <v>0.89870000000000005</v>
      </c>
      <c r="D345">
        <v>7.8193000000000001</v>
      </c>
      <c r="E345">
        <v>31.082999999999998</v>
      </c>
      <c r="F345">
        <v>108.68</v>
      </c>
    </row>
    <row r="346" spans="1:6" x14ac:dyDescent="0.3">
      <c r="A346" s="9">
        <v>43665</v>
      </c>
      <c r="B346">
        <v>1174.45</v>
      </c>
      <c r="C346">
        <v>0.89119999999999999</v>
      </c>
      <c r="D346">
        <v>7.8079999999999998</v>
      </c>
      <c r="E346">
        <v>31.033999999999999</v>
      </c>
      <c r="F346">
        <v>107.71</v>
      </c>
    </row>
    <row r="347" spans="1:6" x14ac:dyDescent="0.3">
      <c r="A347" s="9">
        <v>43658</v>
      </c>
      <c r="B347">
        <v>1178.95</v>
      </c>
      <c r="C347">
        <v>0.88729999999999998</v>
      </c>
      <c r="D347">
        <v>7.8249000000000004</v>
      </c>
      <c r="E347">
        <v>31.076000000000001</v>
      </c>
      <c r="F347">
        <v>107.91</v>
      </c>
    </row>
    <row r="348" spans="1:6" x14ac:dyDescent="0.3">
      <c r="A348" s="9">
        <v>43651</v>
      </c>
      <c r="B348">
        <v>1170.4000000000001</v>
      </c>
      <c r="C348">
        <v>0.89080000000000004</v>
      </c>
      <c r="D348">
        <v>7.7949000000000002</v>
      </c>
      <c r="E348">
        <v>31.106999999999999</v>
      </c>
      <c r="F348">
        <v>108.47</v>
      </c>
    </row>
    <row r="349" spans="1:6" x14ac:dyDescent="0.3">
      <c r="A349" s="9">
        <v>43644</v>
      </c>
      <c r="B349">
        <v>1154.7</v>
      </c>
      <c r="C349">
        <v>0.87929999999999997</v>
      </c>
      <c r="D349">
        <v>7.8106999999999998</v>
      </c>
      <c r="E349">
        <v>30.989000000000001</v>
      </c>
      <c r="F349">
        <v>107.85</v>
      </c>
    </row>
    <row r="350" spans="1:6" x14ac:dyDescent="0.3">
      <c r="A350" s="9">
        <v>43637</v>
      </c>
      <c r="B350">
        <v>1163.9000000000001</v>
      </c>
      <c r="C350">
        <v>0.87960000000000005</v>
      </c>
      <c r="D350">
        <v>7.8136000000000001</v>
      </c>
      <c r="E350">
        <v>31.047000000000001</v>
      </c>
      <c r="F350">
        <v>107.32</v>
      </c>
    </row>
    <row r="351" spans="1:6" x14ac:dyDescent="0.3">
      <c r="A351" s="9">
        <v>43630</v>
      </c>
      <c r="B351">
        <v>1185.1500000000001</v>
      </c>
      <c r="C351">
        <v>0.89219999999999999</v>
      </c>
      <c r="D351">
        <v>7.8278999999999996</v>
      </c>
      <c r="E351">
        <v>31.507999999999999</v>
      </c>
      <c r="F351">
        <v>108.56</v>
      </c>
    </row>
    <row r="352" spans="1:6" x14ac:dyDescent="0.3">
      <c r="A352" s="9">
        <v>43623</v>
      </c>
      <c r="B352">
        <v>1181.4000000000001</v>
      </c>
      <c r="C352">
        <v>0.88239999999999996</v>
      </c>
      <c r="D352">
        <v>7.8423999999999996</v>
      </c>
      <c r="E352">
        <v>31.42</v>
      </c>
      <c r="F352">
        <v>108.19</v>
      </c>
    </row>
    <row r="353" spans="1:6" x14ac:dyDescent="0.3">
      <c r="A353" s="9">
        <v>43616</v>
      </c>
      <c r="B353">
        <v>1190.9000000000001</v>
      </c>
      <c r="C353">
        <v>0.89539999999999997</v>
      </c>
      <c r="D353">
        <v>7.8384</v>
      </c>
      <c r="E353">
        <v>31.600999999999999</v>
      </c>
      <c r="F353">
        <v>108.29</v>
      </c>
    </row>
    <row r="354" spans="1:6" x14ac:dyDescent="0.3">
      <c r="A354" s="9">
        <v>43609</v>
      </c>
      <c r="B354">
        <v>1188.3</v>
      </c>
      <c r="C354">
        <v>0.89239999999999997</v>
      </c>
      <c r="D354">
        <v>7.8495999999999997</v>
      </c>
      <c r="E354">
        <v>31.51</v>
      </c>
      <c r="F354">
        <v>109.31</v>
      </c>
    </row>
    <row r="355" spans="1:6" x14ac:dyDescent="0.3">
      <c r="A355" s="9">
        <v>43602</v>
      </c>
      <c r="B355">
        <v>1195.5999999999999</v>
      </c>
      <c r="C355">
        <v>0.8962</v>
      </c>
      <c r="D355">
        <v>7.85</v>
      </c>
      <c r="E355">
        <v>31.314</v>
      </c>
      <c r="F355">
        <v>110.08</v>
      </c>
    </row>
    <row r="356" spans="1:6" x14ac:dyDescent="0.3">
      <c r="A356" s="9">
        <v>43595</v>
      </c>
      <c r="B356">
        <v>1177.3</v>
      </c>
      <c r="C356">
        <v>0.89019999999999999</v>
      </c>
      <c r="D356">
        <v>7.8487999999999998</v>
      </c>
      <c r="E356">
        <v>30.954000000000001</v>
      </c>
      <c r="F356">
        <v>109.95</v>
      </c>
    </row>
    <row r="357" spans="1:6" x14ac:dyDescent="0.3">
      <c r="A357" s="9">
        <v>43588</v>
      </c>
      <c r="B357">
        <v>1169.8</v>
      </c>
      <c r="C357">
        <v>0.89280000000000004</v>
      </c>
      <c r="D357">
        <v>7.8452000000000002</v>
      </c>
      <c r="E357">
        <v>30.901</v>
      </c>
      <c r="F357">
        <v>111.1</v>
      </c>
    </row>
    <row r="358" spans="1:6" x14ac:dyDescent="0.3">
      <c r="A358" s="9">
        <v>43581</v>
      </c>
      <c r="B358">
        <v>1160.9000000000001</v>
      </c>
      <c r="C358">
        <v>0.89680000000000004</v>
      </c>
      <c r="D358">
        <v>7.8445</v>
      </c>
      <c r="E358">
        <v>30.905999999999999</v>
      </c>
      <c r="F358">
        <v>111.58</v>
      </c>
    </row>
    <row r="359" spans="1:6" x14ac:dyDescent="0.3">
      <c r="A359" s="9">
        <v>43574</v>
      </c>
      <c r="B359">
        <v>1136.8</v>
      </c>
      <c r="C359">
        <v>0.88929999999999998</v>
      </c>
      <c r="D359">
        <v>7.8441999999999998</v>
      </c>
      <c r="E359">
        <v>30.832000000000001</v>
      </c>
      <c r="F359">
        <v>111.92</v>
      </c>
    </row>
    <row r="360" spans="1:6" x14ac:dyDescent="0.3">
      <c r="A360" s="9">
        <v>43567</v>
      </c>
      <c r="B360">
        <v>1139.45</v>
      </c>
      <c r="C360">
        <v>0.88500000000000001</v>
      </c>
      <c r="D360">
        <v>7.8425000000000002</v>
      </c>
      <c r="E360">
        <v>30.876999999999999</v>
      </c>
      <c r="F360">
        <v>112.02</v>
      </c>
    </row>
    <row r="361" spans="1:6" x14ac:dyDescent="0.3">
      <c r="A361" s="9">
        <v>43560</v>
      </c>
      <c r="B361">
        <v>1136.3499999999999</v>
      </c>
      <c r="C361">
        <v>0.89159999999999995</v>
      </c>
      <c r="D361">
        <v>7.8495999999999997</v>
      </c>
      <c r="E361">
        <v>30.806999999999999</v>
      </c>
      <c r="F361">
        <v>111.73</v>
      </c>
    </row>
    <row r="362" spans="1:6" x14ac:dyDescent="0.3">
      <c r="A362" s="9">
        <v>43553</v>
      </c>
      <c r="B362">
        <v>1135.2</v>
      </c>
      <c r="C362">
        <v>0.89139999999999997</v>
      </c>
      <c r="D362">
        <v>7.85</v>
      </c>
      <c r="E362">
        <v>30.826000000000001</v>
      </c>
      <c r="F362">
        <v>110.86</v>
      </c>
    </row>
    <row r="363" spans="1:6" x14ac:dyDescent="0.3">
      <c r="A363" s="9">
        <v>43546</v>
      </c>
      <c r="B363">
        <v>1130.2</v>
      </c>
      <c r="C363">
        <v>0.88490000000000002</v>
      </c>
      <c r="D363">
        <v>7.8474000000000004</v>
      </c>
      <c r="E363">
        <v>30.800999999999998</v>
      </c>
      <c r="F363">
        <v>109.92</v>
      </c>
    </row>
    <row r="364" spans="1:6" x14ac:dyDescent="0.3">
      <c r="A364" s="9">
        <v>43539</v>
      </c>
      <c r="B364">
        <v>1137.0999999999999</v>
      </c>
      <c r="C364">
        <v>0.88290000000000002</v>
      </c>
      <c r="D364">
        <v>7.8498999999999999</v>
      </c>
      <c r="E364">
        <v>30.876000000000001</v>
      </c>
      <c r="F364">
        <v>111.48</v>
      </c>
    </row>
    <row r="365" spans="1:6" x14ac:dyDescent="0.3">
      <c r="A365" s="9">
        <v>43532</v>
      </c>
      <c r="B365">
        <v>1136.0999999999999</v>
      </c>
      <c r="C365">
        <v>0.8901</v>
      </c>
      <c r="D365">
        <v>7.85</v>
      </c>
      <c r="E365">
        <v>30.901</v>
      </c>
      <c r="F365">
        <v>111.17</v>
      </c>
    </row>
    <row r="366" spans="1:6" x14ac:dyDescent="0.3">
      <c r="A366" s="9">
        <v>43525</v>
      </c>
      <c r="B366">
        <v>1124.4000000000001</v>
      </c>
      <c r="C366">
        <v>0.87980000000000003</v>
      </c>
      <c r="D366">
        <v>7.8490000000000002</v>
      </c>
      <c r="E366">
        <v>30.821999999999999</v>
      </c>
      <c r="F366">
        <v>111.89</v>
      </c>
    </row>
    <row r="367" spans="1:6" x14ac:dyDescent="0.3">
      <c r="A367" s="9">
        <v>43518</v>
      </c>
      <c r="B367">
        <v>1125.3</v>
      </c>
      <c r="C367">
        <v>0.88219999999999998</v>
      </c>
      <c r="D367">
        <v>7.8483999999999998</v>
      </c>
      <c r="E367">
        <v>30.808</v>
      </c>
      <c r="F367">
        <v>110.69</v>
      </c>
    </row>
    <row r="368" spans="1:6" x14ac:dyDescent="0.3">
      <c r="A368" s="9">
        <v>43511</v>
      </c>
      <c r="B368">
        <v>1128.8</v>
      </c>
      <c r="C368">
        <v>0.88539999999999996</v>
      </c>
      <c r="D368">
        <v>7.8487</v>
      </c>
      <c r="E368">
        <v>30.849</v>
      </c>
      <c r="F368">
        <v>110.47</v>
      </c>
    </row>
    <row r="369" spans="1:6" x14ac:dyDescent="0.3">
      <c r="A369" s="9">
        <v>43504</v>
      </c>
      <c r="B369">
        <v>1123.8499999999999</v>
      </c>
      <c r="C369">
        <v>0.88319999999999999</v>
      </c>
      <c r="D369">
        <v>7.8474000000000004</v>
      </c>
      <c r="E369">
        <v>30.815000000000001</v>
      </c>
      <c r="F369">
        <v>109.73</v>
      </c>
    </row>
    <row r="370" spans="1:6" x14ac:dyDescent="0.3">
      <c r="A370" s="9">
        <v>43497</v>
      </c>
      <c r="B370">
        <v>1119.05</v>
      </c>
      <c r="C370">
        <v>0.87290000000000001</v>
      </c>
      <c r="D370">
        <v>7.8468999999999998</v>
      </c>
      <c r="E370">
        <v>30.736000000000001</v>
      </c>
      <c r="F370">
        <v>109.5</v>
      </c>
    </row>
    <row r="371" spans="1:6" x14ac:dyDescent="0.3">
      <c r="A371" s="9">
        <v>43490</v>
      </c>
      <c r="B371">
        <v>1121.25</v>
      </c>
      <c r="C371">
        <v>0.87660000000000005</v>
      </c>
      <c r="D371">
        <v>7.8459000000000003</v>
      </c>
      <c r="E371">
        <v>30.817</v>
      </c>
      <c r="F371">
        <v>109.55</v>
      </c>
    </row>
    <row r="372" spans="1:6" x14ac:dyDescent="0.3">
      <c r="A372" s="9">
        <v>43483</v>
      </c>
      <c r="B372">
        <v>1121.95</v>
      </c>
      <c r="C372">
        <v>0.88</v>
      </c>
      <c r="D372">
        <v>7.8433999999999999</v>
      </c>
      <c r="E372">
        <v>30.84</v>
      </c>
      <c r="F372">
        <v>109.78</v>
      </c>
    </row>
    <row r="373" spans="1:6" x14ac:dyDescent="0.3">
      <c r="A373" s="9">
        <v>43476</v>
      </c>
      <c r="B373">
        <v>1116.4000000000001</v>
      </c>
      <c r="C373">
        <v>0.87190000000000001</v>
      </c>
      <c r="D373">
        <v>7.8394000000000004</v>
      </c>
      <c r="E373">
        <v>30.782</v>
      </c>
      <c r="F373">
        <v>108.48</v>
      </c>
    </row>
    <row r="374" spans="1:6" x14ac:dyDescent="0.3">
      <c r="A374" s="9">
        <v>43469</v>
      </c>
      <c r="B374">
        <v>1124.45</v>
      </c>
      <c r="C374">
        <v>0.87749999999999995</v>
      </c>
      <c r="D374">
        <v>7.8350999999999997</v>
      </c>
      <c r="E374">
        <v>30.853999999999999</v>
      </c>
      <c r="F374">
        <v>108.51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4"/>
  <sheetViews>
    <sheetView tabSelected="1" topLeftCell="A64" workbookViewId="0">
      <selection activeCell="B74" sqref="B74"/>
    </sheetView>
  </sheetViews>
  <sheetFormatPr defaultRowHeight="16.5" x14ac:dyDescent="0.3"/>
  <cols>
    <col min="1" max="1" width="10.875" style="6" bestFit="1" customWidth="1"/>
  </cols>
  <sheetData>
    <row r="1" spans="1:7" x14ac:dyDescent="0.3">
      <c r="A1" t="s">
        <v>0</v>
      </c>
      <c r="B1" t="s">
        <v>41</v>
      </c>
      <c r="C1" t="s">
        <v>42</v>
      </c>
      <c r="D1" s="7" t="s">
        <v>43</v>
      </c>
      <c r="E1" s="7" t="s">
        <v>44</v>
      </c>
      <c r="F1" s="7" t="s">
        <v>45</v>
      </c>
      <c r="G1" s="7" t="s">
        <v>46</v>
      </c>
    </row>
    <row r="2" spans="1:7" x14ac:dyDescent="0.2">
      <c r="A2" s="1" t="s">
        <v>47</v>
      </c>
      <c r="B2" s="8">
        <v>1088.1400000000001</v>
      </c>
      <c r="C2" s="1">
        <v>2043</v>
      </c>
      <c r="D2" s="1">
        <v>1787</v>
      </c>
      <c r="E2" s="1">
        <v>805</v>
      </c>
      <c r="F2" s="1">
        <v>71.760000000000005</v>
      </c>
      <c r="G2" s="1">
        <v>97.796000000000006</v>
      </c>
    </row>
    <row r="3" spans="1:7" x14ac:dyDescent="0.2">
      <c r="A3" s="1" t="s">
        <v>48</v>
      </c>
      <c r="B3" s="1">
        <v>1088.1400000000001</v>
      </c>
      <c r="C3" s="1">
        <v>2083</v>
      </c>
      <c r="D3" s="1">
        <v>1719</v>
      </c>
      <c r="E3" s="1">
        <v>846</v>
      </c>
      <c r="F3" s="1">
        <v>67.75</v>
      </c>
      <c r="G3" s="1">
        <v>96.915000000000006</v>
      </c>
    </row>
    <row r="4" spans="1:7" x14ac:dyDescent="0.2">
      <c r="A4" s="1" t="s">
        <v>49</v>
      </c>
      <c r="B4" s="1">
        <v>1122.1500000000001</v>
      </c>
      <c r="C4" s="1">
        <v>1923</v>
      </c>
      <c r="D4" s="1">
        <v>1691</v>
      </c>
      <c r="E4" s="1">
        <v>917</v>
      </c>
      <c r="F4" s="1">
        <v>68.05</v>
      </c>
      <c r="G4" s="1">
        <v>97.632999999999996</v>
      </c>
    </row>
    <row r="5" spans="1:7" x14ac:dyDescent="0.2">
      <c r="A5" s="1" t="s">
        <v>50</v>
      </c>
      <c r="B5" s="1">
        <v>1175.5899999999999</v>
      </c>
      <c r="C5" s="1">
        <v>2148</v>
      </c>
      <c r="D5" s="1">
        <v>1702</v>
      </c>
      <c r="E5" s="1">
        <v>883</v>
      </c>
      <c r="F5" s="1">
        <v>70.69</v>
      </c>
      <c r="G5" s="1">
        <v>96.991</v>
      </c>
    </row>
    <row r="6" spans="1:7" x14ac:dyDescent="0.2">
      <c r="A6" s="1" t="s">
        <v>51</v>
      </c>
      <c r="B6" s="1">
        <v>1208.75</v>
      </c>
      <c r="C6" s="1">
        <v>1762</v>
      </c>
      <c r="D6" s="1">
        <v>1626</v>
      </c>
      <c r="E6" s="1">
        <v>857</v>
      </c>
      <c r="F6" s="1">
        <v>65.88</v>
      </c>
      <c r="G6" s="1">
        <v>97.599000000000004</v>
      </c>
    </row>
    <row r="7" spans="1:7" x14ac:dyDescent="0.2">
      <c r="A7" s="1" t="s">
        <v>52</v>
      </c>
      <c r="B7" s="1">
        <v>1209.8499999999999</v>
      </c>
      <c r="C7" s="1">
        <v>1567</v>
      </c>
      <c r="D7" s="1">
        <v>1562</v>
      </c>
      <c r="E7" s="1">
        <v>830</v>
      </c>
      <c r="F7" s="1">
        <v>64.13</v>
      </c>
      <c r="G7" s="1">
        <v>99.393000000000001</v>
      </c>
    </row>
    <row r="8" spans="1:7" x14ac:dyDescent="0.2">
      <c r="A8" s="1" t="s">
        <v>53</v>
      </c>
      <c r="B8" s="1">
        <v>1194.8900000000001</v>
      </c>
      <c r="C8" s="1">
        <v>1688</v>
      </c>
      <c r="D8" s="1">
        <v>1259</v>
      </c>
      <c r="E8" s="1">
        <v>713</v>
      </c>
      <c r="F8" s="1">
        <v>63.34</v>
      </c>
      <c r="G8" s="1">
        <v>99.132999999999996</v>
      </c>
    </row>
    <row r="9" spans="1:7" x14ac:dyDescent="0.2">
      <c r="A9" s="1" t="s">
        <v>54</v>
      </c>
      <c r="B9" s="8">
        <v>1146.67</v>
      </c>
      <c r="C9" s="1">
        <v>1882</v>
      </c>
      <c r="D9" s="1">
        <v>1207</v>
      </c>
      <c r="E9" s="1">
        <v>752</v>
      </c>
      <c r="F9" s="1">
        <v>60.75</v>
      </c>
      <c r="G9" s="1">
        <v>98.424000000000007</v>
      </c>
    </row>
    <row r="10" spans="1:7" x14ac:dyDescent="0.2">
      <c r="A10" s="1" t="s">
        <v>55</v>
      </c>
      <c r="B10" s="1">
        <v>1146.67</v>
      </c>
      <c r="C10" s="1">
        <v>1877</v>
      </c>
      <c r="D10" s="1">
        <v>1319</v>
      </c>
      <c r="E10" s="1">
        <v>757</v>
      </c>
      <c r="F10" s="1">
        <v>60.64</v>
      </c>
      <c r="G10" s="1">
        <v>98.022000000000006</v>
      </c>
    </row>
    <row r="11" spans="1:7" x14ac:dyDescent="0.2">
      <c r="A11" s="1" t="s">
        <v>56</v>
      </c>
      <c r="B11" s="1">
        <v>1124.73</v>
      </c>
      <c r="C11" s="1">
        <v>2023</v>
      </c>
      <c r="D11" s="1">
        <v>1401</v>
      </c>
      <c r="E11" s="1">
        <v>751</v>
      </c>
      <c r="F11" s="1">
        <v>60.47</v>
      </c>
      <c r="G11" s="1">
        <v>98.599000000000004</v>
      </c>
    </row>
    <row r="12" spans="1:7" x14ac:dyDescent="0.2">
      <c r="A12" s="1" t="s">
        <v>57</v>
      </c>
      <c r="B12" s="1">
        <v>1118.07</v>
      </c>
      <c r="C12" s="1">
        <v>2205</v>
      </c>
      <c r="D12" s="1">
        <v>1396</v>
      </c>
      <c r="E12" s="1">
        <v>741</v>
      </c>
      <c r="F12" s="1">
        <v>61.12</v>
      </c>
      <c r="G12" s="1">
        <v>98.399000000000001</v>
      </c>
    </row>
    <row r="13" spans="1:7" x14ac:dyDescent="0.2">
      <c r="A13" s="1" t="s">
        <v>58</v>
      </c>
      <c r="B13" s="1">
        <v>1114.8900000000001</v>
      </c>
      <c r="C13" s="1">
        <v>2727</v>
      </c>
      <c r="D13" s="1">
        <v>1384</v>
      </c>
      <c r="E13" s="1">
        <v>769</v>
      </c>
      <c r="F13" s="1">
        <v>63.75</v>
      </c>
      <c r="G13" s="1">
        <v>98.992000000000004</v>
      </c>
    </row>
    <row r="14" spans="1:7" x14ac:dyDescent="0.2">
      <c r="A14" s="1" t="s">
        <v>59</v>
      </c>
      <c r="B14" s="1">
        <v>1121.8</v>
      </c>
      <c r="C14" s="1">
        <v>2560</v>
      </c>
      <c r="D14" s="1">
        <v>1452</v>
      </c>
      <c r="E14" s="1">
        <v>871</v>
      </c>
      <c r="F14" s="1">
        <v>63.2</v>
      </c>
      <c r="G14" s="1">
        <v>99.459000000000003</v>
      </c>
    </row>
    <row r="15" spans="1:7" x14ac:dyDescent="0.2">
      <c r="A15" s="1" t="s">
        <v>60</v>
      </c>
      <c r="B15" s="1">
        <v>1122.79</v>
      </c>
      <c r="C15" s="1">
        <v>2275</v>
      </c>
      <c r="D15" s="1">
        <v>1457</v>
      </c>
      <c r="E15" s="1">
        <v>811</v>
      </c>
      <c r="F15" s="1">
        <v>62.56</v>
      </c>
      <c r="G15" s="1">
        <v>100.18</v>
      </c>
    </row>
    <row r="16" spans="1:7" x14ac:dyDescent="0.2">
      <c r="A16" s="1" t="s">
        <v>61</v>
      </c>
      <c r="B16" s="1">
        <v>1094.03</v>
      </c>
      <c r="C16" s="1">
        <v>2125</v>
      </c>
      <c r="D16" s="1">
        <v>1453</v>
      </c>
      <c r="E16" s="1">
        <v>702</v>
      </c>
      <c r="F16" s="1">
        <v>64.39</v>
      </c>
      <c r="G16" s="1">
        <v>99.299000000000007</v>
      </c>
    </row>
    <row r="17" spans="1:7" x14ac:dyDescent="0.2">
      <c r="A17" s="1" t="s">
        <v>62</v>
      </c>
      <c r="B17" s="1">
        <v>1058.17</v>
      </c>
      <c r="C17" s="1">
        <v>2104</v>
      </c>
      <c r="D17" s="1">
        <v>1401</v>
      </c>
      <c r="E17" s="1">
        <v>650</v>
      </c>
      <c r="F17" s="1">
        <v>63.63</v>
      </c>
      <c r="G17" s="1">
        <v>99.602999999999994</v>
      </c>
    </row>
    <row r="18" spans="1:7" x14ac:dyDescent="0.2">
      <c r="A18" s="1" t="s">
        <v>63</v>
      </c>
      <c r="B18" s="1">
        <v>1021.39</v>
      </c>
      <c r="C18" s="1">
        <v>1966</v>
      </c>
      <c r="D18" s="1">
        <v>1436</v>
      </c>
      <c r="E18" s="1">
        <v>627</v>
      </c>
      <c r="F18" s="1">
        <v>65.069999999999993</v>
      </c>
      <c r="G18" s="1">
        <v>99.804000000000002</v>
      </c>
    </row>
    <row r="19" spans="1:7" x14ac:dyDescent="0.2">
      <c r="A19" s="1" t="s">
        <v>64</v>
      </c>
      <c r="B19" s="1">
        <v>992.74</v>
      </c>
      <c r="C19" s="1">
        <v>1991</v>
      </c>
      <c r="D19" s="1">
        <v>1256</v>
      </c>
      <c r="E19" s="1">
        <v>635</v>
      </c>
      <c r="F19" s="1">
        <v>65.94</v>
      </c>
      <c r="G19" s="1">
        <v>98.951999999999998</v>
      </c>
    </row>
    <row r="20" spans="1:7" x14ac:dyDescent="0.2">
      <c r="A20" s="1" t="s">
        <v>65</v>
      </c>
      <c r="B20" s="1">
        <v>973.11</v>
      </c>
      <c r="C20" s="1">
        <v>2069</v>
      </c>
      <c r="D20" s="1">
        <v>1207</v>
      </c>
      <c r="E20" s="1">
        <v>551</v>
      </c>
      <c r="F20" s="1">
        <v>61.29</v>
      </c>
      <c r="G20" s="1">
        <v>98.433000000000007</v>
      </c>
    </row>
    <row r="21" spans="1:7" x14ac:dyDescent="0.2">
      <c r="A21" s="1" t="s">
        <v>66</v>
      </c>
      <c r="B21" s="1">
        <v>1014.78</v>
      </c>
      <c r="C21" s="1">
        <v>1936</v>
      </c>
      <c r="D21" s="1">
        <v>1119</v>
      </c>
      <c r="E21" s="1">
        <v>560</v>
      </c>
      <c r="F21" s="1">
        <v>62.73</v>
      </c>
      <c r="G21" s="1">
        <v>98.977999999999994</v>
      </c>
    </row>
    <row r="22" spans="1:7" x14ac:dyDescent="0.2">
      <c r="A22" s="1" t="s">
        <v>67</v>
      </c>
      <c r="B22" s="8">
        <v>1087.4100000000001</v>
      </c>
      <c r="C22" s="1">
        <v>1901</v>
      </c>
      <c r="D22" s="1">
        <v>1087</v>
      </c>
      <c r="E22" s="1">
        <v>579</v>
      </c>
      <c r="F22" s="1">
        <v>64.53</v>
      </c>
      <c r="G22" s="1">
        <v>97.722999999999999</v>
      </c>
    </row>
    <row r="23" spans="1:7" x14ac:dyDescent="0.2">
      <c r="A23" s="1" t="s">
        <v>68</v>
      </c>
      <c r="B23" s="1">
        <v>1087.4100000000001</v>
      </c>
      <c r="C23" s="1">
        <v>2259</v>
      </c>
      <c r="D23" s="1">
        <v>1148</v>
      </c>
      <c r="E23" s="1">
        <v>628</v>
      </c>
      <c r="F23" s="1">
        <v>70.13</v>
      </c>
      <c r="G23" s="1">
        <v>98.152000000000001</v>
      </c>
    </row>
    <row r="24" spans="1:7" x14ac:dyDescent="0.2">
      <c r="A24" s="1" t="s">
        <v>69</v>
      </c>
      <c r="B24" s="1">
        <v>1120.23</v>
      </c>
      <c r="C24" s="1">
        <v>2203</v>
      </c>
      <c r="D24" s="1">
        <v>1143</v>
      </c>
      <c r="E24" s="1">
        <v>618</v>
      </c>
      <c r="F24" s="1">
        <v>66.680000000000007</v>
      </c>
      <c r="G24" s="1">
        <v>97.644000000000005</v>
      </c>
    </row>
    <row r="25" spans="1:7" x14ac:dyDescent="0.2">
      <c r="A25" s="1" t="s">
        <v>70</v>
      </c>
      <c r="B25" s="1">
        <v>1125.3</v>
      </c>
      <c r="C25" s="1">
        <v>2126</v>
      </c>
      <c r="D25" s="1">
        <v>1114</v>
      </c>
      <c r="E25" s="1">
        <v>614</v>
      </c>
      <c r="F25" s="1">
        <v>66.989999999999995</v>
      </c>
      <c r="G25" s="1">
        <v>97.55</v>
      </c>
    </row>
    <row r="26" spans="1:7" x14ac:dyDescent="0.2">
      <c r="A26" s="1" t="s">
        <v>71</v>
      </c>
      <c r="B26" s="1">
        <v>1149.1400000000001</v>
      </c>
      <c r="C26" s="1">
        <v>1979</v>
      </c>
      <c r="D26" s="1">
        <v>1066</v>
      </c>
      <c r="E26" s="1">
        <v>638</v>
      </c>
      <c r="F26" s="1">
        <v>65.5</v>
      </c>
      <c r="G26" s="1">
        <v>97.768000000000001</v>
      </c>
    </row>
    <row r="27" spans="1:7" x14ac:dyDescent="0.2">
      <c r="A27" s="1" t="s">
        <v>72</v>
      </c>
      <c r="B27" s="1">
        <v>1156.32</v>
      </c>
      <c r="C27" s="1">
        <v>2025</v>
      </c>
      <c r="D27" s="1">
        <v>1045</v>
      </c>
      <c r="E27" s="1">
        <v>622</v>
      </c>
      <c r="F27" s="1">
        <v>68.12</v>
      </c>
      <c r="G27" s="1">
        <v>97.771000000000001</v>
      </c>
    </row>
    <row r="28" spans="1:7" x14ac:dyDescent="0.2">
      <c r="A28" s="1" t="s">
        <v>73</v>
      </c>
      <c r="B28" s="1">
        <v>1174.8699999999999</v>
      </c>
      <c r="C28" s="1">
        <v>1944</v>
      </c>
      <c r="D28" s="1">
        <v>1042</v>
      </c>
      <c r="E28" s="1">
        <v>618</v>
      </c>
      <c r="F28" s="1">
        <v>67.73</v>
      </c>
      <c r="G28" s="1">
        <v>97.715999999999994</v>
      </c>
    </row>
    <row r="29" spans="1:7" x14ac:dyDescent="0.2">
      <c r="A29" s="1" t="s">
        <v>74</v>
      </c>
      <c r="B29" s="1">
        <v>1193.3399999999999</v>
      </c>
      <c r="C29" s="1">
        <v>2044</v>
      </c>
      <c r="D29" s="1">
        <v>1016</v>
      </c>
      <c r="E29" s="1">
        <v>605</v>
      </c>
      <c r="F29" s="1">
        <v>65.849999999999994</v>
      </c>
      <c r="G29" s="1">
        <v>97.852000000000004</v>
      </c>
    </row>
    <row r="30" spans="1:7" x14ac:dyDescent="0.2">
      <c r="A30" s="1" t="s">
        <v>75</v>
      </c>
      <c r="B30" s="1">
        <v>1200.73</v>
      </c>
      <c r="C30" s="1">
        <v>2051</v>
      </c>
      <c r="D30" s="1">
        <v>1011</v>
      </c>
      <c r="E30" s="1">
        <v>671</v>
      </c>
      <c r="F30" s="1">
        <v>66.59</v>
      </c>
      <c r="G30" s="1">
        <v>98.18</v>
      </c>
    </row>
    <row r="31" spans="1:7" x14ac:dyDescent="0.2">
      <c r="A31" s="1" t="s">
        <v>76</v>
      </c>
      <c r="B31" s="1">
        <v>1232.29</v>
      </c>
      <c r="C31" s="1">
        <v>2018</v>
      </c>
      <c r="D31" s="1">
        <v>956</v>
      </c>
      <c r="E31" s="1">
        <v>652</v>
      </c>
      <c r="F31" s="1">
        <v>69.67</v>
      </c>
      <c r="G31" s="1">
        <v>99.141000000000005</v>
      </c>
    </row>
    <row r="32" spans="1:7" x14ac:dyDescent="0.2">
      <c r="A32" s="1" t="s">
        <v>77</v>
      </c>
      <c r="B32" s="1">
        <v>1261.3499999999999</v>
      </c>
      <c r="C32" s="1">
        <v>2257</v>
      </c>
      <c r="D32" s="1">
        <v>882</v>
      </c>
      <c r="E32" s="1">
        <v>644</v>
      </c>
      <c r="F32" s="1">
        <v>68.44</v>
      </c>
      <c r="G32" s="1">
        <v>97.644999999999996</v>
      </c>
    </row>
    <row r="33" spans="1:7" x14ac:dyDescent="0.2">
      <c r="A33" s="1" t="s">
        <v>78</v>
      </c>
      <c r="B33" s="1">
        <v>1303.54</v>
      </c>
      <c r="C33" s="1">
        <v>2052</v>
      </c>
      <c r="D33" s="1">
        <v>925</v>
      </c>
      <c r="E33" s="1">
        <v>619</v>
      </c>
      <c r="F33" s="1">
        <v>69.28</v>
      </c>
      <c r="G33" s="1">
        <v>98.481999999999999</v>
      </c>
    </row>
    <row r="34" spans="1:7" x14ac:dyDescent="0.2">
      <c r="A34" s="1" t="s">
        <v>79</v>
      </c>
      <c r="B34" s="1">
        <v>1313.7</v>
      </c>
      <c r="C34" s="1">
        <v>1663</v>
      </c>
      <c r="D34" s="1">
        <v>929</v>
      </c>
      <c r="E34" s="1">
        <v>546</v>
      </c>
      <c r="F34" s="1">
        <v>70.36</v>
      </c>
      <c r="G34" s="1">
        <v>97.852999999999994</v>
      </c>
    </row>
    <row r="35" spans="1:7" x14ac:dyDescent="0.2">
      <c r="A35" s="1" t="s">
        <v>80</v>
      </c>
      <c r="B35" s="1">
        <v>1342.99</v>
      </c>
      <c r="C35" s="1">
        <v>1436</v>
      </c>
      <c r="D35" s="1">
        <v>945</v>
      </c>
      <c r="E35" s="1">
        <v>535</v>
      </c>
      <c r="F35" s="1">
        <v>68.3</v>
      </c>
      <c r="G35" s="1">
        <v>97.18</v>
      </c>
    </row>
    <row r="36" spans="1:7" x14ac:dyDescent="0.2">
      <c r="A36" s="1" t="s">
        <v>81</v>
      </c>
      <c r="B36" s="1">
        <v>1369.34</v>
      </c>
      <c r="C36" s="1">
        <v>1521</v>
      </c>
      <c r="D36" s="1">
        <v>1002</v>
      </c>
      <c r="E36" s="1">
        <v>613</v>
      </c>
      <c r="F36" s="1">
        <v>67.77</v>
      </c>
      <c r="G36" s="1">
        <v>97.400999999999996</v>
      </c>
    </row>
    <row r="37" spans="1:7" x14ac:dyDescent="0.2">
      <c r="A37" s="1" t="s">
        <v>82</v>
      </c>
      <c r="B37" s="1">
        <v>1342.46</v>
      </c>
      <c r="C37" s="1">
        <v>1689</v>
      </c>
      <c r="D37" s="1">
        <v>1054</v>
      </c>
      <c r="E37" s="1">
        <v>708</v>
      </c>
      <c r="F37" s="1">
        <v>77.010000000000005</v>
      </c>
      <c r="G37" s="1">
        <v>98.706999999999994</v>
      </c>
    </row>
    <row r="38" spans="1:7" x14ac:dyDescent="0.2">
      <c r="A38" s="1" t="s">
        <v>83</v>
      </c>
      <c r="B38" s="1">
        <v>1243.05</v>
      </c>
      <c r="C38" s="1">
        <v>1968</v>
      </c>
      <c r="D38" s="1">
        <v>928</v>
      </c>
      <c r="E38" s="1">
        <v>604</v>
      </c>
      <c r="F38" s="1">
        <v>74.23</v>
      </c>
      <c r="G38" s="1">
        <v>98.183999999999997</v>
      </c>
    </row>
    <row r="39" spans="1:7" x14ac:dyDescent="0.2">
      <c r="A39" s="1" t="s">
        <v>84</v>
      </c>
      <c r="B39" s="1">
        <v>1154.98</v>
      </c>
      <c r="C39" s="1">
        <v>1633</v>
      </c>
      <c r="D39" s="1">
        <v>951</v>
      </c>
      <c r="E39" s="1">
        <v>626</v>
      </c>
      <c r="F39" s="1">
        <v>66.47</v>
      </c>
      <c r="G39" s="1">
        <v>99.19</v>
      </c>
    </row>
    <row r="40" spans="1:7" x14ac:dyDescent="0.2">
      <c r="A40" s="1" t="s">
        <v>85</v>
      </c>
      <c r="B40" s="1">
        <v>1117.6099999999999</v>
      </c>
      <c r="C40" s="1">
        <v>1418</v>
      </c>
      <c r="D40" s="1">
        <v>922</v>
      </c>
      <c r="E40" s="1">
        <v>698</v>
      </c>
      <c r="F40" s="1">
        <v>63.9</v>
      </c>
      <c r="G40" s="1">
        <v>99.328999999999994</v>
      </c>
    </row>
    <row r="41" spans="1:7" x14ac:dyDescent="0.2">
      <c r="A41" s="1" t="s">
        <v>86</v>
      </c>
      <c r="B41" s="1">
        <v>1107.4000000000001</v>
      </c>
      <c r="C41" s="1">
        <v>1340</v>
      </c>
      <c r="D41" s="1">
        <v>962</v>
      </c>
      <c r="E41" s="1">
        <v>724</v>
      </c>
      <c r="F41" s="1">
        <v>64.78</v>
      </c>
      <c r="G41" s="1">
        <v>99.111999999999995</v>
      </c>
    </row>
    <row r="42" spans="1:7" x14ac:dyDescent="0.2">
      <c r="A42" s="1" t="s">
        <v>87</v>
      </c>
      <c r="B42" s="1">
        <v>1104.8800000000001</v>
      </c>
      <c r="C42" s="1">
        <v>1388</v>
      </c>
      <c r="D42" s="1">
        <v>988</v>
      </c>
      <c r="E42" s="1">
        <v>629</v>
      </c>
      <c r="F42" s="1">
        <v>65.41</v>
      </c>
      <c r="G42" s="1">
        <v>101.092</v>
      </c>
    </row>
    <row r="43" spans="1:7" x14ac:dyDescent="0.2">
      <c r="A43" s="1" t="s">
        <v>88</v>
      </c>
      <c r="B43" s="1">
        <v>1106.3800000000001</v>
      </c>
      <c r="C43" s="1">
        <v>1299</v>
      </c>
      <c r="D43" s="1">
        <v>995</v>
      </c>
      <c r="E43" s="1">
        <v>573</v>
      </c>
      <c r="F43" s="1">
        <v>63.91</v>
      </c>
      <c r="G43" s="1">
        <v>100.339</v>
      </c>
    </row>
    <row r="44" spans="1:7" x14ac:dyDescent="0.2">
      <c r="A44" s="1" t="s">
        <v>89</v>
      </c>
      <c r="B44" s="1">
        <v>1121.08</v>
      </c>
      <c r="C44" s="1">
        <v>1421</v>
      </c>
      <c r="D44" s="1">
        <v>1085</v>
      </c>
      <c r="E44" s="1">
        <v>606</v>
      </c>
      <c r="F44" s="1">
        <v>61.29</v>
      </c>
      <c r="G44" s="1">
        <v>100.03</v>
      </c>
    </row>
    <row r="45" spans="1:7" x14ac:dyDescent="0.2">
      <c r="A45" s="1" t="s">
        <v>90</v>
      </c>
      <c r="B45" s="1">
        <v>1122.4000000000001</v>
      </c>
      <c r="C45" s="1">
        <v>1373</v>
      </c>
      <c r="D45" s="1">
        <v>1142</v>
      </c>
      <c r="E45" s="1">
        <v>678</v>
      </c>
      <c r="F45" s="1">
        <v>66.87</v>
      </c>
      <c r="G45" s="1">
        <v>99.471000000000004</v>
      </c>
    </row>
    <row r="46" spans="1:7" x14ac:dyDescent="0.2">
      <c r="A46" s="1" t="s">
        <v>91</v>
      </c>
      <c r="B46" s="1">
        <v>1110.94</v>
      </c>
      <c r="C46" s="1">
        <v>1261</v>
      </c>
      <c r="D46" s="1">
        <v>1152</v>
      </c>
      <c r="E46" s="1">
        <v>670</v>
      </c>
      <c r="F46" s="1">
        <v>67.959999999999994</v>
      </c>
      <c r="G46" s="1">
        <v>99.23</v>
      </c>
    </row>
    <row r="47" spans="1:7" x14ac:dyDescent="0.2">
      <c r="A47" s="1" t="s">
        <v>92</v>
      </c>
      <c r="B47" s="1">
        <v>1107.28</v>
      </c>
      <c r="C47" s="1">
        <v>1274</v>
      </c>
      <c r="D47" s="1">
        <v>1132</v>
      </c>
      <c r="E47" s="1">
        <v>679</v>
      </c>
      <c r="F47" s="1">
        <v>64.760000000000005</v>
      </c>
      <c r="G47" s="1">
        <v>100.102</v>
      </c>
    </row>
    <row r="48" spans="1:7" x14ac:dyDescent="0.2">
      <c r="A48" s="1" t="s">
        <v>93</v>
      </c>
      <c r="B48" s="1">
        <v>1102.71</v>
      </c>
      <c r="C48" s="1">
        <v>1489</v>
      </c>
      <c r="D48" s="1">
        <v>1112</v>
      </c>
      <c r="E48" s="1">
        <v>676</v>
      </c>
      <c r="F48" s="1">
        <v>65.58</v>
      </c>
      <c r="G48" s="1">
        <v>103.023</v>
      </c>
    </row>
    <row r="49" spans="1:7" x14ac:dyDescent="0.2">
      <c r="A49" s="1" t="s">
        <v>94</v>
      </c>
      <c r="B49" s="1">
        <v>1111.71</v>
      </c>
      <c r="C49" s="1">
        <v>1602</v>
      </c>
      <c r="D49" s="1">
        <v>1105</v>
      </c>
      <c r="E49" s="1">
        <v>789</v>
      </c>
      <c r="F49" s="1">
        <v>73.63</v>
      </c>
      <c r="G49" s="1">
        <v>104.044</v>
      </c>
    </row>
    <row r="50" spans="1:7" x14ac:dyDescent="0.2">
      <c r="A50" s="1" t="s">
        <v>95</v>
      </c>
      <c r="B50" s="1">
        <v>1147.76</v>
      </c>
      <c r="C50" s="1">
        <v>1643</v>
      </c>
      <c r="D50" s="1">
        <v>990</v>
      </c>
      <c r="E50" s="1">
        <v>848</v>
      </c>
      <c r="F50" s="1">
        <v>72.16</v>
      </c>
      <c r="G50" s="1">
        <v>104.08799999999999</v>
      </c>
    </row>
    <row r="51" spans="1:7" x14ac:dyDescent="0.2">
      <c r="A51" s="1" t="s">
        <v>96</v>
      </c>
      <c r="B51" s="1">
        <v>1191.69</v>
      </c>
      <c r="C51" s="1">
        <v>1669</v>
      </c>
      <c r="D51" s="1">
        <v>941</v>
      </c>
      <c r="E51" s="1">
        <v>750</v>
      </c>
      <c r="F51" s="1">
        <v>70.58</v>
      </c>
      <c r="G51" s="1">
        <v>103.718</v>
      </c>
    </row>
    <row r="52" spans="1:7" x14ac:dyDescent="0.2">
      <c r="A52" s="1" t="s">
        <v>97</v>
      </c>
      <c r="B52" s="1">
        <v>1211.1500000000001</v>
      </c>
      <c r="C52" s="1">
        <v>1400</v>
      </c>
      <c r="D52" s="1">
        <v>879</v>
      </c>
      <c r="E52" s="1">
        <v>663</v>
      </c>
      <c r="F52" s="1">
        <v>70.36</v>
      </c>
      <c r="G52" s="1">
        <v>103.83799999999999</v>
      </c>
    </row>
    <row r="53" spans="1:7" x14ac:dyDescent="0.2">
      <c r="A53" s="1" t="s">
        <v>98</v>
      </c>
      <c r="B53" s="1">
        <v>1250.6500000000001</v>
      </c>
      <c r="C53" s="1">
        <v>1229</v>
      </c>
      <c r="D53" s="1">
        <v>885</v>
      </c>
      <c r="E53" s="1">
        <v>670</v>
      </c>
      <c r="F53" s="1">
        <v>73.180000000000007</v>
      </c>
      <c r="G53" s="1">
        <v>107.614</v>
      </c>
    </row>
    <row r="54" spans="1:7" x14ac:dyDescent="0.2">
      <c r="A54" s="1" t="s">
        <v>99</v>
      </c>
      <c r="B54" s="1">
        <v>1318.71</v>
      </c>
      <c r="C54" s="1">
        <v>981</v>
      </c>
      <c r="D54" s="1">
        <v>911</v>
      </c>
      <c r="E54" s="1">
        <v>717</v>
      </c>
      <c r="F54" s="1">
        <v>74.430000000000007</v>
      </c>
      <c r="G54" s="1">
        <v>106.61199999999999</v>
      </c>
    </row>
    <row r="55" spans="1:7" x14ac:dyDescent="0.2">
      <c r="A55" s="1" t="s">
        <v>100</v>
      </c>
      <c r="B55" s="1">
        <v>1387.16</v>
      </c>
      <c r="C55" s="1">
        <v>792</v>
      </c>
      <c r="D55" s="1">
        <v>910</v>
      </c>
      <c r="E55" s="1">
        <v>666</v>
      </c>
      <c r="F55" s="1">
        <v>74.739999999999995</v>
      </c>
      <c r="G55" s="1">
        <v>106.71</v>
      </c>
    </row>
    <row r="56" spans="1:7" x14ac:dyDescent="0.2">
      <c r="A56" s="1" t="s">
        <v>101</v>
      </c>
      <c r="B56" s="1">
        <v>1415.03</v>
      </c>
      <c r="C56" s="1">
        <v>815</v>
      </c>
      <c r="D56" s="1">
        <v>903</v>
      </c>
      <c r="E56" s="1">
        <v>700</v>
      </c>
      <c r="F56" s="1">
        <v>74.66</v>
      </c>
      <c r="G56" s="1">
        <v>108.04</v>
      </c>
    </row>
    <row r="57" spans="1:7" x14ac:dyDescent="0.2">
      <c r="A57" s="1" t="s">
        <v>102</v>
      </c>
      <c r="B57" s="8">
        <v>1505.1</v>
      </c>
      <c r="C57" s="1">
        <v>735</v>
      </c>
      <c r="D57" s="1">
        <v>876</v>
      </c>
      <c r="E57" s="1">
        <v>662</v>
      </c>
      <c r="F57" s="1">
        <v>76.760000000000005</v>
      </c>
      <c r="G57" s="1">
        <v>108.37</v>
      </c>
    </row>
    <row r="58" spans="1:7" x14ac:dyDescent="0.2">
      <c r="A58" s="1" t="s">
        <v>103</v>
      </c>
      <c r="B58" s="1">
        <v>1505.1</v>
      </c>
      <c r="C58" s="1">
        <v>778</v>
      </c>
      <c r="D58" s="1">
        <v>845</v>
      </c>
      <c r="E58" s="1">
        <v>725</v>
      </c>
      <c r="F58" s="1">
        <v>78.5</v>
      </c>
      <c r="G58" s="1">
        <v>107.443</v>
      </c>
    </row>
    <row r="59" spans="1:7" x14ac:dyDescent="0.2">
      <c r="A59" s="1" t="s">
        <v>104</v>
      </c>
      <c r="B59" s="1">
        <v>1557.76</v>
      </c>
      <c r="C59" s="1">
        <v>987</v>
      </c>
      <c r="D59" s="1">
        <v>912</v>
      </c>
      <c r="E59" s="1">
        <v>756</v>
      </c>
      <c r="F59" s="1">
        <v>80.790000000000006</v>
      </c>
      <c r="G59" s="1">
        <v>109.34699999999999</v>
      </c>
    </row>
    <row r="60" spans="1:7" x14ac:dyDescent="0.2">
      <c r="A60" s="1" t="s">
        <v>105</v>
      </c>
      <c r="B60" s="1">
        <v>1560.87</v>
      </c>
      <c r="C60" s="1">
        <v>1048</v>
      </c>
      <c r="D60" s="1">
        <v>821</v>
      </c>
      <c r="E60" s="1">
        <v>629</v>
      </c>
      <c r="F60" s="1">
        <v>79.760000000000005</v>
      </c>
      <c r="G60" s="1">
        <v>109.65</v>
      </c>
    </row>
    <row r="61" spans="1:7" x14ac:dyDescent="0.2">
      <c r="A61" s="1" t="s">
        <v>106</v>
      </c>
      <c r="B61" s="1">
        <v>1547.74</v>
      </c>
      <c r="C61" s="1">
        <v>1072</v>
      </c>
      <c r="D61" s="1">
        <v>841</v>
      </c>
      <c r="E61" s="1">
        <v>591</v>
      </c>
      <c r="F61" s="1">
        <v>76.510000000000005</v>
      </c>
      <c r="G61" s="1">
        <v>108.952</v>
      </c>
    </row>
    <row r="62" spans="1:7" x14ac:dyDescent="0.2">
      <c r="A62" s="1" t="s">
        <v>107</v>
      </c>
      <c r="B62" s="1">
        <v>1515.07</v>
      </c>
      <c r="C62" s="1">
        <v>997</v>
      </c>
      <c r="D62" s="1">
        <v>927</v>
      </c>
      <c r="E62" s="1">
        <v>625</v>
      </c>
      <c r="F62" s="1">
        <v>74.17</v>
      </c>
      <c r="G62" s="1">
        <v>107.998</v>
      </c>
    </row>
    <row r="63" spans="1:7" x14ac:dyDescent="0.2">
      <c r="A63" s="1" t="s">
        <v>108</v>
      </c>
      <c r="B63" s="1">
        <v>1491.29</v>
      </c>
      <c r="C63" s="1">
        <v>990</v>
      </c>
      <c r="D63" s="1">
        <v>925</v>
      </c>
      <c r="E63" s="1">
        <v>627</v>
      </c>
      <c r="F63" s="1">
        <v>72.94</v>
      </c>
      <c r="G63" s="1">
        <v>107.621</v>
      </c>
    </row>
    <row r="64" spans="1:7" x14ac:dyDescent="0.2">
      <c r="A64" s="1" t="s">
        <v>109</v>
      </c>
      <c r="B64" s="1">
        <v>1486.06</v>
      </c>
      <c r="C64" s="1">
        <v>1051</v>
      </c>
      <c r="D64" s="1">
        <v>921</v>
      </c>
      <c r="E64" s="1">
        <v>661</v>
      </c>
      <c r="F64" s="1">
        <v>74.489999999999995</v>
      </c>
      <c r="G64" s="1">
        <v>107.003</v>
      </c>
    </row>
    <row r="65" spans="1:7" x14ac:dyDescent="0.2">
      <c r="A65" s="1" t="s">
        <v>110</v>
      </c>
      <c r="B65" s="1">
        <v>1465.16</v>
      </c>
      <c r="C65" s="1">
        <v>1167</v>
      </c>
      <c r="D65" s="1">
        <v>943</v>
      </c>
      <c r="E65" s="1">
        <v>625</v>
      </c>
      <c r="F65" s="1">
        <v>71.12</v>
      </c>
      <c r="G65" s="1">
        <v>106.05500000000001</v>
      </c>
    </row>
    <row r="66" spans="1:7" x14ac:dyDescent="0.2">
      <c r="A66" s="1" t="s">
        <v>111</v>
      </c>
      <c r="B66" s="1">
        <v>1474</v>
      </c>
      <c r="C66" s="1">
        <v>1354</v>
      </c>
      <c r="D66" s="1">
        <v>892</v>
      </c>
      <c r="E66" s="1">
        <v>663</v>
      </c>
      <c r="F66" s="1">
        <v>72.94</v>
      </c>
      <c r="G66" s="1">
        <v>105.73699999999999</v>
      </c>
    </row>
    <row r="67" spans="1:7" x14ac:dyDescent="0.2">
      <c r="A67" s="1" t="s">
        <v>112</v>
      </c>
      <c r="B67" s="1">
        <v>1467.91</v>
      </c>
      <c r="C67" s="1">
        <v>1537</v>
      </c>
      <c r="D67" s="1">
        <v>908</v>
      </c>
      <c r="E67" s="1">
        <v>627</v>
      </c>
      <c r="F67" s="1">
        <v>75.17</v>
      </c>
      <c r="G67" s="1">
        <v>107.554</v>
      </c>
    </row>
    <row r="68" spans="1:7" x14ac:dyDescent="0.2">
      <c r="A68" s="1" t="s">
        <v>113</v>
      </c>
      <c r="B68" s="1">
        <v>1438.97</v>
      </c>
      <c r="C68" s="1">
        <v>1785</v>
      </c>
      <c r="D68" s="1">
        <v>890</v>
      </c>
      <c r="E68" s="1">
        <v>477</v>
      </c>
      <c r="F68" s="1">
        <v>71.040000000000006</v>
      </c>
      <c r="G68" s="1">
        <v>106.687</v>
      </c>
    </row>
    <row r="69" spans="1:7" x14ac:dyDescent="0.2">
      <c r="A69" s="1" t="s">
        <v>114</v>
      </c>
      <c r="B69" s="1">
        <v>1388.22</v>
      </c>
      <c r="C69" s="1">
        <v>1495</v>
      </c>
      <c r="D69" s="1">
        <v>913</v>
      </c>
      <c r="E69" s="1">
        <v>466</v>
      </c>
      <c r="F69" s="1">
        <v>73.87</v>
      </c>
      <c r="G69" s="1">
        <v>104.997</v>
      </c>
    </row>
    <row r="70" spans="1:7" x14ac:dyDescent="0.2">
      <c r="A70" s="1" t="s">
        <v>115</v>
      </c>
      <c r="B70" s="1">
        <v>1367.54</v>
      </c>
      <c r="C70" s="1">
        <v>1378</v>
      </c>
      <c r="D70" s="1">
        <v>957</v>
      </c>
      <c r="E70" s="1">
        <v>524</v>
      </c>
      <c r="F70" s="1">
        <v>73.099999999999994</v>
      </c>
      <c r="G70" s="1">
        <v>104.282</v>
      </c>
    </row>
    <row r="71" spans="1:7" x14ac:dyDescent="0.2">
      <c r="A71" s="1" t="s">
        <v>116</v>
      </c>
      <c r="B71" s="1">
        <v>1366.4</v>
      </c>
      <c r="C71" s="1">
        <v>1410</v>
      </c>
      <c r="D71" s="1">
        <v>1036</v>
      </c>
      <c r="E71" s="1">
        <v>552</v>
      </c>
      <c r="F71" s="1">
        <v>76.05</v>
      </c>
      <c r="G71" s="1">
        <v>104.25700000000001</v>
      </c>
    </row>
    <row r="72" spans="1:7" x14ac:dyDescent="0.2">
      <c r="A72" s="1" t="s">
        <v>117</v>
      </c>
      <c r="B72" s="1">
        <v>1405.22</v>
      </c>
      <c r="C72" s="1">
        <v>1576</v>
      </c>
      <c r="D72" s="1">
        <v>1043</v>
      </c>
      <c r="E72" s="1">
        <v>580</v>
      </c>
      <c r="F72" s="1">
        <v>73.06</v>
      </c>
      <c r="G72" s="1">
        <v>103.49299999999999</v>
      </c>
    </row>
    <row r="73" spans="1:7" x14ac:dyDescent="0.2">
      <c r="A73" s="1" t="s">
        <v>118</v>
      </c>
      <c r="B73" s="1">
        <v>1476.98</v>
      </c>
      <c r="C73" s="1">
        <v>1809</v>
      </c>
      <c r="D73" s="1">
        <v>1036</v>
      </c>
      <c r="E73" s="1">
        <v>535</v>
      </c>
      <c r="F73" s="1">
        <v>79.040000000000006</v>
      </c>
      <c r="G73" s="1">
        <v>102.89</v>
      </c>
    </row>
    <row r="74" spans="1:7" x14ac:dyDescent="0.2">
      <c r="A74" s="1" t="s">
        <v>119</v>
      </c>
      <c r="B74" s="8">
        <v>1638.42</v>
      </c>
      <c r="C74" s="1">
        <v>1928</v>
      </c>
      <c r="D74" s="1">
        <v>1060</v>
      </c>
      <c r="E74" s="1">
        <v>497</v>
      </c>
      <c r="F74" s="1">
        <v>78.05</v>
      </c>
      <c r="G74" s="1">
        <v>102.52</v>
      </c>
    </row>
    <row r="75" spans="1:7" x14ac:dyDescent="0.2">
      <c r="A75" s="1" t="s">
        <v>120</v>
      </c>
      <c r="B75" s="1">
        <v>1638.42</v>
      </c>
      <c r="C75" s="1">
        <v>2110</v>
      </c>
      <c r="D75" s="1">
        <v>862</v>
      </c>
      <c r="E75" s="1">
        <v>566</v>
      </c>
      <c r="F75" s="1">
        <v>71.98</v>
      </c>
      <c r="G75" s="1">
        <v>100.381</v>
      </c>
    </row>
    <row r="76" spans="1:7" x14ac:dyDescent="0.2">
      <c r="A76" s="1" t="s">
        <v>121</v>
      </c>
      <c r="B76" s="1">
        <v>1742.19</v>
      </c>
      <c r="C76" s="1">
        <v>1977</v>
      </c>
      <c r="D76" s="1">
        <v>894</v>
      </c>
      <c r="E76" s="1">
        <v>628</v>
      </c>
      <c r="F76" s="1">
        <v>74.489999999999995</v>
      </c>
      <c r="G76" s="1">
        <v>100.723</v>
      </c>
    </row>
    <row r="77" spans="1:7" x14ac:dyDescent="0.2">
      <c r="A77" s="1" t="s">
        <v>122</v>
      </c>
      <c r="B77" s="1">
        <v>1818.31</v>
      </c>
      <c r="C77" s="1">
        <v>1890</v>
      </c>
      <c r="D77" s="1">
        <v>883</v>
      </c>
      <c r="E77" s="1">
        <v>632</v>
      </c>
      <c r="F77" s="1">
        <v>71.61</v>
      </c>
      <c r="G77" s="1">
        <v>101.114</v>
      </c>
    </row>
    <row r="78" spans="1:7" x14ac:dyDescent="0.2">
      <c r="A78" s="1" t="s">
        <v>123</v>
      </c>
      <c r="B78" s="1">
        <v>1912.46</v>
      </c>
      <c r="C78" s="1">
        <v>1941</v>
      </c>
      <c r="D78" s="1">
        <v>870</v>
      </c>
      <c r="E78" s="1">
        <v>585</v>
      </c>
      <c r="F78" s="1">
        <v>71.06</v>
      </c>
      <c r="G78" s="1">
        <v>101.17700000000001</v>
      </c>
    </row>
    <row r="79" spans="1:7" x14ac:dyDescent="0.2">
      <c r="A79" s="1" t="s">
        <v>124</v>
      </c>
      <c r="B79" s="1">
        <v>1974.46</v>
      </c>
      <c r="C79" s="1">
        <v>1814</v>
      </c>
      <c r="D79" s="1">
        <v>881</v>
      </c>
      <c r="E79" s="1">
        <v>614</v>
      </c>
      <c r="F79" s="1">
        <v>78.8</v>
      </c>
      <c r="G79" s="1">
        <v>101.69799999999999</v>
      </c>
    </row>
    <row r="80" spans="1:7" x14ac:dyDescent="0.2">
      <c r="A80" s="1" t="s">
        <v>125</v>
      </c>
      <c r="B80" s="1">
        <v>2019.27</v>
      </c>
      <c r="C80" s="1">
        <v>1762</v>
      </c>
      <c r="D80" s="1">
        <v>920</v>
      </c>
      <c r="E80" s="1">
        <v>652</v>
      </c>
      <c r="F80" s="1">
        <v>79.02</v>
      </c>
      <c r="G80" s="1">
        <v>100.718</v>
      </c>
    </row>
    <row r="81" spans="1:7" x14ac:dyDescent="0.2">
      <c r="A81" s="1" t="s">
        <v>126</v>
      </c>
      <c r="B81" s="1">
        <v>2073.41</v>
      </c>
      <c r="C81" s="1">
        <v>1691</v>
      </c>
      <c r="D81" s="1">
        <v>936</v>
      </c>
      <c r="E81" s="1">
        <v>625</v>
      </c>
      <c r="F81" s="1">
        <v>79.680000000000007</v>
      </c>
      <c r="G81" s="1">
        <v>102.46299999999999</v>
      </c>
    </row>
    <row r="82" spans="1:7" x14ac:dyDescent="0.2">
      <c r="A82" s="1" t="s">
        <v>127</v>
      </c>
      <c r="B82" s="1">
        <v>2138.3200000000002</v>
      </c>
      <c r="C82" s="1">
        <v>1670</v>
      </c>
      <c r="D82" s="1">
        <v>922</v>
      </c>
      <c r="E82" s="1">
        <v>622</v>
      </c>
      <c r="F82" s="1">
        <v>79.66</v>
      </c>
      <c r="G82" s="1">
        <v>103.13500000000001</v>
      </c>
    </row>
    <row r="83" spans="1:7" x14ac:dyDescent="0.2">
      <c r="A83" s="1" t="s">
        <v>128</v>
      </c>
      <c r="B83" s="1">
        <v>2133.48</v>
      </c>
      <c r="C83" s="1">
        <v>1675</v>
      </c>
      <c r="D83" s="1">
        <v>952</v>
      </c>
      <c r="E83" s="1">
        <v>755</v>
      </c>
      <c r="F83" s="1">
        <v>76.81</v>
      </c>
      <c r="G83" s="1">
        <v>103.208</v>
      </c>
    </row>
    <row r="84" spans="1:7" x14ac:dyDescent="0.2">
      <c r="A84" s="1" t="s">
        <v>129</v>
      </c>
      <c r="B84" s="1">
        <v>2180.69</v>
      </c>
      <c r="C84" s="1">
        <v>1808</v>
      </c>
      <c r="D84" s="1">
        <v>1023</v>
      </c>
      <c r="E84" s="1">
        <v>814</v>
      </c>
      <c r="F84" s="1">
        <v>81.13</v>
      </c>
      <c r="G84" s="1">
        <v>104.316</v>
      </c>
    </row>
    <row r="85" spans="1:7" x14ac:dyDescent="0.2">
      <c r="A85" s="1" t="s">
        <v>130</v>
      </c>
      <c r="B85" s="1">
        <v>2153.56</v>
      </c>
      <c r="C85" s="1">
        <v>1902</v>
      </c>
      <c r="D85" s="1">
        <v>1056</v>
      </c>
      <c r="E85" s="1">
        <v>822</v>
      </c>
      <c r="F85" s="1">
        <v>82.63</v>
      </c>
      <c r="G85" s="1">
        <v>104.396</v>
      </c>
    </row>
    <row r="86" spans="1:7" x14ac:dyDescent="0.2">
      <c r="A86" s="1" t="s">
        <v>131</v>
      </c>
      <c r="B86" s="1">
        <v>2085.0500000000002</v>
      </c>
      <c r="C86" s="1">
        <v>1997</v>
      </c>
      <c r="D86" s="1">
        <v>1064</v>
      </c>
      <c r="E86" s="1">
        <v>849</v>
      </c>
      <c r="F86" s="1">
        <v>85.03</v>
      </c>
      <c r="G86" s="1">
        <v>104.093</v>
      </c>
    </row>
    <row r="87" spans="1:7" x14ac:dyDescent="0.2">
      <c r="A87" s="1" t="s">
        <v>132</v>
      </c>
      <c r="B87" s="1">
        <v>2011.33</v>
      </c>
      <c r="C87" s="1">
        <v>1966</v>
      </c>
      <c r="D87" s="1">
        <v>1102</v>
      </c>
      <c r="E87" s="1">
        <v>822</v>
      </c>
      <c r="F87" s="1">
        <v>86.54</v>
      </c>
      <c r="G87" s="1">
        <v>104.875</v>
      </c>
    </row>
    <row r="88" spans="1:7" x14ac:dyDescent="0.2">
      <c r="A88" s="1" t="s">
        <v>133</v>
      </c>
      <c r="B88" s="1">
        <v>1922.46</v>
      </c>
      <c r="C88" s="1">
        <v>2050</v>
      </c>
      <c r="D88" s="1">
        <v>1150</v>
      </c>
      <c r="E88" s="1">
        <v>834</v>
      </c>
      <c r="F88" s="1">
        <v>86.41</v>
      </c>
      <c r="G88" s="1">
        <v>105.866</v>
      </c>
    </row>
    <row r="89" spans="1:7" x14ac:dyDescent="0.2">
      <c r="A89" s="1" t="s">
        <v>134</v>
      </c>
      <c r="B89" s="1">
        <v>1829.22</v>
      </c>
      <c r="C89" s="1">
        <v>1997</v>
      </c>
      <c r="D89" s="1">
        <v>1205</v>
      </c>
      <c r="E89" s="1">
        <v>795</v>
      </c>
      <c r="F89" s="1">
        <v>85.24</v>
      </c>
      <c r="G89" s="1">
        <v>105.79600000000001</v>
      </c>
    </row>
    <row r="90" spans="1:7" x14ac:dyDescent="0.2">
      <c r="A90" s="1" t="s">
        <v>135</v>
      </c>
      <c r="B90" s="1">
        <v>1733.47</v>
      </c>
      <c r="C90" s="1">
        <v>1948</v>
      </c>
      <c r="D90" s="1">
        <v>1240</v>
      </c>
      <c r="E90" s="1">
        <v>828</v>
      </c>
      <c r="F90" s="1">
        <v>82.62</v>
      </c>
      <c r="G90" s="1">
        <v>105.55</v>
      </c>
    </row>
    <row r="91" spans="1:7" x14ac:dyDescent="0.2">
      <c r="A91" s="1" t="s">
        <v>136</v>
      </c>
      <c r="B91" s="1">
        <v>1592.57</v>
      </c>
      <c r="C91" s="1">
        <v>1881</v>
      </c>
      <c r="D91" s="1">
        <v>1267</v>
      </c>
      <c r="E91" s="1">
        <v>858</v>
      </c>
      <c r="F91" s="1">
        <v>79.62</v>
      </c>
      <c r="G91" s="1">
        <v>104.88500000000001</v>
      </c>
    </row>
    <row r="92" spans="1:7" x14ac:dyDescent="0.2">
      <c r="A92" s="1" t="s">
        <v>137</v>
      </c>
      <c r="B92" s="1">
        <v>1495.98</v>
      </c>
      <c r="C92" s="1">
        <v>1815</v>
      </c>
      <c r="D92" s="1">
        <v>1241</v>
      </c>
      <c r="E92" s="1">
        <v>1023</v>
      </c>
      <c r="F92" s="1">
        <v>81.62</v>
      </c>
      <c r="G92" s="1">
        <v>104.67100000000001</v>
      </c>
    </row>
    <row r="93" spans="1:7" x14ac:dyDescent="0.2">
      <c r="A93" s="1" t="s">
        <v>138</v>
      </c>
      <c r="B93" s="1">
        <v>1389.16</v>
      </c>
      <c r="C93" s="1">
        <v>1797</v>
      </c>
      <c r="D93" s="1">
        <v>1234</v>
      </c>
      <c r="E93" s="1">
        <v>1020</v>
      </c>
      <c r="F93" s="1">
        <v>82.12</v>
      </c>
      <c r="G93" s="1">
        <v>104.724</v>
      </c>
    </row>
    <row r="94" spans="1:7" x14ac:dyDescent="0.2">
      <c r="A94" s="1" t="s">
        <v>139</v>
      </c>
      <c r="B94" s="1">
        <v>1311.85</v>
      </c>
      <c r="C94" s="1">
        <v>1844</v>
      </c>
      <c r="D94" s="1">
        <v>1195</v>
      </c>
      <c r="E94" s="1">
        <v>1036</v>
      </c>
      <c r="F94" s="1">
        <v>83.98</v>
      </c>
      <c r="G94" s="1">
        <v>104.44499999999999</v>
      </c>
    </row>
    <row r="95" spans="1:7" x14ac:dyDescent="0.2">
      <c r="A95" s="1" t="s">
        <v>140</v>
      </c>
      <c r="B95" s="1">
        <v>1237.8399999999999</v>
      </c>
      <c r="C95" s="1">
        <v>2129</v>
      </c>
      <c r="D95" s="1">
        <v>1155</v>
      </c>
      <c r="E95" s="1">
        <v>996</v>
      </c>
      <c r="F95" s="1">
        <v>82.79</v>
      </c>
      <c r="G95" s="1">
        <v>105.301</v>
      </c>
    </row>
    <row r="96" spans="1:7" x14ac:dyDescent="0.2">
      <c r="A96" s="1" t="s">
        <v>141</v>
      </c>
      <c r="B96" s="8">
        <v>1193.6400000000001</v>
      </c>
      <c r="C96" s="1">
        <v>1876</v>
      </c>
      <c r="D96" s="1">
        <v>1122</v>
      </c>
      <c r="E96" s="1">
        <v>931</v>
      </c>
      <c r="F96" s="1">
        <v>82.96</v>
      </c>
      <c r="G96" s="1">
        <v>105.03</v>
      </c>
    </row>
    <row r="97" spans="1:7" x14ac:dyDescent="0.2">
      <c r="A97" s="1" t="s">
        <v>142</v>
      </c>
      <c r="B97" s="1">
        <v>1193.6400000000001</v>
      </c>
      <c r="C97" s="1">
        <v>1721</v>
      </c>
      <c r="D97" s="1">
        <v>1112</v>
      </c>
      <c r="E97" s="1">
        <v>939</v>
      </c>
      <c r="F97" s="1">
        <v>89.5</v>
      </c>
      <c r="G97" s="1">
        <v>105.938</v>
      </c>
    </row>
    <row r="98" spans="1:7" x14ac:dyDescent="0.2">
      <c r="A98" s="1" t="s">
        <v>143</v>
      </c>
      <c r="B98" s="1">
        <v>1186.53</v>
      </c>
      <c r="C98" s="1">
        <v>1919</v>
      </c>
      <c r="D98" s="1">
        <v>1114</v>
      </c>
      <c r="E98" s="1">
        <v>1022</v>
      </c>
      <c r="F98" s="1">
        <v>87.29</v>
      </c>
      <c r="G98" s="1">
        <v>106.154</v>
      </c>
    </row>
    <row r="99" spans="1:7" x14ac:dyDescent="0.2">
      <c r="A99" s="1" t="s">
        <v>144</v>
      </c>
      <c r="B99" s="1">
        <v>1185.1300000000001</v>
      </c>
      <c r="C99" s="1">
        <v>1729</v>
      </c>
      <c r="D99" s="1">
        <v>1202</v>
      </c>
      <c r="E99" s="1">
        <v>879</v>
      </c>
      <c r="F99" s="1">
        <v>90.45</v>
      </c>
      <c r="G99" s="1">
        <v>106.038</v>
      </c>
    </row>
    <row r="100" spans="1:7" x14ac:dyDescent="0.2">
      <c r="A100" s="1" t="s">
        <v>145</v>
      </c>
      <c r="B100" s="1">
        <v>1191.3699999999999</v>
      </c>
      <c r="C100" s="1">
        <v>1628</v>
      </c>
      <c r="D100" s="1">
        <v>1122</v>
      </c>
      <c r="E100" s="1">
        <v>968</v>
      </c>
      <c r="F100" s="1">
        <v>91.17</v>
      </c>
      <c r="G100" s="1">
        <v>104.298</v>
      </c>
    </row>
    <row r="101" spans="1:7" x14ac:dyDescent="0.2">
      <c r="A101" s="1" t="s">
        <v>146</v>
      </c>
      <c r="B101" s="1">
        <v>1208.42</v>
      </c>
      <c r="C101" s="1">
        <v>1821</v>
      </c>
      <c r="D101" s="1">
        <v>1137</v>
      </c>
      <c r="E101" s="1">
        <v>1072</v>
      </c>
      <c r="F101" s="1">
        <v>87.48</v>
      </c>
      <c r="G101" s="1">
        <v>104.48699999999999</v>
      </c>
    </row>
    <row r="102" spans="1:7" x14ac:dyDescent="0.2">
      <c r="A102" s="1" t="s">
        <v>147</v>
      </c>
      <c r="B102" s="1">
        <v>1244.83</v>
      </c>
      <c r="C102" s="1">
        <v>2196</v>
      </c>
      <c r="D102" s="1">
        <v>1161</v>
      </c>
      <c r="E102" s="1">
        <v>1233</v>
      </c>
      <c r="F102" s="1">
        <v>85.43</v>
      </c>
      <c r="G102" s="1">
        <v>104.43</v>
      </c>
    </row>
    <row r="103" spans="1:7" x14ac:dyDescent="0.2">
      <c r="A103" s="1" t="s">
        <v>148</v>
      </c>
      <c r="B103" s="1">
        <v>1278.28</v>
      </c>
      <c r="C103" s="1">
        <v>2374</v>
      </c>
      <c r="D103" s="1">
        <v>1202</v>
      </c>
      <c r="E103" s="1">
        <v>1229</v>
      </c>
      <c r="F103" s="1">
        <v>85.34</v>
      </c>
      <c r="G103" s="1">
        <v>103.432</v>
      </c>
    </row>
    <row r="104" spans="1:7" x14ac:dyDescent="0.2">
      <c r="A104" s="1" t="s">
        <v>149</v>
      </c>
      <c r="B104" s="1">
        <v>1312.13</v>
      </c>
      <c r="C104" s="1">
        <v>2345</v>
      </c>
      <c r="D104" s="1">
        <v>1186</v>
      </c>
      <c r="E104" s="1">
        <v>959</v>
      </c>
      <c r="F104" s="1">
        <v>82.08</v>
      </c>
      <c r="G104" s="1">
        <v>102.712</v>
      </c>
    </row>
    <row r="105" spans="1:7" x14ac:dyDescent="0.2">
      <c r="A105" s="1" t="s">
        <v>150</v>
      </c>
      <c r="B105" s="1">
        <v>1352.4</v>
      </c>
      <c r="C105" s="1">
        <v>2203</v>
      </c>
      <c r="D105" s="1">
        <v>1142</v>
      </c>
      <c r="E105" s="1">
        <v>986</v>
      </c>
      <c r="F105" s="1">
        <v>83.55</v>
      </c>
      <c r="G105" s="1">
        <v>103.861</v>
      </c>
    </row>
    <row r="106" spans="1:7" x14ac:dyDescent="0.2">
      <c r="A106" s="1" t="s">
        <v>151</v>
      </c>
      <c r="B106" s="1">
        <v>1402.22</v>
      </c>
      <c r="C106" s="1">
        <v>1866</v>
      </c>
      <c r="D106" s="1">
        <v>1209</v>
      </c>
      <c r="E106" s="1">
        <v>1062</v>
      </c>
      <c r="F106" s="1">
        <v>81.62</v>
      </c>
      <c r="G106" s="1">
        <v>103.93600000000001</v>
      </c>
    </row>
    <row r="107" spans="1:7" x14ac:dyDescent="0.2">
      <c r="A107" s="1" t="s">
        <v>152</v>
      </c>
      <c r="B107" s="8">
        <v>1455.19</v>
      </c>
      <c r="C107" s="1">
        <v>1610</v>
      </c>
      <c r="D107" s="1">
        <v>1341</v>
      </c>
      <c r="E107" s="1">
        <v>1129</v>
      </c>
      <c r="F107" s="1">
        <v>83.47</v>
      </c>
      <c r="G107" s="1">
        <v>104.27500000000001</v>
      </c>
    </row>
    <row r="108" spans="1:7" x14ac:dyDescent="0.2">
      <c r="A108" s="1" t="s">
        <v>153</v>
      </c>
      <c r="B108" s="1">
        <v>1455.19</v>
      </c>
      <c r="C108" s="1">
        <v>1545</v>
      </c>
      <c r="D108" s="1">
        <v>1268</v>
      </c>
      <c r="E108" s="1">
        <v>1126</v>
      </c>
      <c r="F108" s="1">
        <v>82.19</v>
      </c>
      <c r="G108" s="1">
        <v>104.111</v>
      </c>
    </row>
    <row r="109" spans="1:7" x14ac:dyDescent="0.2">
      <c r="A109" s="1" t="s">
        <v>154</v>
      </c>
      <c r="B109" s="1">
        <v>1464.81</v>
      </c>
      <c r="C109" s="1">
        <v>1407</v>
      </c>
      <c r="D109" s="1">
        <v>1287</v>
      </c>
      <c r="E109" s="1">
        <v>1147</v>
      </c>
      <c r="F109" s="1">
        <v>77.33</v>
      </c>
      <c r="G109" s="1">
        <v>103.922</v>
      </c>
    </row>
    <row r="110" spans="1:7" x14ac:dyDescent="0.2">
      <c r="A110" s="1" t="s">
        <v>155</v>
      </c>
      <c r="B110" s="1">
        <v>1403</v>
      </c>
      <c r="C110" s="1">
        <v>1518</v>
      </c>
      <c r="D110" s="1">
        <v>1347</v>
      </c>
      <c r="E110" s="1">
        <v>1358</v>
      </c>
      <c r="F110" s="1">
        <v>83.55</v>
      </c>
      <c r="G110" s="1">
        <v>103.43300000000001</v>
      </c>
    </row>
    <row r="111" spans="1:7" x14ac:dyDescent="0.2">
      <c r="A111" s="1" t="s">
        <v>156</v>
      </c>
      <c r="B111" s="1">
        <v>1287.49</v>
      </c>
      <c r="C111" s="1">
        <v>1503</v>
      </c>
      <c r="D111" s="1">
        <v>1423</v>
      </c>
      <c r="E111" s="1">
        <v>1039</v>
      </c>
      <c r="F111" s="1">
        <v>78.56</v>
      </c>
      <c r="G111" s="1">
        <v>103.288</v>
      </c>
    </row>
    <row r="112" spans="1:7" x14ac:dyDescent="0.2">
      <c r="A112" s="1" t="s">
        <v>157</v>
      </c>
      <c r="B112" s="1">
        <v>1140.31</v>
      </c>
      <c r="C112" s="1">
        <v>1460</v>
      </c>
      <c r="D112" s="1">
        <v>1473</v>
      </c>
      <c r="E112" s="1">
        <v>741</v>
      </c>
      <c r="F112" s="1">
        <v>78.290000000000006</v>
      </c>
      <c r="G112" s="1">
        <v>102.404</v>
      </c>
    </row>
    <row r="113" spans="1:7" x14ac:dyDescent="0.2">
      <c r="A113" s="1" t="s">
        <v>158</v>
      </c>
      <c r="B113" s="1">
        <v>936.83</v>
      </c>
      <c r="C113" s="1">
        <v>2110</v>
      </c>
      <c r="D113" s="1">
        <v>1384</v>
      </c>
      <c r="E113" s="1">
        <v>799</v>
      </c>
      <c r="F113" s="1">
        <v>78.760000000000005</v>
      </c>
      <c r="G113" s="1">
        <v>102.41200000000001</v>
      </c>
    </row>
    <row r="114" spans="1:7" x14ac:dyDescent="0.2">
      <c r="A114" s="1" t="s">
        <v>159</v>
      </c>
      <c r="B114" s="1">
        <v>909.19</v>
      </c>
      <c r="C114" s="8">
        <v>2093</v>
      </c>
      <c r="D114" s="8">
        <v>1258</v>
      </c>
      <c r="E114" s="8">
        <v>925</v>
      </c>
      <c r="F114" s="1">
        <v>77.040000000000006</v>
      </c>
      <c r="G114" s="1">
        <v>101.333</v>
      </c>
    </row>
    <row r="115" spans="1:7" x14ac:dyDescent="0.2">
      <c r="A115" s="1" t="s">
        <v>160</v>
      </c>
      <c r="B115" s="1">
        <v>879.75</v>
      </c>
      <c r="C115" s="1">
        <v>2094</v>
      </c>
      <c r="D115" s="1">
        <v>1200</v>
      </c>
      <c r="E115" s="1">
        <v>960</v>
      </c>
      <c r="F115" s="1">
        <v>79.069999999999993</v>
      </c>
      <c r="G115" s="1">
        <v>101.69799999999999</v>
      </c>
    </row>
    <row r="116" spans="1:7" x14ac:dyDescent="0.2">
      <c r="A116" s="1" t="s">
        <v>161</v>
      </c>
      <c r="B116" s="1">
        <v>869.34</v>
      </c>
      <c r="C116" s="1">
        <v>2348</v>
      </c>
      <c r="D116" s="1">
        <v>1103</v>
      </c>
      <c r="E116" s="1">
        <v>933</v>
      </c>
      <c r="F116" s="1">
        <v>76.55</v>
      </c>
      <c r="G116" s="1">
        <v>102.55</v>
      </c>
    </row>
    <row r="117" spans="1:7" x14ac:dyDescent="0.2">
      <c r="A117" s="1" t="s">
        <v>162</v>
      </c>
      <c r="B117" s="1">
        <v>858.4</v>
      </c>
      <c r="C117" s="1">
        <v>2483</v>
      </c>
      <c r="D117" s="1">
        <v>1129</v>
      </c>
      <c r="E117" s="1">
        <v>858</v>
      </c>
      <c r="F117" s="1">
        <v>75.84</v>
      </c>
      <c r="G117" s="1">
        <v>104.01</v>
      </c>
    </row>
    <row r="118" spans="1:7" x14ac:dyDescent="0.2">
      <c r="A118" s="1" t="s">
        <v>163</v>
      </c>
      <c r="B118" s="1">
        <v>857.72</v>
      </c>
      <c r="C118" s="1">
        <v>3192</v>
      </c>
      <c r="D118" s="1">
        <v>1172</v>
      </c>
      <c r="E118" s="1">
        <v>833</v>
      </c>
      <c r="F118" s="1">
        <v>78.88</v>
      </c>
      <c r="G118" s="1">
        <v>103.268</v>
      </c>
    </row>
    <row r="119" spans="1:7" x14ac:dyDescent="0.2">
      <c r="A119" s="1" t="s">
        <v>164</v>
      </c>
      <c r="B119" s="1">
        <v>876.74</v>
      </c>
      <c r="C119" s="1">
        <v>2102</v>
      </c>
      <c r="D119" s="1">
        <v>1233</v>
      </c>
      <c r="E119" s="1">
        <v>829</v>
      </c>
      <c r="F119" s="1">
        <v>80.58</v>
      </c>
      <c r="G119" s="1">
        <v>103.40300000000001</v>
      </c>
    </row>
    <row r="120" spans="1:7" x14ac:dyDescent="0.2">
      <c r="A120" s="1" t="s">
        <v>165</v>
      </c>
      <c r="B120" s="1">
        <v>872.11</v>
      </c>
      <c r="C120" s="1">
        <v>1820</v>
      </c>
      <c r="D120" s="1">
        <v>1317</v>
      </c>
      <c r="E120" s="1">
        <v>826</v>
      </c>
      <c r="F120" s="1">
        <v>80.61</v>
      </c>
      <c r="G120" s="1">
        <v>103.917</v>
      </c>
    </row>
    <row r="121" spans="1:7" x14ac:dyDescent="0.2">
      <c r="A121" s="1" t="s">
        <v>166</v>
      </c>
      <c r="B121" s="1">
        <v>843.77</v>
      </c>
      <c r="C121" s="1">
        <v>1643</v>
      </c>
      <c r="D121" s="1">
        <v>1392</v>
      </c>
      <c r="E121" s="1">
        <v>786</v>
      </c>
      <c r="F121" s="1">
        <v>81.430000000000007</v>
      </c>
      <c r="G121" s="1">
        <v>105.861</v>
      </c>
    </row>
    <row r="122" spans="1:7" x14ac:dyDescent="0.2">
      <c r="A122" s="1" t="s">
        <v>167</v>
      </c>
      <c r="B122" s="1">
        <v>827.84</v>
      </c>
      <c r="C122" s="1">
        <v>1462</v>
      </c>
      <c r="D122" s="1">
        <v>1465</v>
      </c>
      <c r="E122" s="1">
        <v>781</v>
      </c>
      <c r="F122" s="1">
        <v>84.89</v>
      </c>
      <c r="G122" s="1">
        <v>105.021</v>
      </c>
    </row>
    <row r="123" spans="1:7" x14ac:dyDescent="0.2">
      <c r="A123" s="1" t="s">
        <v>168</v>
      </c>
      <c r="B123" s="1">
        <v>811.5</v>
      </c>
      <c r="C123" s="1">
        <v>1563</v>
      </c>
      <c r="D123" s="1">
        <v>1414</v>
      </c>
      <c r="E123" s="1">
        <v>801</v>
      </c>
      <c r="F123" s="1">
        <v>90.48</v>
      </c>
      <c r="G123" s="1">
        <v>106.559</v>
      </c>
    </row>
    <row r="124" spans="1:7" x14ac:dyDescent="0.2">
      <c r="A124" s="1" t="s">
        <v>169</v>
      </c>
      <c r="B124" s="1">
        <v>817.2</v>
      </c>
      <c r="C124" s="1">
        <v>2046</v>
      </c>
      <c r="D124" s="1">
        <v>1286</v>
      </c>
      <c r="E124" s="1">
        <v>774</v>
      </c>
      <c r="F124" s="1">
        <v>92.16</v>
      </c>
      <c r="G124" s="1">
        <v>106.163</v>
      </c>
    </row>
    <row r="125" spans="1:7" x14ac:dyDescent="0.2">
      <c r="A125" s="1" t="s">
        <v>170</v>
      </c>
      <c r="B125" s="1">
        <v>819.97</v>
      </c>
      <c r="C125" s="1">
        <v>1945</v>
      </c>
      <c r="D125" s="1">
        <v>1149</v>
      </c>
      <c r="E125" s="1">
        <v>748</v>
      </c>
      <c r="F125" s="1">
        <v>90.89</v>
      </c>
      <c r="G125" s="1">
        <v>106.648</v>
      </c>
    </row>
    <row r="126" spans="1:7" x14ac:dyDescent="0.2">
      <c r="A126" s="1" t="s">
        <v>171</v>
      </c>
      <c r="B126" s="8">
        <v>851.96</v>
      </c>
      <c r="C126" s="1">
        <v>1929</v>
      </c>
      <c r="D126" s="1">
        <v>871</v>
      </c>
      <c r="E126" s="1">
        <v>750</v>
      </c>
      <c r="F126" s="1">
        <v>84.58</v>
      </c>
      <c r="G126" s="1">
        <v>106.044</v>
      </c>
    </row>
    <row r="127" spans="1:7" x14ac:dyDescent="0.2">
      <c r="A127" s="1" t="s">
        <v>172</v>
      </c>
      <c r="B127" s="1">
        <v>851.96</v>
      </c>
      <c r="C127" s="1">
        <v>1701</v>
      </c>
      <c r="D127" s="1">
        <v>827</v>
      </c>
      <c r="E127" s="1">
        <v>813</v>
      </c>
      <c r="F127" s="1">
        <v>95.31</v>
      </c>
      <c r="G127" s="1">
        <v>106.17400000000001</v>
      </c>
    </row>
    <row r="128" spans="1:7" x14ac:dyDescent="0.2">
      <c r="A128" s="1" t="s">
        <v>173</v>
      </c>
      <c r="B128" s="1">
        <v>871.8</v>
      </c>
      <c r="C128" s="1">
        <v>1593</v>
      </c>
      <c r="D128" s="1">
        <v>790</v>
      </c>
      <c r="E128" s="1">
        <v>868</v>
      </c>
      <c r="F128" s="1">
        <v>93.27</v>
      </c>
      <c r="G128" s="1">
        <v>105.583</v>
      </c>
    </row>
    <row r="129" spans="1:7" x14ac:dyDescent="0.2">
      <c r="A129" s="1" t="s">
        <v>174</v>
      </c>
      <c r="B129" s="1">
        <v>875.21</v>
      </c>
      <c r="C129" s="1">
        <v>1381</v>
      </c>
      <c r="D129" s="1">
        <v>740</v>
      </c>
      <c r="E129" s="1">
        <v>849</v>
      </c>
      <c r="F129" s="1">
        <v>93.93</v>
      </c>
      <c r="G129" s="1">
        <v>105.322</v>
      </c>
    </row>
    <row r="130" spans="1:7" x14ac:dyDescent="0.2">
      <c r="A130" s="1" t="s">
        <v>175</v>
      </c>
      <c r="B130" s="1">
        <v>890.34</v>
      </c>
      <c r="C130" s="1">
        <v>1186</v>
      </c>
      <c r="D130" s="1">
        <v>713</v>
      </c>
      <c r="E130" s="1">
        <v>764</v>
      </c>
      <c r="F130" s="1">
        <v>90.65</v>
      </c>
      <c r="G130" s="1">
        <v>105.09</v>
      </c>
    </row>
    <row r="131" spans="1:7" x14ac:dyDescent="0.2">
      <c r="A131" s="1" t="s">
        <v>176</v>
      </c>
      <c r="B131" s="1">
        <v>892.98</v>
      </c>
      <c r="C131" s="1">
        <v>1065</v>
      </c>
      <c r="D131" s="1">
        <v>740</v>
      </c>
      <c r="E131" s="1">
        <v>837</v>
      </c>
      <c r="F131" s="1">
        <v>88.55</v>
      </c>
      <c r="G131" s="1">
        <v>104.236</v>
      </c>
    </row>
    <row r="132" spans="1:7" x14ac:dyDescent="0.2">
      <c r="A132" s="1" t="s">
        <v>177</v>
      </c>
      <c r="B132" s="1">
        <v>894.66</v>
      </c>
      <c r="C132" s="1">
        <v>1080</v>
      </c>
      <c r="D132" s="1">
        <v>793</v>
      </c>
      <c r="E132" s="1">
        <v>807</v>
      </c>
      <c r="F132" s="1">
        <v>84.48</v>
      </c>
      <c r="G132" s="1">
        <v>104.077</v>
      </c>
    </row>
    <row r="133" spans="1:7" x14ac:dyDescent="0.2">
      <c r="A133" s="1" t="s">
        <v>178</v>
      </c>
      <c r="B133" s="1">
        <v>889.52</v>
      </c>
      <c r="C133" s="1">
        <v>1237</v>
      </c>
      <c r="D133" s="1">
        <v>803</v>
      </c>
      <c r="E133" s="1">
        <v>772</v>
      </c>
      <c r="F133" s="1">
        <v>84.8</v>
      </c>
      <c r="G133" s="1">
        <v>103.375</v>
      </c>
    </row>
    <row r="134" spans="1:7" x14ac:dyDescent="0.2">
      <c r="A134" s="1" t="s">
        <v>179</v>
      </c>
      <c r="B134" s="1">
        <v>874.58</v>
      </c>
      <c r="C134" s="1">
        <v>1129</v>
      </c>
      <c r="D134" s="1">
        <v>802</v>
      </c>
      <c r="E134" s="1">
        <v>670</v>
      </c>
      <c r="F134" s="1">
        <v>86.81</v>
      </c>
      <c r="G134" s="1">
        <v>102.842</v>
      </c>
    </row>
    <row r="135" spans="1:7" x14ac:dyDescent="0.2">
      <c r="A135" s="1" t="s">
        <v>180</v>
      </c>
      <c r="B135" s="1">
        <v>864.39</v>
      </c>
      <c r="C135" s="1">
        <v>1136</v>
      </c>
      <c r="D135" s="1">
        <v>800</v>
      </c>
      <c r="E135" s="1">
        <v>706</v>
      </c>
      <c r="F135" s="1">
        <v>86.24</v>
      </c>
      <c r="G135" s="1">
        <v>102.017</v>
      </c>
    </row>
    <row r="136" spans="1:7" x14ac:dyDescent="0.2">
      <c r="A136" s="1" t="s">
        <v>181</v>
      </c>
      <c r="B136" s="1">
        <v>863.37</v>
      </c>
      <c r="C136" s="1">
        <v>1110</v>
      </c>
      <c r="D136" s="1">
        <v>873</v>
      </c>
      <c r="E136" s="1">
        <v>697</v>
      </c>
      <c r="F136" s="1">
        <v>84.99</v>
      </c>
      <c r="G136" s="1">
        <v>101.622</v>
      </c>
    </row>
    <row r="137" spans="1:7" x14ac:dyDescent="0.2">
      <c r="A137" s="1" t="s">
        <v>182</v>
      </c>
      <c r="B137" s="1">
        <v>866.08</v>
      </c>
      <c r="C137" s="1">
        <v>978</v>
      </c>
      <c r="D137" s="1">
        <v>940</v>
      </c>
      <c r="E137" s="1">
        <v>610</v>
      </c>
      <c r="F137" s="1">
        <v>81.069999999999993</v>
      </c>
      <c r="G137" s="1">
        <v>101.071</v>
      </c>
    </row>
    <row r="138" spans="1:7" x14ac:dyDescent="0.2">
      <c r="A138" s="1" t="s">
        <v>183</v>
      </c>
      <c r="B138" s="1">
        <v>869.92</v>
      </c>
      <c r="C138" s="1">
        <v>1090</v>
      </c>
      <c r="D138" s="1">
        <v>959</v>
      </c>
      <c r="E138" s="1">
        <v>570</v>
      </c>
      <c r="F138" s="1">
        <v>79.87</v>
      </c>
      <c r="G138" s="1">
        <v>99.914000000000001</v>
      </c>
    </row>
    <row r="139" spans="1:7" x14ac:dyDescent="0.2">
      <c r="A139" s="1" t="s">
        <v>184</v>
      </c>
      <c r="B139" s="1">
        <v>880.2</v>
      </c>
      <c r="C139" s="1">
        <v>1009</v>
      </c>
      <c r="D139" s="1">
        <v>934</v>
      </c>
      <c r="E139" s="1">
        <v>605</v>
      </c>
      <c r="F139" s="1">
        <v>78.47</v>
      </c>
      <c r="G139" s="1">
        <v>102.27200000000001</v>
      </c>
    </row>
    <row r="140" spans="1:7" x14ac:dyDescent="0.2">
      <c r="A140" s="1" t="s">
        <v>185</v>
      </c>
      <c r="B140" s="1">
        <v>895.72</v>
      </c>
      <c r="C140" s="1">
        <v>1091</v>
      </c>
      <c r="D140" s="1">
        <v>1014</v>
      </c>
      <c r="E140" s="1">
        <v>620</v>
      </c>
      <c r="F140" s="1">
        <v>74.900000000000006</v>
      </c>
      <c r="G140" s="1">
        <v>102.91200000000001</v>
      </c>
    </row>
    <row r="141" spans="1:7" x14ac:dyDescent="0.2">
      <c r="A141" s="1" t="s">
        <v>186</v>
      </c>
      <c r="B141" s="1">
        <v>919.63</v>
      </c>
      <c r="C141" s="1">
        <v>1240</v>
      </c>
      <c r="D141" s="1">
        <v>1070</v>
      </c>
      <c r="E141" s="1">
        <v>604</v>
      </c>
      <c r="F141" s="1">
        <v>73.849999999999994</v>
      </c>
      <c r="G141" s="1">
        <v>102.90300000000001</v>
      </c>
    </row>
    <row r="142" spans="1:7" x14ac:dyDescent="0.2">
      <c r="A142" s="1" t="s">
        <v>187</v>
      </c>
      <c r="B142" s="1">
        <v>926.63</v>
      </c>
      <c r="C142" s="1">
        <v>1076</v>
      </c>
      <c r="D142" s="1">
        <v>1175</v>
      </c>
      <c r="E142" s="1">
        <v>590</v>
      </c>
      <c r="F142" s="1">
        <v>76.61</v>
      </c>
      <c r="G142" s="1">
        <v>102.24299999999999</v>
      </c>
    </row>
    <row r="143" spans="1:7" x14ac:dyDescent="0.2">
      <c r="A143" s="1" t="s">
        <v>188</v>
      </c>
      <c r="B143" s="1">
        <v>921.48</v>
      </c>
      <c r="C143" s="1">
        <v>1055</v>
      </c>
      <c r="D143" s="1">
        <v>1049</v>
      </c>
      <c r="E143" s="1">
        <v>608</v>
      </c>
      <c r="F143" s="1">
        <v>74.790000000000006</v>
      </c>
      <c r="G143" s="1">
        <v>103.557</v>
      </c>
    </row>
    <row r="144" spans="1:7" x14ac:dyDescent="0.2">
      <c r="A144" s="1" t="s">
        <v>189</v>
      </c>
      <c r="B144" s="1">
        <v>930.97</v>
      </c>
      <c r="C144" s="1">
        <v>919</v>
      </c>
      <c r="D144" s="1">
        <v>1068</v>
      </c>
      <c r="E144" s="1">
        <v>676</v>
      </c>
      <c r="F144" s="1">
        <v>76.13</v>
      </c>
      <c r="G144" s="1">
        <v>104.015</v>
      </c>
    </row>
    <row r="145" spans="1:7" x14ac:dyDescent="0.2">
      <c r="A145" s="1" t="s">
        <v>190</v>
      </c>
      <c r="B145" s="1">
        <v>938.74</v>
      </c>
      <c r="C145" s="1">
        <v>1172</v>
      </c>
      <c r="D145" s="1">
        <v>1156</v>
      </c>
      <c r="E145" s="1">
        <v>670</v>
      </c>
      <c r="F145" s="1">
        <v>76.95</v>
      </c>
      <c r="G145" s="1">
        <v>104.206</v>
      </c>
    </row>
    <row r="146" spans="1:7" x14ac:dyDescent="0.2">
      <c r="A146" s="1" t="s">
        <v>191</v>
      </c>
      <c r="B146" s="1">
        <v>946.18</v>
      </c>
      <c r="C146" s="1">
        <v>1384</v>
      </c>
      <c r="D146" s="1">
        <v>1306</v>
      </c>
      <c r="E146" s="1">
        <v>585</v>
      </c>
      <c r="F146" s="1">
        <v>75.58</v>
      </c>
      <c r="G146" s="1">
        <v>103.19799999999999</v>
      </c>
    </row>
    <row r="147" spans="1:7" x14ac:dyDescent="0.2">
      <c r="A147" s="1" t="s">
        <v>192</v>
      </c>
      <c r="B147" s="1">
        <v>955.93</v>
      </c>
      <c r="C147" s="1">
        <v>1558</v>
      </c>
      <c r="D147" s="1">
        <v>1252</v>
      </c>
      <c r="E147" s="1">
        <v>633</v>
      </c>
      <c r="F147" s="1">
        <v>74.17</v>
      </c>
      <c r="G147" s="1">
        <v>102.681</v>
      </c>
    </row>
    <row r="148" spans="1:7" x14ac:dyDescent="0.2">
      <c r="A148" s="1" t="s">
        <v>193</v>
      </c>
      <c r="B148" s="1">
        <v>967.58</v>
      </c>
      <c r="C148" s="1">
        <v>1558</v>
      </c>
      <c r="D148" s="1">
        <v>1072</v>
      </c>
      <c r="E148" s="1">
        <v>694</v>
      </c>
      <c r="F148" s="1">
        <v>75.3</v>
      </c>
      <c r="G148" s="1">
        <v>101.214</v>
      </c>
    </row>
    <row r="149" spans="1:7" x14ac:dyDescent="0.2">
      <c r="A149" s="1" t="s">
        <v>194</v>
      </c>
      <c r="B149" s="1">
        <v>964.49</v>
      </c>
      <c r="C149" s="1">
        <v>1576</v>
      </c>
      <c r="D149" s="1">
        <v>1046</v>
      </c>
      <c r="E149" s="1">
        <v>752</v>
      </c>
      <c r="F149" s="1">
        <v>79.540000000000006</v>
      </c>
      <c r="G149" s="1">
        <v>101.65900000000001</v>
      </c>
    </row>
    <row r="150" spans="1:7" x14ac:dyDescent="0.2">
      <c r="A150" s="1" t="s">
        <v>195</v>
      </c>
      <c r="B150" s="1">
        <v>934.39</v>
      </c>
      <c r="C150" s="1">
        <v>1504</v>
      </c>
      <c r="D150" s="1">
        <v>1146</v>
      </c>
      <c r="E150" s="1">
        <v>968</v>
      </c>
      <c r="F150" s="1">
        <v>81.66</v>
      </c>
      <c r="G150" s="1">
        <v>101.822</v>
      </c>
    </row>
    <row r="151" spans="1:7" x14ac:dyDescent="0.2">
      <c r="A151" s="1" t="s">
        <v>196</v>
      </c>
      <c r="B151" s="1">
        <v>942.14</v>
      </c>
      <c r="C151" s="1">
        <v>1435</v>
      </c>
      <c r="D151" s="1">
        <v>1242</v>
      </c>
      <c r="E151" s="1">
        <v>958</v>
      </c>
      <c r="F151" s="1">
        <v>86.31</v>
      </c>
      <c r="G151" s="1">
        <v>101.55200000000001</v>
      </c>
    </row>
    <row r="152" spans="1:7" x14ac:dyDescent="0.2">
      <c r="A152" s="1" t="s">
        <v>197</v>
      </c>
      <c r="B152" s="1">
        <v>952.89</v>
      </c>
      <c r="C152" s="1">
        <v>1560</v>
      </c>
      <c r="D152" s="1">
        <v>1319</v>
      </c>
      <c r="E152" s="1">
        <v>1014</v>
      </c>
      <c r="F152" s="1">
        <v>85.12</v>
      </c>
      <c r="G152" s="1">
        <v>102.092</v>
      </c>
    </row>
    <row r="153" spans="1:7" x14ac:dyDescent="0.2">
      <c r="A153" s="1" t="s">
        <v>198</v>
      </c>
      <c r="B153" s="1">
        <v>958.43</v>
      </c>
      <c r="C153" s="1">
        <v>1389</v>
      </c>
      <c r="D153" s="1">
        <v>1428</v>
      </c>
      <c r="E153" s="1">
        <v>1248</v>
      </c>
      <c r="F153" s="1">
        <v>79.77</v>
      </c>
      <c r="G153" s="1">
        <v>102.506</v>
      </c>
    </row>
    <row r="154" spans="1:7" x14ac:dyDescent="0.2">
      <c r="A154" s="1" t="s">
        <v>199</v>
      </c>
      <c r="B154" s="1">
        <v>977.12</v>
      </c>
      <c r="C154" s="1">
        <v>1489</v>
      </c>
      <c r="D154" s="1">
        <v>1622</v>
      </c>
      <c r="E154" s="1">
        <v>1200</v>
      </c>
      <c r="F154" s="1">
        <v>74.989999999999995</v>
      </c>
      <c r="G154" s="1">
        <v>103.116</v>
      </c>
    </row>
    <row r="155" spans="1:7" x14ac:dyDescent="0.2">
      <c r="A155" s="1" t="s">
        <v>200</v>
      </c>
      <c r="B155" s="1">
        <v>992.5</v>
      </c>
      <c r="C155" s="1">
        <v>1535</v>
      </c>
      <c r="D155" s="1">
        <v>1579</v>
      </c>
      <c r="E155" s="1">
        <v>1070</v>
      </c>
      <c r="F155" s="1">
        <v>72.97</v>
      </c>
      <c r="G155" s="1">
        <v>103.708</v>
      </c>
    </row>
    <row r="156" spans="1:7" x14ac:dyDescent="0.2">
      <c r="A156" s="1" t="s">
        <v>201</v>
      </c>
      <c r="B156" s="1">
        <v>1020.6</v>
      </c>
      <c r="C156" s="1">
        <v>1424</v>
      </c>
      <c r="D156" s="1">
        <v>1487</v>
      </c>
      <c r="E156" s="1">
        <v>905</v>
      </c>
      <c r="F156" s="1">
        <v>82.78</v>
      </c>
      <c r="G156" s="1">
        <v>104.57599999999999</v>
      </c>
    </row>
    <row r="157" spans="1:7" x14ac:dyDescent="0.2">
      <c r="A157" s="1" t="s">
        <v>202</v>
      </c>
      <c r="B157" s="1">
        <v>1057.68</v>
      </c>
      <c r="C157" s="1">
        <v>1211</v>
      </c>
      <c r="D157" s="1">
        <v>1483</v>
      </c>
      <c r="E157" s="1">
        <v>789</v>
      </c>
      <c r="F157" s="1">
        <v>85.83</v>
      </c>
      <c r="G157" s="1">
        <v>104.521</v>
      </c>
    </row>
    <row r="158" spans="1:7" x14ac:dyDescent="0.2">
      <c r="A158" s="1" t="s">
        <v>203</v>
      </c>
      <c r="B158" s="1">
        <v>1077.75</v>
      </c>
      <c r="C158" s="1">
        <v>883</v>
      </c>
      <c r="D158" s="1">
        <v>1338</v>
      </c>
      <c r="E158" s="1">
        <v>955</v>
      </c>
      <c r="F158" s="1">
        <v>83.16</v>
      </c>
      <c r="G158" s="1">
        <v>105.214</v>
      </c>
    </row>
    <row r="159" spans="1:7" x14ac:dyDescent="0.2">
      <c r="A159" s="1" t="s">
        <v>204</v>
      </c>
      <c r="B159" s="1">
        <v>1094.05</v>
      </c>
      <c r="C159" s="1">
        <v>538</v>
      </c>
      <c r="D159" s="1">
        <v>1261</v>
      </c>
      <c r="E159" s="1">
        <v>1084</v>
      </c>
      <c r="F159" s="1">
        <v>83</v>
      </c>
      <c r="G159" s="1">
        <v>103.86199999999999</v>
      </c>
    </row>
    <row r="160" spans="1:7" x14ac:dyDescent="0.2">
      <c r="A160" s="1" t="s">
        <v>205</v>
      </c>
      <c r="B160" s="1">
        <v>1133.0999999999999</v>
      </c>
      <c r="C160" s="1">
        <v>602</v>
      </c>
      <c r="D160" s="1">
        <v>1206</v>
      </c>
      <c r="E160" s="1">
        <v>875</v>
      </c>
      <c r="F160" s="1">
        <v>86.39</v>
      </c>
      <c r="G160" s="1">
        <v>103.63</v>
      </c>
    </row>
    <row r="161" spans="1:7" x14ac:dyDescent="0.2">
      <c r="A161" s="1" t="s">
        <v>206</v>
      </c>
      <c r="B161" s="1">
        <v>1110</v>
      </c>
      <c r="C161" s="1">
        <v>621</v>
      </c>
      <c r="D161" s="1">
        <v>1239</v>
      </c>
      <c r="E161" s="1">
        <v>629</v>
      </c>
      <c r="F161" s="1">
        <v>79.94</v>
      </c>
      <c r="G161" s="1">
        <v>102.91500000000001</v>
      </c>
    </row>
    <row r="162" spans="1:7" x14ac:dyDescent="0.2">
      <c r="A162" s="1" t="s">
        <v>207</v>
      </c>
      <c r="B162" s="8">
        <v>1160.5899999999999</v>
      </c>
      <c r="C162" s="1">
        <v>676</v>
      </c>
      <c r="D162" s="1">
        <v>1323</v>
      </c>
      <c r="E162" s="1">
        <v>659</v>
      </c>
      <c r="F162" s="1">
        <v>86.66</v>
      </c>
      <c r="G162" s="1">
        <v>101.92700000000001</v>
      </c>
    </row>
    <row r="163" spans="1:7" x14ac:dyDescent="0.2">
      <c r="A163" s="1" t="s">
        <v>208</v>
      </c>
      <c r="B163" s="1">
        <v>1160.5899999999999</v>
      </c>
      <c r="C163" s="1">
        <v>763</v>
      </c>
      <c r="D163" s="1">
        <v>1415</v>
      </c>
      <c r="E163" s="1">
        <v>715</v>
      </c>
      <c r="F163" s="1">
        <v>87.63</v>
      </c>
      <c r="G163" s="1">
        <v>102.012</v>
      </c>
    </row>
    <row r="164" spans="1:7" x14ac:dyDescent="0.2">
      <c r="A164" s="1" t="s">
        <v>209</v>
      </c>
      <c r="B164" s="1">
        <v>1201.55</v>
      </c>
      <c r="C164" s="1">
        <v>946</v>
      </c>
      <c r="D164" s="1">
        <v>1445</v>
      </c>
      <c r="E164" s="1">
        <v>857</v>
      </c>
      <c r="F164" s="1">
        <v>85.28</v>
      </c>
      <c r="G164" s="1">
        <v>102.20399999999999</v>
      </c>
    </row>
    <row r="165" spans="1:7" x14ac:dyDescent="0.2">
      <c r="A165" s="1" t="s">
        <v>210</v>
      </c>
      <c r="B165" s="1">
        <v>1255.8900000000001</v>
      </c>
      <c r="C165" s="1">
        <v>1130</v>
      </c>
      <c r="D165" s="1">
        <v>1391</v>
      </c>
      <c r="E165" s="1">
        <v>1068</v>
      </c>
      <c r="F165" s="1">
        <v>78.569999999999993</v>
      </c>
      <c r="G165" s="1">
        <v>103.879</v>
      </c>
    </row>
    <row r="166" spans="1:7" x14ac:dyDescent="0.2">
      <c r="A166" s="1" t="s">
        <v>211</v>
      </c>
      <c r="B166" s="1">
        <v>1271.31</v>
      </c>
      <c r="C166" s="8">
        <v>1250</v>
      </c>
      <c r="D166" s="8">
        <v>1465</v>
      </c>
      <c r="E166" s="8">
        <v>1205</v>
      </c>
      <c r="F166" s="1">
        <v>85.91</v>
      </c>
      <c r="G166" s="1">
        <v>103.52200000000001</v>
      </c>
    </row>
    <row r="167" spans="1:7" x14ac:dyDescent="0.2">
      <c r="A167" s="1" t="s">
        <v>212</v>
      </c>
      <c r="B167" s="1">
        <v>1307.54</v>
      </c>
      <c r="C167" s="1">
        <v>1515</v>
      </c>
      <c r="D167" s="1">
        <v>1873</v>
      </c>
      <c r="E167" s="1">
        <v>2135</v>
      </c>
      <c r="F167" s="1">
        <v>83.92</v>
      </c>
      <c r="G167" s="1">
        <v>104.31399999999999</v>
      </c>
    </row>
    <row r="168" spans="1:7" x14ac:dyDescent="0.2">
      <c r="A168" s="1" t="s">
        <v>213</v>
      </c>
      <c r="B168" s="1">
        <v>1339.43</v>
      </c>
      <c r="C168" s="1">
        <v>1560</v>
      </c>
      <c r="D168" s="1">
        <v>2078</v>
      </c>
      <c r="E168" s="1">
        <v>2051</v>
      </c>
      <c r="F168" s="1">
        <v>79.040000000000006</v>
      </c>
      <c r="G168" s="1">
        <v>104.70099999999999</v>
      </c>
    </row>
    <row r="169" spans="1:7" x14ac:dyDescent="0.2">
      <c r="A169" s="1" t="s">
        <v>214</v>
      </c>
      <c r="B169" s="1">
        <v>1410.11</v>
      </c>
      <c r="C169" s="1">
        <v>1386</v>
      </c>
      <c r="D169" s="1">
        <v>2110</v>
      </c>
      <c r="E169" s="1">
        <v>1835</v>
      </c>
      <c r="F169" s="1">
        <v>76.099999999999994</v>
      </c>
      <c r="G169" s="1">
        <v>104.81</v>
      </c>
    </row>
    <row r="170" spans="1:7" x14ac:dyDescent="0.2">
      <c r="A170" s="1" t="s">
        <v>215</v>
      </c>
      <c r="B170" s="1">
        <v>1464.76</v>
      </c>
      <c r="C170" s="1">
        <v>1324</v>
      </c>
      <c r="D170" s="1">
        <v>2220</v>
      </c>
      <c r="E170" s="1">
        <v>1806</v>
      </c>
      <c r="F170" s="1">
        <v>85.57</v>
      </c>
      <c r="G170" s="1">
        <v>104.545</v>
      </c>
    </row>
    <row r="171" spans="1:7" x14ac:dyDescent="0.2">
      <c r="A171" s="1" t="s">
        <v>216</v>
      </c>
      <c r="B171" s="1">
        <v>1563.46</v>
      </c>
      <c r="C171" s="1">
        <v>1324</v>
      </c>
      <c r="D171" s="1">
        <v>2494</v>
      </c>
      <c r="E171" s="1">
        <v>1770</v>
      </c>
      <c r="F171" s="1">
        <v>83.63</v>
      </c>
      <c r="G171" s="1">
        <v>105.959</v>
      </c>
    </row>
    <row r="172" spans="1:7" x14ac:dyDescent="0.2">
      <c r="A172" s="1" t="s">
        <v>217</v>
      </c>
      <c r="B172" s="1">
        <v>1651.26</v>
      </c>
      <c r="C172" s="1">
        <v>1189</v>
      </c>
      <c r="D172" s="1">
        <v>2365</v>
      </c>
      <c r="E172" s="1">
        <v>1461</v>
      </c>
      <c r="F172" s="1">
        <v>87.62</v>
      </c>
      <c r="G172" s="1">
        <v>106.93</v>
      </c>
    </row>
    <row r="173" spans="1:7" x14ac:dyDescent="0.2">
      <c r="A173" s="1" t="s">
        <v>218</v>
      </c>
      <c r="B173" s="1">
        <v>1729.92</v>
      </c>
      <c r="C173" s="1">
        <v>1355</v>
      </c>
      <c r="D173" s="1">
        <v>1894</v>
      </c>
      <c r="E173" s="1">
        <v>1340</v>
      </c>
      <c r="F173" s="1">
        <v>95.99</v>
      </c>
      <c r="G173" s="1">
        <v>106.292</v>
      </c>
    </row>
    <row r="174" spans="1:7" x14ac:dyDescent="0.2">
      <c r="A174" s="1" t="s">
        <v>219</v>
      </c>
      <c r="B174" s="1">
        <v>1790.86</v>
      </c>
      <c r="C174" s="1">
        <v>1323</v>
      </c>
      <c r="D174" s="1">
        <v>1836</v>
      </c>
      <c r="E174" s="1">
        <v>1199</v>
      </c>
      <c r="F174" s="1">
        <v>98.57</v>
      </c>
      <c r="G174" s="1">
        <v>110.877</v>
      </c>
    </row>
    <row r="175" spans="1:7" x14ac:dyDescent="0.2">
      <c r="A175" s="1" t="s">
        <v>220</v>
      </c>
      <c r="B175" s="1">
        <v>1862.25</v>
      </c>
      <c r="C175" s="1">
        <v>1534</v>
      </c>
      <c r="D175" s="1">
        <v>1823</v>
      </c>
      <c r="E175" s="1">
        <v>1227</v>
      </c>
      <c r="F175" s="1">
        <v>95.77</v>
      </c>
      <c r="G175" s="1">
        <v>110.752</v>
      </c>
    </row>
    <row r="176" spans="1:7" x14ac:dyDescent="0.2">
      <c r="A176" s="1" t="s">
        <v>221</v>
      </c>
      <c r="B176" s="1">
        <v>1959.96</v>
      </c>
      <c r="C176" s="1">
        <v>1819</v>
      </c>
      <c r="D176" s="1">
        <v>1737</v>
      </c>
      <c r="E176" s="1">
        <v>1232</v>
      </c>
      <c r="F176" s="1">
        <v>93.5</v>
      </c>
      <c r="G176" s="1">
        <v>112.012</v>
      </c>
    </row>
    <row r="177" spans="1:7" x14ac:dyDescent="0.2">
      <c r="A177" s="1" t="s">
        <v>222</v>
      </c>
      <c r="B177" s="1">
        <v>2026.26</v>
      </c>
      <c r="C177" s="1">
        <v>1838</v>
      </c>
      <c r="D177" s="1">
        <v>1554</v>
      </c>
      <c r="E177" s="1">
        <v>1226</v>
      </c>
      <c r="F177" s="1">
        <v>91.63</v>
      </c>
      <c r="G177" s="1">
        <v>113.31100000000001</v>
      </c>
    </row>
    <row r="178" spans="1:7" x14ac:dyDescent="0.2">
      <c r="A178" s="1" t="s">
        <v>223</v>
      </c>
      <c r="B178" s="8">
        <v>2328.81</v>
      </c>
      <c r="C178" s="1">
        <v>1961</v>
      </c>
      <c r="D178" s="1">
        <v>1461</v>
      </c>
      <c r="E178" s="1">
        <v>1150</v>
      </c>
      <c r="F178" s="1">
        <v>97.92</v>
      </c>
      <c r="G178" s="1">
        <v>112.795</v>
      </c>
    </row>
    <row r="179" spans="1:7" x14ac:dyDescent="0.2">
      <c r="A179" s="1" t="s">
        <v>224</v>
      </c>
      <c r="B179" s="1">
        <v>2328.81</v>
      </c>
      <c r="C179" s="1">
        <v>1760</v>
      </c>
      <c r="D179" s="1">
        <v>1477</v>
      </c>
      <c r="E179" s="1">
        <v>1162</v>
      </c>
      <c r="F179" s="1">
        <v>87.96</v>
      </c>
      <c r="G179" s="1">
        <v>112.117</v>
      </c>
    </row>
    <row r="180" spans="1:7" x14ac:dyDescent="0.2">
      <c r="A180" s="1" t="s">
        <v>225</v>
      </c>
      <c r="B180" s="1">
        <v>2475.9699999999998</v>
      </c>
      <c r="C180" s="1">
        <v>1816</v>
      </c>
      <c r="D180" s="1">
        <v>1498</v>
      </c>
      <c r="E180" s="1">
        <v>1242</v>
      </c>
      <c r="F180" s="1">
        <v>86.15</v>
      </c>
      <c r="G180" s="1">
        <v>113.19199999999999</v>
      </c>
    </row>
    <row r="181" spans="1:7" x14ac:dyDescent="0.2">
      <c r="A181" s="1" t="s">
        <v>226</v>
      </c>
      <c r="B181" s="1">
        <v>2609.09</v>
      </c>
      <c r="C181" s="1">
        <v>1553</v>
      </c>
      <c r="D181" s="1">
        <v>1492</v>
      </c>
      <c r="E181" s="1">
        <v>1255</v>
      </c>
      <c r="F181" s="1">
        <v>91.35</v>
      </c>
      <c r="G181" s="1">
        <v>109.764</v>
      </c>
    </row>
    <row r="182" spans="1:7" x14ac:dyDescent="0.2">
      <c r="A182" s="1" t="s">
        <v>227</v>
      </c>
      <c r="B182" s="1">
        <v>2722.77</v>
      </c>
      <c r="C182" s="1">
        <v>1213</v>
      </c>
      <c r="D182" s="1">
        <v>1432</v>
      </c>
      <c r="E182" s="1">
        <v>1211</v>
      </c>
      <c r="F182" s="1">
        <v>92.84</v>
      </c>
      <c r="G182" s="1">
        <v>109.003</v>
      </c>
    </row>
    <row r="183" spans="1:7" x14ac:dyDescent="0.2">
      <c r="A183" s="1" t="s">
        <v>228</v>
      </c>
      <c r="B183" s="1">
        <v>2830.11</v>
      </c>
      <c r="C183" s="1">
        <v>1086</v>
      </c>
      <c r="D183" s="1">
        <v>1489</v>
      </c>
      <c r="E183" s="1">
        <v>1171</v>
      </c>
      <c r="F183" s="1">
        <v>93.02</v>
      </c>
      <c r="G183" s="1">
        <v>109.53400000000001</v>
      </c>
    </row>
    <row r="184" spans="1:7" x14ac:dyDescent="0.2">
      <c r="A184" s="1" t="s">
        <v>229</v>
      </c>
      <c r="B184" s="1">
        <v>2904</v>
      </c>
      <c r="C184" s="1">
        <v>1082</v>
      </c>
      <c r="D184" s="1">
        <v>1554</v>
      </c>
      <c r="E184" s="1">
        <v>1284</v>
      </c>
      <c r="F184" s="1">
        <v>100.99</v>
      </c>
      <c r="G184" s="1">
        <v>108.803</v>
      </c>
    </row>
    <row r="185" spans="1:7" x14ac:dyDescent="0.2">
      <c r="A185" s="1" t="s">
        <v>230</v>
      </c>
      <c r="B185" s="1">
        <v>2993.67</v>
      </c>
      <c r="C185" s="1">
        <v>1279</v>
      </c>
      <c r="D185" s="1">
        <v>1554</v>
      </c>
      <c r="E185" s="1">
        <v>1314</v>
      </c>
      <c r="F185" s="1">
        <v>96.72</v>
      </c>
      <c r="G185" s="1">
        <v>108.169</v>
      </c>
    </row>
    <row r="186" spans="1:7" x14ac:dyDescent="0.2">
      <c r="A186" s="1" t="s">
        <v>231</v>
      </c>
      <c r="B186" s="1">
        <v>3073.28</v>
      </c>
      <c r="C186" s="1">
        <v>1477</v>
      </c>
      <c r="D186" s="1">
        <v>1475</v>
      </c>
      <c r="E186" s="1">
        <v>1423</v>
      </c>
      <c r="F186" s="1">
        <v>98.15</v>
      </c>
      <c r="G186" s="1">
        <v>105.631</v>
      </c>
    </row>
    <row r="187" spans="1:7" x14ac:dyDescent="0.2">
      <c r="A187" s="1" t="s">
        <v>232</v>
      </c>
      <c r="B187" s="1">
        <v>3163.45</v>
      </c>
      <c r="C187" s="1">
        <v>1560</v>
      </c>
      <c r="D187" s="1">
        <v>1448</v>
      </c>
      <c r="E187" s="1">
        <v>1404</v>
      </c>
      <c r="F187" s="1">
        <v>94.92</v>
      </c>
      <c r="G187" s="1">
        <v>106.621</v>
      </c>
    </row>
    <row r="188" spans="1:7" x14ac:dyDescent="0.2">
      <c r="A188" s="1" t="s">
        <v>233</v>
      </c>
      <c r="B188" s="1">
        <v>3188.61</v>
      </c>
      <c r="C188" s="1">
        <v>1895</v>
      </c>
      <c r="D188" s="1">
        <v>1466</v>
      </c>
      <c r="E188" s="1">
        <v>1363</v>
      </c>
      <c r="F188" s="1">
        <v>110.01</v>
      </c>
      <c r="G188" s="1">
        <v>105.90300000000001</v>
      </c>
    </row>
    <row r="189" spans="1:7" x14ac:dyDescent="0.2">
      <c r="A189" s="1" t="s">
        <v>234</v>
      </c>
      <c r="B189" s="1">
        <v>3229.72</v>
      </c>
      <c r="C189" s="1">
        <v>2146</v>
      </c>
      <c r="D189" s="1">
        <v>1485</v>
      </c>
      <c r="E189" s="1">
        <v>1316</v>
      </c>
      <c r="F189" s="1">
        <v>103.2</v>
      </c>
      <c r="G189" s="1">
        <v>106.73</v>
      </c>
    </row>
    <row r="190" spans="1:7" x14ac:dyDescent="0.2">
      <c r="A190" s="1" t="s">
        <v>235</v>
      </c>
      <c r="B190" s="1">
        <v>3276.85</v>
      </c>
      <c r="C190" s="1">
        <v>2150</v>
      </c>
      <c r="D190" s="1">
        <v>1369</v>
      </c>
      <c r="E190" s="1">
        <v>1382</v>
      </c>
      <c r="F190" s="1">
        <v>101.16</v>
      </c>
      <c r="G190" s="1">
        <v>108.063</v>
      </c>
    </row>
    <row r="191" spans="1:7" x14ac:dyDescent="0.2">
      <c r="A191" s="1" t="s">
        <v>236</v>
      </c>
      <c r="B191" s="1">
        <v>3232.18</v>
      </c>
      <c r="C191" s="1">
        <v>2067</v>
      </c>
      <c r="D191" s="1">
        <v>1333</v>
      </c>
      <c r="E191" s="1">
        <v>1406</v>
      </c>
      <c r="F191" s="1">
        <v>107.02</v>
      </c>
      <c r="G191" s="1">
        <v>107.00700000000001</v>
      </c>
    </row>
    <row r="192" spans="1:7" x14ac:dyDescent="0.2">
      <c r="A192" s="1" t="s">
        <v>237</v>
      </c>
      <c r="B192" s="1">
        <v>3271.07</v>
      </c>
      <c r="C192" s="1">
        <v>2214</v>
      </c>
      <c r="D192" s="1">
        <v>1224</v>
      </c>
      <c r="E192" s="1">
        <v>1551</v>
      </c>
      <c r="F192" s="1">
        <v>111.63</v>
      </c>
      <c r="G192" s="1">
        <v>105.13800000000001</v>
      </c>
    </row>
    <row r="193" spans="1:7" x14ac:dyDescent="0.2">
      <c r="A193" s="1" t="s">
        <v>238</v>
      </c>
      <c r="B193" s="1">
        <v>3244.78</v>
      </c>
      <c r="C193" s="1">
        <v>2331</v>
      </c>
      <c r="D193" s="1">
        <v>1219</v>
      </c>
      <c r="E193" s="1">
        <v>1699</v>
      </c>
      <c r="F193" s="1">
        <v>113.12</v>
      </c>
      <c r="G193" s="1">
        <v>104.185</v>
      </c>
    </row>
    <row r="194" spans="1:7" x14ac:dyDescent="0.2">
      <c r="A194" s="1" t="s">
        <v>239</v>
      </c>
      <c r="B194" s="1">
        <v>3252.5</v>
      </c>
      <c r="C194" s="1">
        <v>2578</v>
      </c>
      <c r="D194" s="1">
        <v>1205</v>
      </c>
      <c r="E194" s="1">
        <v>1716</v>
      </c>
      <c r="F194" s="1">
        <v>113.12</v>
      </c>
      <c r="G194" s="1">
        <v>104.7</v>
      </c>
    </row>
    <row r="195" spans="1:7" x14ac:dyDescent="0.2">
      <c r="A195" s="1" t="s">
        <v>240</v>
      </c>
      <c r="B195" s="1">
        <v>3229.56</v>
      </c>
      <c r="C195" s="1">
        <v>2320</v>
      </c>
      <c r="D195" s="1">
        <v>1126</v>
      </c>
      <c r="E195" s="1">
        <v>1513</v>
      </c>
      <c r="F195" s="1">
        <v>122.01</v>
      </c>
      <c r="G195" s="1">
        <v>104.148</v>
      </c>
    </row>
    <row r="196" spans="1:7" x14ac:dyDescent="0.2">
      <c r="A196" s="1" t="s">
        <v>241</v>
      </c>
      <c r="B196" s="8">
        <v>3190.95</v>
      </c>
      <c r="C196" s="1">
        <v>2633</v>
      </c>
      <c r="D196" s="1">
        <v>1104</v>
      </c>
      <c r="E196" s="1">
        <v>1407</v>
      </c>
      <c r="F196" s="1">
        <v>119.72</v>
      </c>
      <c r="G196" s="1">
        <v>102.14</v>
      </c>
    </row>
    <row r="197" spans="1:7" x14ac:dyDescent="0.2">
      <c r="A197" s="1" t="s">
        <v>242</v>
      </c>
      <c r="B197" s="1">
        <v>3190.95</v>
      </c>
      <c r="C197" s="1">
        <v>2681</v>
      </c>
      <c r="D197" s="1">
        <v>1128</v>
      </c>
      <c r="E197" s="1">
        <v>1459</v>
      </c>
      <c r="F197" s="1">
        <v>119.43</v>
      </c>
      <c r="G197" s="1">
        <v>101.66800000000001</v>
      </c>
    </row>
    <row r="198" spans="1:7" x14ac:dyDescent="0.2">
      <c r="A198" s="1" t="s">
        <v>243</v>
      </c>
      <c r="B198" s="1">
        <v>3135.78</v>
      </c>
      <c r="C198" s="1">
        <v>3344</v>
      </c>
      <c r="D198" s="1">
        <v>1111</v>
      </c>
      <c r="E198" s="1">
        <v>1465</v>
      </c>
      <c r="F198" s="1">
        <v>112.55</v>
      </c>
      <c r="G198" s="1">
        <v>103.15</v>
      </c>
    </row>
    <row r="199" spans="1:7" x14ac:dyDescent="0.2">
      <c r="A199" s="1" t="s">
        <v>244</v>
      </c>
      <c r="B199" s="8">
        <v>3056.98</v>
      </c>
      <c r="C199" s="1">
        <v>3104</v>
      </c>
      <c r="D199" s="1">
        <v>1133</v>
      </c>
      <c r="E199" s="1">
        <v>1448</v>
      </c>
      <c r="F199" s="1">
        <v>111.55</v>
      </c>
      <c r="G199" s="1">
        <v>104.563</v>
      </c>
    </row>
    <row r="200" spans="1:7" x14ac:dyDescent="0.2">
      <c r="A200" s="1" t="s">
        <v>245</v>
      </c>
      <c r="B200" s="1">
        <v>3056.98</v>
      </c>
      <c r="C200" s="1">
        <v>2718</v>
      </c>
      <c r="D200" s="1">
        <v>1162</v>
      </c>
      <c r="E200" s="1">
        <v>1398</v>
      </c>
      <c r="F200" s="1">
        <v>112.39</v>
      </c>
      <c r="G200" s="1">
        <v>103.66</v>
      </c>
    </row>
    <row r="201" spans="1:7" x14ac:dyDescent="0.2">
      <c r="A201" s="1" t="s">
        <v>246</v>
      </c>
      <c r="B201" s="1">
        <v>3096.85</v>
      </c>
      <c r="C201" s="1">
        <v>2404</v>
      </c>
      <c r="D201" s="1">
        <v>1253</v>
      </c>
      <c r="E201" s="1">
        <v>1255</v>
      </c>
      <c r="F201" s="1">
        <v>109.34</v>
      </c>
      <c r="G201" s="1">
        <v>102.959</v>
      </c>
    </row>
    <row r="202" spans="1:7" x14ac:dyDescent="0.2">
      <c r="A202" s="1" t="s">
        <v>247</v>
      </c>
      <c r="B202" s="1">
        <v>3109.78</v>
      </c>
      <c r="C202" s="1">
        <v>2307</v>
      </c>
      <c r="D202" s="1">
        <v>1465</v>
      </c>
      <c r="E202" s="1">
        <v>1076</v>
      </c>
      <c r="F202" s="1">
        <v>106.65</v>
      </c>
      <c r="G202" s="1">
        <v>101.22</v>
      </c>
    </row>
    <row r="203" spans="1:7" x14ac:dyDescent="0.2">
      <c r="A203" s="1" t="s">
        <v>248</v>
      </c>
      <c r="B203" s="1">
        <v>3128.45</v>
      </c>
      <c r="C203" s="1">
        <v>2137</v>
      </c>
      <c r="D203" s="1">
        <v>1714</v>
      </c>
      <c r="E203" s="1">
        <v>1076</v>
      </c>
      <c r="F203" s="1">
        <v>111.7</v>
      </c>
      <c r="G203" s="1">
        <v>100.5</v>
      </c>
    </row>
    <row r="204" spans="1:7" x14ac:dyDescent="0.2">
      <c r="A204" s="1" t="s">
        <v>249</v>
      </c>
      <c r="B204" s="1">
        <v>3117.75</v>
      </c>
      <c r="C204" s="1">
        <v>2055</v>
      </c>
      <c r="D204" s="1">
        <v>1677</v>
      </c>
      <c r="E204" s="1">
        <v>898</v>
      </c>
      <c r="F204" s="1">
        <v>102.78</v>
      </c>
      <c r="G204" s="1">
        <v>99.796000000000006</v>
      </c>
    </row>
    <row r="205" spans="1:7" x14ac:dyDescent="0.2">
      <c r="A205" s="1" t="s">
        <v>250</v>
      </c>
      <c r="B205" s="1">
        <v>3204.83</v>
      </c>
      <c r="C205" s="1">
        <v>2357</v>
      </c>
      <c r="D205" s="1">
        <v>1321</v>
      </c>
      <c r="E205" s="1">
        <v>917</v>
      </c>
      <c r="F205" s="1">
        <v>104.39</v>
      </c>
      <c r="G205" s="1">
        <v>98.632000000000005</v>
      </c>
    </row>
    <row r="206" spans="1:7" x14ac:dyDescent="0.2">
      <c r="A206" s="1" t="s">
        <v>251</v>
      </c>
      <c r="B206" s="1">
        <v>3274.9</v>
      </c>
      <c r="C206" s="1">
        <v>2544</v>
      </c>
      <c r="D206" s="1">
        <v>1112</v>
      </c>
      <c r="E206" s="1">
        <v>933</v>
      </c>
      <c r="F206" s="1">
        <v>120.65</v>
      </c>
      <c r="G206" s="1">
        <v>98.789000000000001</v>
      </c>
    </row>
    <row r="207" spans="1:7" x14ac:dyDescent="0.2">
      <c r="A207" s="1" t="s">
        <v>252</v>
      </c>
      <c r="B207" s="1">
        <v>3301.1</v>
      </c>
      <c r="C207" s="1">
        <v>2605</v>
      </c>
      <c r="D207" s="1">
        <v>1127</v>
      </c>
      <c r="E207" s="1">
        <v>994</v>
      </c>
      <c r="F207" s="1">
        <v>107.93</v>
      </c>
      <c r="G207" s="1">
        <v>98.233000000000004</v>
      </c>
    </row>
    <row r="208" spans="1:7" x14ac:dyDescent="0.2">
      <c r="A208" s="1" t="s">
        <v>253</v>
      </c>
      <c r="B208" s="1">
        <v>3366.01</v>
      </c>
      <c r="C208" s="1">
        <v>2718</v>
      </c>
      <c r="D208" s="1">
        <v>1312</v>
      </c>
      <c r="E208" s="1">
        <v>1054</v>
      </c>
      <c r="F208" s="1">
        <v>112.67</v>
      </c>
      <c r="G208" s="1">
        <v>99.123999999999995</v>
      </c>
    </row>
    <row r="209" spans="1:7" x14ac:dyDescent="0.2">
      <c r="A209" s="1" t="s">
        <v>254</v>
      </c>
      <c r="B209" s="1">
        <v>3388.59</v>
      </c>
      <c r="C209" s="1">
        <v>2148</v>
      </c>
      <c r="D209" s="1">
        <v>1474</v>
      </c>
      <c r="E209" s="1">
        <v>989</v>
      </c>
      <c r="F209" s="1">
        <v>118.11</v>
      </c>
      <c r="G209" s="1">
        <v>98.647999999999996</v>
      </c>
    </row>
    <row r="210" spans="1:7" x14ac:dyDescent="0.2">
      <c r="A210" s="1" t="s">
        <v>255</v>
      </c>
      <c r="B210" s="1">
        <v>3425.58</v>
      </c>
      <c r="C210" s="1">
        <v>2076</v>
      </c>
      <c r="D210" s="1">
        <v>1147</v>
      </c>
      <c r="E210" s="1">
        <v>696</v>
      </c>
      <c r="F210" s="1">
        <v>97.93</v>
      </c>
      <c r="G210" s="1">
        <v>96.614999999999995</v>
      </c>
    </row>
    <row r="211" spans="1:7" x14ac:dyDescent="0.2">
      <c r="A211" s="1" t="s">
        <v>256</v>
      </c>
      <c r="B211" s="8">
        <v>3587.91</v>
      </c>
      <c r="C211" s="1">
        <v>1964</v>
      </c>
      <c r="D211" s="1">
        <v>699</v>
      </c>
      <c r="E211" s="1">
        <v>687</v>
      </c>
      <c r="F211" s="1">
        <v>93.54</v>
      </c>
      <c r="G211" s="1">
        <v>96.043000000000006</v>
      </c>
    </row>
    <row r="212" spans="1:7" x14ac:dyDescent="0.2">
      <c r="A212" s="1" t="s">
        <v>257</v>
      </c>
      <c r="B212" s="1">
        <v>3587.91</v>
      </c>
      <c r="C212" s="1">
        <v>1977</v>
      </c>
      <c r="D212" s="1">
        <v>687</v>
      </c>
      <c r="E212" s="1">
        <v>645</v>
      </c>
      <c r="F212" s="1">
        <v>94.44</v>
      </c>
      <c r="G212" s="1">
        <v>96.081999999999994</v>
      </c>
    </row>
    <row r="213" spans="1:7" x14ac:dyDescent="0.2">
      <c r="A213" s="1" t="s">
        <v>258</v>
      </c>
      <c r="B213" s="8">
        <v>3565.33</v>
      </c>
      <c r="C213" s="1">
        <v>1423</v>
      </c>
      <c r="D213" s="1">
        <v>679</v>
      </c>
      <c r="E213" s="1">
        <v>589</v>
      </c>
      <c r="F213" s="1">
        <v>93.27</v>
      </c>
      <c r="G213" s="1">
        <v>95.484999999999999</v>
      </c>
    </row>
    <row r="214" spans="1:7" x14ac:dyDescent="0.2">
      <c r="A214" s="1" t="s">
        <v>259</v>
      </c>
      <c r="B214" s="1">
        <v>3565.33</v>
      </c>
      <c r="C214" s="1">
        <v>1381</v>
      </c>
      <c r="D214" s="1">
        <v>687</v>
      </c>
      <c r="E214" s="1">
        <v>554</v>
      </c>
      <c r="F214" s="1">
        <v>90.03</v>
      </c>
      <c r="G214" s="1">
        <v>97.27</v>
      </c>
    </row>
    <row r="215" spans="1:7" x14ac:dyDescent="0.2">
      <c r="A215" s="1" t="s">
        <v>260</v>
      </c>
      <c r="B215" s="1">
        <v>3555.24</v>
      </c>
      <c r="C215" s="1">
        <v>1415</v>
      </c>
      <c r="D215" s="1">
        <v>692</v>
      </c>
      <c r="E215" s="1">
        <v>551</v>
      </c>
      <c r="F215" s="1">
        <v>87.89</v>
      </c>
      <c r="G215" s="1">
        <v>95.641999999999996</v>
      </c>
    </row>
    <row r="216" spans="1:7" x14ac:dyDescent="0.2">
      <c r="A216" s="1" t="s">
        <v>261</v>
      </c>
      <c r="B216" s="1">
        <v>3489.94</v>
      </c>
      <c r="C216" s="1">
        <v>1764</v>
      </c>
      <c r="D216" s="1">
        <v>698</v>
      </c>
      <c r="E216" s="1">
        <v>593</v>
      </c>
      <c r="F216" s="1">
        <v>86.06</v>
      </c>
      <c r="G216" s="1">
        <v>95.165000000000006</v>
      </c>
    </row>
    <row r="217" spans="1:7" x14ac:dyDescent="0.2">
      <c r="A217" s="1" t="s">
        <v>262</v>
      </c>
      <c r="B217" s="1">
        <v>3432.79</v>
      </c>
      <c r="C217" s="1">
        <v>2289</v>
      </c>
      <c r="D217" s="1">
        <v>705</v>
      </c>
      <c r="E217" s="1">
        <v>627</v>
      </c>
      <c r="F217" s="1">
        <v>81.75</v>
      </c>
      <c r="G217" s="1">
        <v>95.718999999999994</v>
      </c>
    </row>
    <row r="218" spans="1:7" x14ac:dyDescent="0.2">
      <c r="A218" s="1" t="s">
        <v>263</v>
      </c>
      <c r="B218" s="1">
        <v>3344.24</v>
      </c>
      <c r="C218" s="8">
        <v>2285</v>
      </c>
      <c r="D218" s="8">
        <v>722</v>
      </c>
      <c r="E218" s="8">
        <v>675</v>
      </c>
      <c r="F218" s="1">
        <v>77.78</v>
      </c>
      <c r="G218" s="1">
        <v>95.67</v>
      </c>
    </row>
    <row r="219" spans="1:7" x14ac:dyDescent="0.2">
      <c r="A219" s="1" t="s">
        <v>264</v>
      </c>
      <c r="B219" s="1">
        <v>3300.19</v>
      </c>
      <c r="C219" s="1">
        <v>2217</v>
      </c>
      <c r="D219" s="1">
        <v>786</v>
      </c>
      <c r="E219" s="1">
        <v>788</v>
      </c>
      <c r="F219" s="1">
        <v>76.14</v>
      </c>
      <c r="G219" s="1">
        <v>96.019000000000005</v>
      </c>
    </row>
    <row r="220" spans="1:7" x14ac:dyDescent="0.2">
      <c r="A220" s="1" t="s">
        <v>265</v>
      </c>
      <c r="B220" s="1">
        <v>3245.22</v>
      </c>
      <c r="C220" s="1">
        <v>2379</v>
      </c>
      <c r="D220" s="1">
        <v>803</v>
      </c>
      <c r="E220" s="1">
        <v>812</v>
      </c>
      <c r="F220" s="1">
        <v>73.52</v>
      </c>
      <c r="G220" s="1">
        <v>96.564999999999998</v>
      </c>
    </row>
    <row r="221" spans="1:7" x14ac:dyDescent="0.2">
      <c r="A221" s="1" t="s">
        <v>266</v>
      </c>
      <c r="B221" s="1">
        <v>3238.35</v>
      </c>
      <c r="C221" s="1">
        <v>3272</v>
      </c>
      <c r="D221" s="1">
        <v>785</v>
      </c>
      <c r="E221" s="1">
        <v>838</v>
      </c>
      <c r="F221" s="1">
        <v>75.150000000000006</v>
      </c>
      <c r="G221" s="1">
        <v>96.096999999999994</v>
      </c>
    </row>
    <row r="222" spans="1:7" x14ac:dyDescent="0.2">
      <c r="A222" s="1" t="s">
        <v>267</v>
      </c>
      <c r="B222" s="1">
        <v>3199.03</v>
      </c>
      <c r="C222" s="1">
        <v>3171</v>
      </c>
      <c r="D222" s="1">
        <v>737</v>
      </c>
      <c r="E222" s="1">
        <v>651</v>
      </c>
      <c r="F222" s="1">
        <v>69.88</v>
      </c>
      <c r="G222" s="1">
        <v>96.117000000000004</v>
      </c>
    </row>
    <row r="223" spans="1:7" x14ac:dyDescent="0.2">
      <c r="A223" s="1" t="s">
        <v>268</v>
      </c>
      <c r="B223" s="1">
        <v>3199.98</v>
      </c>
      <c r="C223" s="1">
        <v>2767</v>
      </c>
      <c r="D223" s="1">
        <v>738</v>
      </c>
      <c r="E223" s="1">
        <v>632</v>
      </c>
      <c r="F223" s="1">
        <v>72.72</v>
      </c>
      <c r="G223" s="1">
        <v>96.088999999999999</v>
      </c>
    </row>
    <row r="224" spans="1:7" x14ac:dyDescent="0.2">
      <c r="A224" s="1" t="s">
        <v>269</v>
      </c>
      <c r="B224" s="1">
        <v>3245.59</v>
      </c>
      <c r="C224" s="1">
        <v>2552</v>
      </c>
      <c r="D224" s="1">
        <v>780</v>
      </c>
      <c r="E224" s="1">
        <v>596</v>
      </c>
      <c r="F224" s="1">
        <v>78.89</v>
      </c>
      <c r="G224" s="1">
        <v>96.031000000000006</v>
      </c>
    </row>
    <row r="225" spans="1:7" x14ac:dyDescent="0.2">
      <c r="A225" s="1" t="s">
        <v>270</v>
      </c>
      <c r="B225" s="1">
        <v>3232.37</v>
      </c>
      <c r="C225" s="1">
        <v>2807</v>
      </c>
      <c r="D225" s="1">
        <v>821</v>
      </c>
      <c r="E225" s="1">
        <v>618</v>
      </c>
      <c r="F225" s="1">
        <v>82.17</v>
      </c>
      <c r="G225" s="1">
        <v>95.128</v>
      </c>
    </row>
    <row r="226" spans="1:7" x14ac:dyDescent="0.2">
      <c r="A226" s="1" t="s">
        <v>271</v>
      </c>
      <c r="B226" s="1">
        <v>3284.93</v>
      </c>
      <c r="C226" s="1">
        <v>2715</v>
      </c>
      <c r="D226" s="1">
        <v>817</v>
      </c>
      <c r="E226" s="1">
        <v>554</v>
      </c>
      <c r="F226" s="1">
        <v>82.74</v>
      </c>
      <c r="G226" s="1">
        <v>94.32</v>
      </c>
    </row>
    <row r="227" spans="1:7" x14ac:dyDescent="0.2">
      <c r="A227" s="1" t="s">
        <v>272</v>
      </c>
      <c r="B227" s="1">
        <v>3277.71</v>
      </c>
      <c r="C227" s="1">
        <v>3519</v>
      </c>
      <c r="D227" s="1">
        <v>797</v>
      </c>
      <c r="E227" s="1">
        <v>568</v>
      </c>
      <c r="F227" s="1">
        <v>84.38</v>
      </c>
      <c r="G227" s="1">
        <v>94.123000000000005</v>
      </c>
    </row>
    <row r="228" spans="1:7" x14ac:dyDescent="0.2">
      <c r="A228" s="1" t="s">
        <v>273</v>
      </c>
      <c r="B228" s="1">
        <v>3315.27</v>
      </c>
      <c r="C228" s="1">
        <v>4410</v>
      </c>
      <c r="D228" s="1">
        <v>768</v>
      </c>
      <c r="E228" s="1">
        <v>566</v>
      </c>
      <c r="F228" s="1">
        <v>85.53</v>
      </c>
      <c r="G228" s="1">
        <v>93.641999999999996</v>
      </c>
    </row>
    <row r="229" spans="1:7" x14ac:dyDescent="0.2">
      <c r="A229" s="1" t="s">
        <v>274</v>
      </c>
      <c r="B229" s="1">
        <v>3300.34</v>
      </c>
      <c r="C229" s="1">
        <v>4854</v>
      </c>
      <c r="D229" s="1">
        <v>726</v>
      </c>
      <c r="E229" s="1">
        <v>550</v>
      </c>
      <c r="F229" s="1">
        <v>84.86</v>
      </c>
      <c r="G229" s="1">
        <v>93.936999999999998</v>
      </c>
    </row>
    <row r="230" spans="1:7" x14ac:dyDescent="0.2">
      <c r="A230" s="1" t="s">
        <v>275</v>
      </c>
      <c r="B230" s="1">
        <v>3300.34</v>
      </c>
      <c r="C230" s="1">
        <v>5526</v>
      </c>
      <c r="D230" s="1">
        <v>680</v>
      </c>
      <c r="E230" s="1">
        <v>473</v>
      </c>
      <c r="F230" s="1">
        <v>82.39</v>
      </c>
      <c r="G230" s="1">
        <v>94.066999999999993</v>
      </c>
    </row>
    <row r="231" spans="1:7" x14ac:dyDescent="0.2">
      <c r="A231" s="1" t="s">
        <v>276</v>
      </c>
      <c r="B231" s="1">
        <v>3220.55</v>
      </c>
      <c r="C231" s="1">
        <v>5202</v>
      </c>
      <c r="D231" s="1">
        <v>630</v>
      </c>
      <c r="E231" s="1">
        <v>496</v>
      </c>
      <c r="F231" s="1">
        <v>79.28</v>
      </c>
      <c r="G231" s="1">
        <v>94.034999999999997</v>
      </c>
    </row>
    <row r="232" spans="1:7" x14ac:dyDescent="0.2">
      <c r="A232" s="1" t="s">
        <v>277</v>
      </c>
      <c r="B232" s="1">
        <v>3235.26</v>
      </c>
      <c r="C232" s="1">
        <v>4644</v>
      </c>
      <c r="D232" s="1">
        <v>614</v>
      </c>
      <c r="E232" s="1">
        <v>489</v>
      </c>
      <c r="F232" s="1">
        <v>78.09</v>
      </c>
      <c r="G232" s="1">
        <v>93.326999999999998</v>
      </c>
    </row>
    <row r="233" spans="1:7" x14ac:dyDescent="0.2">
      <c r="A233" s="1" t="s">
        <v>278</v>
      </c>
      <c r="B233" s="1">
        <v>3156.86</v>
      </c>
      <c r="C233" s="1">
        <v>4275</v>
      </c>
      <c r="D233" s="1">
        <v>608</v>
      </c>
      <c r="E233" s="1">
        <v>480</v>
      </c>
      <c r="F233" s="1">
        <v>75.34</v>
      </c>
      <c r="G233" s="1">
        <v>93.194999999999993</v>
      </c>
    </row>
    <row r="234" spans="1:7" x14ac:dyDescent="0.2">
      <c r="A234" s="1" t="s">
        <v>279</v>
      </c>
      <c r="B234" s="1">
        <v>3157.6</v>
      </c>
      <c r="C234" s="1">
        <v>3864</v>
      </c>
      <c r="D234" s="1">
        <v>611</v>
      </c>
      <c r="E234" s="1">
        <v>481</v>
      </c>
      <c r="F234" s="1">
        <v>72.92</v>
      </c>
      <c r="G234" s="1">
        <v>92.581999999999994</v>
      </c>
    </row>
    <row r="235" spans="1:7" x14ac:dyDescent="0.2">
      <c r="A235" s="1" t="s">
        <v>280</v>
      </c>
      <c r="B235" s="1">
        <v>3097.58</v>
      </c>
      <c r="C235" s="1">
        <v>3944</v>
      </c>
      <c r="D235" s="1">
        <v>616</v>
      </c>
      <c r="E235" s="1">
        <v>517</v>
      </c>
      <c r="F235" s="1">
        <v>72.61</v>
      </c>
      <c r="G235" s="1">
        <v>92.034999999999997</v>
      </c>
    </row>
    <row r="236" spans="1:7" x14ac:dyDescent="0.2">
      <c r="A236" s="1" t="s">
        <v>281</v>
      </c>
      <c r="B236" s="1">
        <v>3079.04</v>
      </c>
      <c r="C236" s="1">
        <v>4235</v>
      </c>
      <c r="D236" s="1">
        <v>604</v>
      </c>
      <c r="E236" s="1">
        <v>512</v>
      </c>
      <c r="F236" s="1">
        <v>72.7</v>
      </c>
      <c r="G236" s="1">
        <v>92.686000000000007</v>
      </c>
    </row>
    <row r="237" spans="1:7" x14ac:dyDescent="0.2">
      <c r="A237" s="1" t="s">
        <v>282</v>
      </c>
      <c r="B237" s="1">
        <v>3047.32</v>
      </c>
      <c r="C237" s="1">
        <v>4092</v>
      </c>
      <c r="D237" s="1">
        <v>610</v>
      </c>
      <c r="E237" s="1">
        <v>489</v>
      </c>
      <c r="F237" s="1">
        <v>65.180000000000007</v>
      </c>
      <c r="G237" s="1">
        <v>93.495999999999995</v>
      </c>
    </row>
    <row r="238" spans="1:7" x14ac:dyDescent="0.2">
      <c r="A238" s="1" t="s">
        <v>283</v>
      </c>
      <c r="B238" s="1">
        <v>2978.47</v>
      </c>
      <c r="C238" s="1">
        <v>3566</v>
      </c>
      <c r="D238" s="1">
        <v>613</v>
      </c>
      <c r="E238" s="1">
        <v>525</v>
      </c>
      <c r="F238" s="1">
        <v>70.59</v>
      </c>
      <c r="G238" s="1">
        <v>92.518000000000001</v>
      </c>
    </row>
    <row r="239" spans="1:7" x14ac:dyDescent="0.2">
      <c r="A239" s="1" t="s">
        <v>284</v>
      </c>
      <c r="B239" s="1">
        <v>3006.82</v>
      </c>
      <c r="C239" s="1">
        <v>3371</v>
      </c>
      <c r="D239" s="1">
        <v>609</v>
      </c>
      <c r="E239" s="1">
        <v>513</v>
      </c>
      <c r="F239" s="1">
        <v>70.7</v>
      </c>
      <c r="G239" s="1">
        <v>92.8</v>
      </c>
    </row>
    <row r="240" spans="1:7" x14ac:dyDescent="0.2">
      <c r="A240" s="1" t="s">
        <v>285</v>
      </c>
      <c r="B240" s="1">
        <v>2930.03</v>
      </c>
      <c r="C240" s="1">
        <v>3292</v>
      </c>
      <c r="D240" s="1">
        <v>604</v>
      </c>
      <c r="E240" s="1">
        <v>488</v>
      </c>
      <c r="F240" s="1">
        <v>76.33</v>
      </c>
      <c r="G240" s="1">
        <v>92.174000000000007</v>
      </c>
    </row>
    <row r="241" spans="1:7" x14ac:dyDescent="0.2">
      <c r="A241" s="1" t="s">
        <v>286</v>
      </c>
      <c r="B241" s="1">
        <v>2854.02</v>
      </c>
      <c r="C241" s="1">
        <v>3199</v>
      </c>
      <c r="D241" s="1">
        <v>593</v>
      </c>
      <c r="E241" s="1">
        <v>457</v>
      </c>
      <c r="F241" s="1">
        <v>74.099999999999994</v>
      </c>
      <c r="G241" s="1">
        <v>92.912000000000006</v>
      </c>
    </row>
    <row r="242" spans="1:7" x14ac:dyDescent="0.2">
      <c r="A242" s="1" t="s">
        <v>287</v>
      </c>
      <c r="B242" s="1">
        <v>2771.54</v>
      </c>
      <c r="C242" s="1">
        <v>3039</v>
      </c>
      <c r="D242" s="1">
        <v>589</v>
      </c>
      <c r="E242" s="1">
        <v>463</v>
      </c>
      <c r="F242" s="1">
        <v>73.59</v>
      </c>
      <c r="G242" s="1">
        <v>92.686999999999998</v>
      </c>
    </row>
    <row r="243" spans="1:7" x14ac:dyDescent="0.2">
      <c r="A243" s="1" t="s">
        <v>288</v>
      </c>
      <c r="B243" s="1">
        <v>2698.83</v>
      </c>
      <c r="C243" s="1">
        <v>3300</v>
      </c>
      <c r="D243" s="1">
        <v>586</v>
      </c>
      <c r="E243" s="1">
        <v>445</v>
      </c>
      <c r="F243" s="1">
        <v>75.55</v>
      </c>
      <c r="G243" s="1">
        <v>92.13</v>
      </c>
    </row>
    <row r="244" spans="1:7" x14ac:dyDescent="0.2">
      <c r="A244" s="1" t="s">
        <v>289</v>
      </c>
      <c r="B244" s="1">
        <v>2653.32</v>
      </c>
      <c r="C244" s="1">
        <v>3285</v>
      </c>
      <c r="D244" s="1">
        <v>590</v>
      </c>
      <c r="E244" s="1">
        <v>444</v>
      </c>
      <c r="F244" s="1">
        <v>76.17</v>
      </c>
      <c r="G244" s="1">
        <v>92.225999999999999</v>
      </c>
    </row>
    <row r="245" spans="1:7" x14ac:dyDescent="0.2">
      <c r="A245" s="1" t="s">
        <v>290</v>
      </c>
      <c r="B245" s="1">
        <v>2591.41</v>
      </c>
      <c r="C245" s="1">
        <v>3255</v>
      </c>
      <c r="D245" s="1">
        <v>624</v>
      </c>
      <c r="E245" s="1">
        <v>449</v>
      </c>
      <c r="F245" s="1">
        <v>76.180000000000007</v>
      </c>
      <c r="G245" s="1">
        <v>91.850999999999999</v>
      </c>
    </row>
    <row r="246" spans="1:7" x14ac:dyDescent="0.2">
      <c r="A246" s="1" t="s">
        <v>291</v>
      </c>
      <c r="B246" s="1">
        <v>2526.65</v>
      </c>
      <c r="C246" s="1">
        <v>3218</v>
      </c>
      <c r="D246" s="1">
        <v>592</v>
      </c>
      <c r="E246" s="1">
        <v>452</v>
      </c>
      <c r="F246" s="1">
        <v>73.510000000000005</v>
      </c>
      <c r="G246" s="1">
        <v>92.224999999999994</v>
      </c>
    </row>
    <row r="247" spans="1:7" x14ac:dyDescent="0.2">
      <c r="A247" s="1" t="s">
        <v>292</v>
      </c>
      <c r="B247" s="8">
        <v>2373.77</v>
      </c>
      <c r="C247" s="1">
        <v>2857</v>
      </c>
      <c r="D247" s="1">
        <v>581</v>
      </c>
      <c r="E247" s="1">
        <v>455</v>
      </c>
      <c r="F247" s="1">
        <v>72.69</v>
      </c>
      <c r="G247" s="1">
        <v>90.555000000000007</v>
      </c>
    </row>
    <row r="248" spans="1:7" x14ac:dyDescent="0.2">
      <c r="A248" s="1" t="s">
        <v>293</v>
      </c>
      <c r="B248" s="1">
        <v>2373.77</v>
      </c>
      <c r="C248" s="1">
        <v>2438</v>
      </c>
      <c r="D248" s="1">
        <v>585</v>
      </c>
      <c r="E248" s="1">
        <v>484</v>
      </c>
      <c r="F248" s="1">
        <v>71.89</v>
      </c>
      <c r="G248" s="1">
        <v>90.135999999999996</v>
      </c>
    </row>
    <row r="249" spans="1:7" x14ac:dyDescent="0.2">
      <c r="A249" s="1" t="s">
        <v>294</v>
      </c>
      <c r="B249" s="1">
        <v>2296.36</v>
      </c>
      <c r="C249" s="1">
        <v>2596</v>
      </c>
      <c r="D249" s="1">
        <v>604</v>
      </c>
      <c r="E249" s="1">
        <v>509</v>
      </c>
      <c r="F249" s="1">
        <v>69.63</v>
      </c>
      <c r="G249" s="1">
        <v>90.031000000000006</v>
      </c>
    </row>
    <row r="250" spans="1:7" x14ac:dyDescent="0.2">
      <c r="A250" s="1" t="s">
        <v>295</v>
      </c>
      <c r="B250" s="1">
        <v>2216.63</v>
      </c>
      <c r="C250" s="1">
        <v>2869</v>
      </c>
      <c r="D250" s="1">
        <v>615</v>
      </c>
      <c r="E250" s="1">
        <v>538</v>
      </c>
      <c r="F250" s="1">
        <v>66.44</v>
      </c>
      <c r="G250" s="1">
        <v>90.016999999999996</v>
      </c>
    </row>
    <row r="251" spans="1:7" x14ac:dyDescent="0.2">
      <c r="A251" s="1" t="s">
        <v>296</v>
      </c>
      <c r="B251" s="1">
        <v>2134.37</v>
      </c>
      <c r="C251" s="1">
        <v>2939</v>
      </c>
      <c r="D251" s="1">
        <v>610</v>
      </c>
      <c r="E251" s="1">
        <v>517</v>
      </c>
      <c r="F251" s="1">
        <v>68.709999999999994</v>
      </c>
      <c r="G251" s="1">
        <v>90.320999999999998</v>
      </c>
    </row>
    <row r="252" spans="1:7" x14ac:dyDescent="0.2">
      <c r="A252" s="1" t="s">
        <v>297</v>
      </c>
      <c r="B252" s="1">
        <v>2074.35</v>
      </c>
      <c r="C252" s="1">
        <v>3183</v>
      </c>
      <c r="D252" s="1">
        <v>607</v>
      </c>
      <c r="E252" s="1">
        <v>472</v>
      </c>
      <c r="F252" s="1">
        <v>68.28</v>
      </c>
      <c r="G252" s="1">
        <v>90.233000000000004</v>
      </c>
    </row>
    <row r="253" spans="1:7" x14ac:dyDescent="0.2">
      <c r="A253" s="1" t="s">
        <v>298</v>
      </c>
      <c r="B253" s="1">
        <v>1991.16</v>
      </c>
      <c r="C253" s="1">
        <v>3053</v>
      </c>
      <c r="D253" s="1">
        <v>606</v>
      </c>
      <c r="E253" s="1">
        <v>469</v>
      </c>
      <c r="F253" s="1">
        <v>67.25</v>
      </c>
      <c r="G253" s="1">
        <v>91.28</v>
      </c>
    </row>
    <row r="254" spans="1:7" x14ac:dyDescent="0.2">
      <c r="A254" s="1" t="s">
        <v>299</v>
      </c>
      <c r="B254" s="1">
        <v>1903.5</v>
      </c>
      <c r="C254" s="1">
        <v>2788</v>
      </c>
      <c r="D254" s="1">
        <v>604</v>
      </c>
      <c r="E254" s="1">
        <v>484</v>
      </c>
      <c r="F254" s="1">
        <v>66.11</v>
      </c>
      <c r="G254" s="1">
        <v>90.858999999999995</v>
      </c>
    </row>
    <row r="255" spans="1:7" x14ac:dyDescent="0.2">
      <c r="A255" s="1" t="s">
        <v>300</v>
      </c>
      <c r="B255" s="1">
        <v>1853.53</v>
      </c>
      <c r="C255" s="1">
        <v>2385</v>
      </c>
      <c r="D255" s="1">
        <v>605</v>
      </c>
      <c r="E255" s="1">
        <v>539</v>
      </c>
      <c r="F255" s="1">
        <v>66.77</v>
      </c>
      <c r="G255" s="1">
        <v>91.555999999999997</v>
      </c>
    </row>
    <row r="256" spans="1:7" x14ac:dyDescent="0.2">
      <c r="A256" s="1" t="s">
        <v>301</v>
      </c>
      <c r="B256" s="1">
        <v>1858.01</v>
      </c>
      <c r="C256" s="1">
        <v>2085</v>
      </c>
      <c r="D256" s="1">
        <v>646</v>
      </c>
      <c r="E256" s="1">
        <v>567</v>
      </c>
      <c r="F256" s="1">
        <v>62.95</v>
      </c>
      <c r="G256" s="1">
        <v>92.162999999999997</v>
      </c>
    </row>
    <row r="257" spans="1:7" x14ac:dyDescent="0.2">
      <c r="A257" s="1" t="s">
        <v>302</v>
      </c>
      <c r="B257" s="1">
        <v>1871.78</v>
      </c>
      <c r="C257" s="1">
        <v>2072</v>
      </c>
      <c r="D257" s="1">
        <v>699</v>
      </c>
      <c r="E257" s="1">
        <v>624</v>
      </c>
      <c r="F257" s="1">
        <v>64.86</v>
      </c>
      <c r="G257" s="1">
        <v>93.022000000000006</v>
      </c>
    </row>
    <row r="258" spans="1:7" x14ac:dyDescent="0.2">
      <c r="A258" s="1" t="s">
        <v>303</v>
      </c>
      <c r="B258" s="8">
        <v>1908.09</v>
      </c>
      <c r="C258" s="1">
        <v>2178</v>
      </c>
      <c r="D258" s="1">
        <v>765</v>
      </c>
      <c r="E258" s="1">
        <v>675</v>
      </c>
      <c r="F258" s="1">
        <v>64.569999999999993</v>
      </c>
      <c r="G258" s="1">
        <v>92.766000000000005</v>
      </c>
    </row>
    <row r="259" spans="1:7" x14ac:dyDescent="0.2">
      <c r="A259" s="1" t="s">
        <v>304</v>
      </c>
      <c r="B259" s="1">
        <v>1908.09</v>
      </c>
      <c r="C259" s="1">
        <v>2281</v>
      </c>
      <c r="D259" s="1">
        <v>748</v>
      </c>
      <c r="E259" s="1">
        <v>581</v>
      </c>
      <c r="F259" s="1">
        <v>64.53</v>
      </c>
      <c r="G259" s="1">
        <v>91.918999999999997</v>
      </c>
    </row>
    <row r="260" spans="1:7" x14ac:dyDescent="0.2">
      <c r="A260" s="1" t="s">
        <v>305</v>
      </c>
      <c r="B260" s="1">
        <v>1912.13</v>
      </c>
      <c r="C260" s="1">
        <v>1960</v>
      </c>
      <c r="D260" s="1">
        <v>721</v>
      </c>
      <c r="E260" s="1">
        <v>531</v>
      </c>
      <c r="F260" s="1">
        <v>69.22</v>
      </c>
      <c r="G260" s="1">
        <v>91.679000000000002</v>
      </c>
    </row>
    <row r="261" spans="1:7" x14ac:dyDescent="0.2">
      <c r="A261" s="1" t="s">
        <v>306</v>
      </c>
      <c r="B261" s="1">
        <v>1970.58</v>
      </c>
      <c r="C261" s="1">
        <v>1829</v>
      </c>
      <c r="D261" s="1">
        <v>666</v>
      </c>
      <c r="E261" s="1">
        <v>488</v>
      </c>
      <c r="F261" s="1">
        <v>69.36</v>
      </c>
      <c r="G261" s="1">
        <v>91.977000000000004</v>
      </c>
    </row>
    <row r="262" spans="1:7" x14ac:dyDescent="0.2">
      <c r="A262" s="1" t="s">
        <v>307</v>
      </c>
      <c r="B262" s="1">
        <v>2059.52</v>
      </c>
      <c r="C262" s="1">
        <v>1675</v>
      </c>
      <c r="D262" s="1">
        <v>669</v>
      </c>
      <c r="E262" s="1">
        <v>526</v>
      </c>
      <c r="F262" s="1">
        <v>66.13</v>
      </c>
      <c r="G262" s="1">
        <v>90.879000000000005</v>
      </c>
    </row>
    <row r="263" spans="1:7" x14ac:dyDescent="0.2">
      <c r="A263" s="1" t="s">
        <v>308</v>
      </c>
      <c r="B263" s="1">
        <v>2071.71</v>
      </c>
      <c r="C263" s="1">
        <v>1698</v>
      </c>
      <c r="D263" s="1">
        <v>639</v>
      </c>
      <c r="E263" s="1">
        <v>571</v>
      </c>
      <c r="F263" s="1">
        <v>62.91</v>
      </c>
      <c r="G263" s="1">
        <v>90.364000000000004</v>
      </c>
    </row>
    <row r="264" spans="1:7" x14ac:dyDescent="0.2">
      <c r="A264" s="1" t="s">
        <v>309</v>
      </c>
      <c r="B264" s="1">
        <v>2061.5100000000002</v>
      </c>
      <c r="C264" s="1">
        <v>1339</v>
      </c>
      <c r="D264" s="1">
        <v>539</v>
      </c>
      <c r="E264" s="1">
        <v>498</v>
      </c>
      <c r="F264" s="1">
        <v>62.43</v>
      </c>
      <c r="G264" s="1">
        <v>90.48</v>
      </c>
    </row>
    <row r="265" spans="1:7" x14ac:dyDescent="0.2">
      <c r="A265" s="1" t="s">
        <v>310</v>
      </c>
      <c r="B265" s="1">
        <v>2060.2600000000002</v>
      </c>
      <c r="C265" s="1">
        <v>1333</v>
      </c>
      <c r="D265" s="1">
        <v>496</v>
      </c>
      <c r="E265" s="1">
        <v>483</v>
      </c>
      <c r="F265" s="1">
        <v>59.34</v>
      </c>
      <c r="G265" s="1">
        <v>91.042000000000002</v>
      </c>
    </row>
    <row r="266" spans="1:7" x14ac:dyDescent="0.2">
      <c r="A266" s="1" t="s">
        <v>311</v>
      </c>
      <c r="B266" s="1">
        <v>2040.18</v>
      </c>
      <c r="C266" s="1">
        <v>1452</v>
      </c>
      <c r="D266" s="1">
        <v>517</v>
      </c>
      <c r="E266" s="1">
        <v>511</v>
      </c>
      <c r="F266" s="1">
        <v>55.88</v>
      </c>
      <c r="G266" s="1">
        <v>90.584000000000003</v>
      </c>
    </row>
    <row r="267" spans="1:7" x14ac:dyDescent="0.2">
      <c r="A267" s="1" t="s">
        <v>312</v>
      </c>
      <c r="B267" s="1">
        <v>1966.64</v>
      </c>
      <c r="C267" s="1">
        <v>1810</v>
      </c>
      <c r="D267" s="1">
        <v>512</v>
      </c>
      <c r="E267" s="1">
        <v>510</v>
      </c>
      <c r="F267" s="1">
        <v>55.41</v>
      </c>
      <c r="G267" s="1">
        <v>90.238</v>
      </c>
    </row>
    <row r="268" spans="1:7" x14ac:dyDescent="0.2">
      <c r="A268" s="1" t="s">
        <v>313</v>
      </c>
      <c r="B268" s="1">
        <v>1863.84</v>
      </c>
      <c r="C268" s="1">
        <v>1754</v>
      </c>
      <c r="D268" s="1">
        <v>493</v>
      </c>
      <c r="E268" s="1">
        <v>465</v>
      </c>
      <c r="F268" s="1">
        <v>55.1</v>
      </c>
      <c r="G268" s="1">
        <v>90.772000000000006</v>
      </c>
    </row>
    <row r="269" spans="1:7" x14ac:dyDescent="0.2">
      <c r="A269" s="1" t="s">
        <v>314</v>
      </c>
      <c r="B269" s="1">
        <v>1753.85</v>
      </c>
      <c r="C269" s="1">
        <v>1606</v>
      </c>
      <c r="D269" s="1">
        <v>520</v>
      </c>
      <c r="E269" s="1">
        <v>447</v>
      </c>
      <c r="F269" s="1">
        <v>55.99</v>
      </c>
      <c r="G269" s="1">
        <v>90.097999999999999</v>
      </c>
    </row>
    <row r="270" spans="1:7" x14ac:dyDescent="0.2">
      <c r="A270" s="1" t="s">
        <v>315</v>
      </c>
      <c r="B270" s="1">
        <v>1658.58</v>
      </c>
      <c r="C270" s="8">
        <v>1374</v>
      </c>
      <c r="D270" s="8">
        <v>543</v>
      </c>
      <c r="E270" s="8">
        <v>434</v>
      </c>
      <c r="F270" s="1">
        <v>51.8</v>
      </c>
      <c r="G270" s="1">
        <v>89.936999999999998</v>
      </c>
    </row>
    <row r="271" spans="1:7" x14ac:dyDescent="0.2">
      <c r="A271" s="1" t="s">
        <v>316</v>
      </c>
      <c r="B271" s="1">
        <v>1577.2</v>
      </c>
      <c r="C271" s="1">
        <v>1366</v>
      </c>
      <c r="D271" s="1">
        <v>466</v>
      </c>
      <c r="E271" s="1">
        <v>385</v>
      </c>
      <c r="F271" s="1">
        <v>51.29</v>
      </c>
      <c r="G271" s="1">
        <v>90.222999999999999</v>
      </c>
    </row>
    <row r="272" spans="1:7" x14ac:dyDescent="0.2">
      <c r="A272" s="1" t="s">
        <v>317</v>
      </c>
      <c r="B272" s="1">
        <v>1488.72</v>
      </c>
      <c r="C272" s="1">
        <v>1325</v>
      </c>
      <c r="D272" s="1">
        <v>456</v>
      </c>
      <c r="E272" s="1">
        <v>406</v>
      </c>
      <c r="F272" s="1">
        <v>52.26</v>
      </c>
      <c r="G272" s="1">
        <v>90.016000000000005</v>
      </c>
    </row>
    <row r="273" spans="1:7" x14ac:dyDescent="0.2">
      <c r="A273" s="1" t="s">
        <v>318</v>
      </c>
      <c r="B273" s="1">
        <v>1411.98</v>
      </c>
      <c r="C273" s="1">
        <v>1211</v>
      </c>
      <c r="D273" s="1">
        <v>431</v>
      </c>
      <c r="E273" s="1">
        <v>425</v>
      </c>
      <c r="F273" s="1">
        <v>49.97</v>
      </c>
      <c r="G273" s="1">
        <v>90.975999999999999</v>
      </c>
    </row>
    <row r="274" spans="1:7" x14ac:dyDescent="0.2">
      <c r="A274" s="1" t="s">
        <v>319</v>
      </c>
      <c r="B274" s="1">
        <v>1323.83</v>
      </c>
      <c r="C274" s="1">
        <v>1197</v>
      </c>
      <c r="D274" s="1">
        <v>440</v>
      </c>
      <c r="E274" s="1">
        <v>354</v>
      </c>
      <c r="F274" s="1">
        <v>49.25</v>
      </c>
      <c r="G274" s="1">
        <v>90.700999999999993</v>
      </c>
    </row>
    <row r="275" spans="1:7" x14ac:dyDescent="0.2">
      <c r="A275" s="1" t="s">
        <v>320</v>
      </c>
      <c r="B275" s="1">
        <v>1198.72</v>
      </c>
      <c r="C275" s="1">
        <v>1230</v>
      </c>
      <c r="D275" s="1">
        <v>455</v>
      </c>
      <c r="E275" s="1">
        <v>360</v>
      </c>
      <c r="F275" s="1">
        <v>48.18</v>
      </c>
      <c r="G275" s="1">
        <v>91.79</v>
      </c>
    </row>
    <row r="276" spans="1:7" x14ac:dyDescent="0.2">
      <c r="A276" s="1" t="s">
        <v>321</v>
      </c>
      <c r="B276" s="1">
        <v>1145.67</v>
      </c>
      <c r="C276" s="1">
        <v>1148</v>
      </c>
      <c r="D276" s="1">
        <v>438</v>
      </c>
      <c r="E276" s="1">
        <v>368</v>
      </c>
      <c r="F276" s="1">
        <v>44.96</v>
      </c>
      <c r="G276" s="1">
        <v>92.391999999999996</v>
      </c>
    </row>
    <row r="277" spans="1:7" x14ac:dyDescent="0.2">
      <c r="A277" s="1" t="s">
        <v>322</v>
      </c>
      <c r="B277" s="1">
        <v>1107.28</v>
      </c>
      <c r="C277" s="1">
        <v>1115</v>
      </c>
      <c r="D277" s="1">
        <v>425</v>
      </c>
      <c r="E277" s="1">
        <v>337</v>
      </c>
      <c r="F277" s="1">
        <v>42.78</v>
      </c>
      <c r="G277" s="1">
        <v>92.754999999999995</v>
      </c>
    </row>
    <row r="278" spans="1:7" x14ac:dyDescent="0.2">
      <c r="A278" s="1" t="s">
        <v>323</v>
      </c>
      <c r="B278" s="1">
        <v>1110.7</v>
      </c>
      <c r="C278" s="1">
        <v>1196</v>
      </c>
      <c r="D278" s="1">
        <v>403</v>
      </c>
      <c r="E278" s="1">
        <v>309</v>
      </c>
      <c r="F278" s="1">
        <v>39.450000000000003</v>
      </c>
      <c r="G278" s="1">
        <v>92.228999999999999</v>
      </c>
    </row>
    <row r="279" spans="1:7" x14ac:dyDescent="0.2">
      <c r="A279" s="1" t="s">
        <v>324</v>
      </c>
      <c r="B279" s="1">
        <v>1074.19</v>
      </c>
      <c r="C279" s="1">
        <v>1283</v>
      </c>
      <c r="D279" s="1">
        <v>411</v>
      </c>
      <c r="E279" s="1">
        <v>312</v>
      </c>
      <c r="F279" s="1">
        <v>37.46</v>
      </c>
      <c r="G279" s="1">
        <v>94.037999999999997</v>
      </c>
    </row>
    <row r="280" spans="1:7" x14ac:dyDescent="0.2">
      <c r="A280" s="1" t="s">
        <v>325</v>
      </c>
      <c r="B280" s="1">
        <v>1054.3399999999999</v>
      </c>
      <c r="C280" s="1">
        <v>1415</v>
      </c>
      <c r="D280" s="1">
        <v>417</v>
      </c>
      <c r="E280" s="1">
        <v>333</v>
      </c>
      <c r="F280" s="1">
        <v>41.77</v>
      </c>
      <c r="G280" s="1">
        <v>92.768000000000001</v>
      </c>
    </row>
    <row r="281" spans="1:7" x14ac:dyDescent="0.2">
      <c r="A281" s="1" t="s">
        <v>326</v>
      </c>
      <c r="B281" s="1">
        <v>1053.8</v>
      </c>
      <c r="C281" s="1">
        <v>1477</v>
      </c>
      <c r="D281" s="1">
        <v>417</v>
      </c>
      <c r="E281" s="1">
        <v>355</v>
      </c>
      <c r="F281" s="1">
        <v>42.93</v>
      </c>
      <c r="G281" s="1">
        <v>93.682000000000002</v>
      </c>
    </row>
    <row r="282" spans="1:7" x14ac:dyDescent="0.2">
      <c r="A282" s="1" t="s">
        <v>327</v>
      </c>
      <c r="B282" s="1">
        <v>1050.32</v>
      </c>
      <c r="C282" s="1">
        <v>1892</v>
      </c>
      <c r="D282" s="1">
        <v>412</v>
      </c>
      <c r="E282" s="1">
        <v>361</v>
      </c>
      <c r="F282" s="1">
        <v>42.85</v>
      </c>
      <c r="G282" s="1">
        <v>93.057000000000002</v>
      </c>
    </row>
    <row r="283" spans="1:7" x14ac:dyDescent="0.2">
      <c r="A283" s="1" t="s">
        <v>328</v>
      </c>
      <c r="B283" s="8">
        <v>1007.44</v>
      </c>
      <c r="C283" s="1">
        <v>2020</v>
      </c>
      <c r="D283" s="1">
        <v>429</v>
      </c>
      <c r="E283" s="1">
        <v>372</v>
      </c>
      <c r="F283" s="1">
        <v>39.270000000000003</v>
      </c>
      <c r="G283" s="1">
        <v>93.843999999999994</v>
      </c>
    </row>
    <row r="284" spans="1:7" x14ac:dyDescent="0.2">
      <c r="A284" s="1" t="s">
        <v>329</v>
      </c>
      <c r="B284" s="1">
        <v>1007.44</v>
      </c>
      <c r="C284" s="1">
        <v>1667</v>
      </c>
      <c r="D284" s="1">
        <v>434</v>
      </c>
      <c r="E284" s="1">
        <v>388</v>
      </c>
      <c r="F284" s="1">
        <v>41.92</v>
      </c>
      <c r="G284" s="1">
        <v>94.641999999999996</v>
      </c>
    </row>
    <row r="285" spans="1:7" x14ac:dyDescent="0.2">
      <c r="A285" s="1" t="s">
        <v>330</v>
      </c>
      <c r="B285" s="1">
        <v>985.44</v>
      </c>
      <c r="C285" s="1">
        <v>1296</v>
      </c>
      <c r="D285" s="1">
        <v>441</v>
      </c>
      <c r="E285" s="1">
        <v>419</v>
      </c>
      <c r="F285" s="1">
        <v>43.15</v>
      </c>
      <c r="G285" s="1">
        <v>92.926000000000002</v>
      </c>
    </row>
    <row r="286" spans="1:7" x14ac:dyDescent="0.2">
      <c r="A286" s="1" t="s">
        <v>331</v>
      </c>
      <c r="B286" s="1">
        <v>949.48</v>
      </c>
      <c r="C286" s="1">
        <v>1267</v>
      </c>
      <c r="D286" s="1">
        <v>459</v>
      </c>
      <c r="E286" s="1">
        <v>467</v>
      </c>
      <c r="F286" s="1">
        <v>39.83</v>
      </c>
      <c r="G286" s="1">
        <v>93.332999999999998</v>
      </c>
    </row>
    <row r="287" spans="1:7" x14ac:dyDescent="0.2">
      <c r="A287" s="1" t="s">
        <v>332</v>
      </c>
      <c r="B287" s="1">
        <v>922</v>
      </c>
      <c r="C287" s="1">
        <v>1362</v>
      </c>
      <c r="D287" s="1">
        <v>446</v>
      </c>
      <c r="E287" s="1">
        <v>477</v>
      </c>
      <c r="F287" s="1">
        <v>42.66</v>
      </c>
      <c r="G287" s="1">
        <v>92.718999999999994</v>
      </c>
    </row>
    <row r="288" spans="1:7" x14ac:dyDescent="0.2">
      <c r="A288" s="1" t="s">
        <v>333</v>
      </c>
      <c r="B288" s="1">
        <v>905.23</v>
      </c>
      <c r="C288" s="1">
        <v>1488</v>
      </c>
      <c r="D288" s="1">
        <v>474</v>
      </c>
      <c r="E288" s="1">
        <v>485</v>
      </c>
      <c r="F288" s="1">
        <v>45.05</v>
      </c>
      <c r="G288" s="1">
        <v>92.370999999999995</v>
      </c>
    </row>
    <row r="289" spans="1:7" x14ac:dyDescent="0.2">
      <c r="A289" s="1" t="s">
        <v>334</v>
      </c>
      <c r="B289" s="1">
        <v>885.46</v>
      </c>
      <c r="C289" s="1">
        <v>1481</v>
      </c>
      <c r="D289" s="1">
        <v>483</v>
      </c>
      <c r="E289" s="1">
        <v>423</v>
      </c>
      <c r="F289" s="1">
        <v>44.35</v>
      </c>
      <c r="G289" s="1">
        <v>93.247</v>
      </c>
    </row>
    <row r="290" spans="1:7" x14ac:dyDescent="0.2">
      <c r="A290" s="1" t="s">
        <v>335</v>
      </c>
      <c r="B290" s="1">
        <v>880.53</v>
      </c>
      <c r="C290" s="1">
        <v>1595</v>
      </c>
      <c r="D290" s="1">
        <v>498</v>
      </c>
      <c r="E290" s="1">
        <v>399</v>
      </c>
      <c r="F290" s="1">
        <v>44.8</v>
      </c>
      <c r="G290" s="1">
        <v>93.096000000000004</v>
      </c>
    </row>
    <row r="291" spans="1:7" x14ac:dyDescent="0.2">
      <c r="A291" s="1" t="s">
        <v>336</v>
      </c>
      <c r="B291" s="1">
        <v>864.86</v>
      </c>
      <c r="C291" s="1">
        <v>1501</v>
      </c>
      <c r="D291" s="1">
        <v>507</v>
      </c>
      <c r="E291" s="1">
        <v>350</v>
      </c>
      <c r="F291" s="1">
        <v>44.4</v>
      </c>
      <c r="G291" s="1">
        <v>93.435000000000002</v>
      </c>
    </row>
    <row r="292" spans="1:7" x14ac:dyDescent="0.2">
      <c r="A292" s="1" t="s">
        <v>337</v>
      </c>
      <c r="B292" s="1">
        <v>865.53</v>
      </c>
      <c r="C292" s="1">
        <v>1350</v>
      </c>
      <c r="D292" s="1">
        <v>506</v>
      </c>
      <c r="E292" s="1">
        <v>356</v>
      </c>
      <c r="F292" s="1">
        <v>43.3</v>
      </c>
      <c r="G292" s="1">
        <v>93.349000000000004</v>
      </c>
    </row>
    <row r="293" spans="1:7" x14ac:dyDescent="0.2">
      <c r="A293" s="1" t="s">
        <v>338</v>
      </c>
      <c r="B293" s="1">
        <v>870.83</v>
      </c>
      <c r="C293" s="1">
        <v>1317</v>
      </c>
      <c r="D293" s="1">
        <v>520</v>
      </c>
      <c r="E293" s="1">
        <v>355</v>
      </c>
      <c r="F293" s="1">
        <v>43.34</v>
      </c>
      <c r="G293" s="1">
        <v>94.435000000000002</v>
      </c>
    </row>
    <row r="294" spans="1:7" x14ac:dyDescent="0.2">
      <c r="A294" s="1" t="s">
        <v>339</v>
      </c>
      <c r="B294" s="1">
        <v>862.11</v>
      </c>
      <c r="C294" s="1">
        <v>1710</v>
      </c>
      <c r="D294" s="1">
        <v>520</v>
      </c>
      <c r="E294" s="1">
        <v>329</v>
      </c>
      <c r="F294" s="1">
        <v>43.14</v>
      </c>
      <c r="G294" s="1">
        <v>95.941999999999993</v>
      </c>
    </row>
    <row r="295" spans="1:7" x14ac:dyDescent="0.2">
      <c r="A295" s="1" t="s">
        <v>340</v>
      </c>
      <c r="B295" s="1">
        <v>864.72</v>
      </c>
      <c r="C295" s="1">
        <v>1810</v>
      </c>
      <c r="D295" s="1">
        <v>500</v>
      </c>
      <c r="E295" s="1">
        <v>344</v>
      </c>
      <c r="F295" s="1">
        <v>43.24</v>
      </c>
      <c r="G295" s="1">
        <v>96.652000000000001</v>
      </c>
    </row>
    <row r="296" spans="1:7" x14ac:dyDescent="0.2">
      <c r="A296" s="1" t="s">
        <v>341</v>
      </c>
      <c r="B296" s="1">
        <v>853.9</v>
      </c>
      <c r="C296" s="1">
        <v>1894</v>
      </c>
      <c r="D296" s="1">
        <v>471</v>
      </c>
      <c r="E296" s="1">
        <v>382</v>
      </c>
      <c r="F296" s="1">
        <v>42.8</v>
      </c>
      <c r="G296" s="1">
        <v>97.171999999999997</v>
      </c>
    </row>
    <row r="297" spans="1:7" x14ac:dyDescent="0.2">
      <c r="A297" s="1" t="s">
        <v>342</v>
      </c>
      <c r="B297" s="1">
        <v>841.83</v>
      </c>
      <c r="C297" s="1">
        <v>1749</v>
      </c>
      <c r="D297" s="1">
        <v>467</v>
      </c>
      <c r="E297" s="1">
        <v>407</v>
      </c>
      <c r="F297" s="1">
        <v>41.02</v>
      </c>
      <c r="G297" s="1">
        <v>97.433000000000007</v>
      </c>
    </row>
    <row r="298" spans="1:7" x14ac:dyDescent="0.2">
      <c r="A298" s="1" t="s">
        <v>343</v>
      </c>
      <c r="B298" s="1">
        <v>842.6</v>
      </c>
      <c r="C298" s="1">
        <v>1555</v>
      </c>
      <c r="D298" s="1">
        <v>509</v>
      </c>
      <c r="E298" s="1">
        <v>401</v>
      </c>
      <c r="F298" s="1">
        <v>42.19</v>
      </c>
      <c r="G298" s="1">
        <v>97.623000000000005</v>
      </c>
    </row>
    <row r="299" spans="1:7" x14ac:dyDescent="0.2">
      <c r="A299" s="1" t="s">
        <v>344</v>
      </c>
      <c r="B299" s="1">
        <v>839.19</v>
      </c>
      <c r="C299" s="1">
        <v>923</v>
      </c>
      <c r="D299" s="1">
        <v>551</v>
      </c>
      <c r="E299" s="1">
        <v>418</v>
      </c>
      <c r="F299" s="1">
        <v>38.729999999999997</v>
      </c>
      <c r="G299" s="1">
        <v>97.319000000000003</v>
      </c>
    </row>
    <row r="300" spans="1:7" x14ac:dyDescent="0.2">
      <c r="A300" s="1" t="s">
        <v>345</v>
      </c>
      <c r="B300" s="1">
        <v>841.18</v>
      </c>
      <c r="C300" s="1">
        <v>679</v>
      </c>
      <c r="D300" s="1">
        <v>592</v>
      </c>
      <c r="E300" s="1">
        <v>475</v>
      </c>
      <c r="F300" s="1">
        <v>42.3</v>
      </c>
      <c r="G300" s="1">
        <v>96.936999999999998</v>
      </c>
    </row>
    <row r="301" spans="1:7" x14ac:dyDescent="0.2">
      <c r="A301" s="1" t="s">
        <v>346</v>
      </c>
      <c r="B301" s="1">
        <v>839.27</v>
      </c>
      <c r="C301" s="1">
        <v>504</v>
      </c>
      <c r="D301" s="1">
        <v>713</v>
      </c>
      <c r="E301" s="1">
        <v>587</v>
      </c>
      <c r="F301" s="1">
        <v>35.33</v>
      </c>
      <c r="G301" s="1">
        <v>98.343999999999994</v>
      </c>
    </row>
    <row r="302" spans="1:7" x14ac:dyDescent="0.2">
      <c r="A302" s="1" t="s">
        <v>347</v>
      </c>
      <c r="B302" s="1">
        <v>836.64</v>
      </c>
      <c r="C302" s="1">
        <v>498</v>
      </c>
      <c r="D302" s="1">
        <v>735</v>
      </c>
      <c r="E302" s="1">
        <v>579</v>
      </c>
      <c r="F302" s="1">
        <v>35.130000000000003</v>
      </c>
      <c r="G302" s="1">
        <v>99.863</v>
      </c>
    </row>
    <row r="303" spans="1:7" x14ac:dyDescent="0.2">
      <c r="A303" s="1" t="s">
        <v>348</v>
      </c>
      <c r="B303" s="1">
        <v>834.24</v>
      </c>
      <c r="C303" s="1">
        <v>407</v>
      </c>
      <c r="D303" s="1">
        <v>852</v>
      </c>
      <c r="E303" s="1">
        <v>704</v>
      </c>
      <c r="F303" s="1">
        <v>32.5</v>
      </c>
      <c r="G303" s="1">
        <v>100.402</v>
      </c>
    </row>
    <row r="304" spans="1:7" x14ac:dyDescent="0.2">
      <c r="A304" s="1" t="s">
        <v>349</v>
      </c>
      <c r="B304" s="1">
        <v>834.9</v>
      </c>
      <c r="C304" s="1">
        <v>514</v>
      </c>
      <c r="D304" s="1">
        <v>863</v>
      </c>
      <c r="E304" s="1">
        <v>1163</v>
      </c>
      <c r="F304" s="1">
        <v>30.97</v>
      </c>
      <c r="G304" s="1">
        <v>99.733999999999995</v>
      </c>
    </row>
    <row r="305" spans="1:7" x14ac:dyDescent="0.2">
      <c r="A305" s="1" t="s">
        <v>350</v>
      </c>
      <c r="B305" s="1">
        <v>851.1</v>
      </c>
      <c r="C305" s="1">
        <v>617</v>
      </c>
      <c r="D305" s="1">
        <v>1105</v>
      </c>
      <c r="E305" s="1">
        <v>1687</v>
      </c>
      <c r="F305" s="1">
        <v>26.44</v>
      </c>
      <c r="G305" s="1">
        <v>99.078999999999994</v>
      </c>
    </row>
    <row r="306" spans="1:7" x14ac:dyDescent="0.2">
      <c r="A306" s="1" t="s">
        <v>351</v>
      </c>
      <c r="B306" s="1">
        <v>870.33</v>
      </c>
      <c r="C306" s="1">
        <v>665</v>
      </c>
      <c r="D306" s="1">
        <v>1550</v>
      </c>
      <c r="E306" s="1">
        <v>2170</v>
      </c>
      <c r="F306" s="1">
        <v>21.44</v>
      </c>
      <c r="G306" s="1">
        <v>100.38</v>
      </c>
    </row>
    <row r="307" spans="1:7" x14ac:dyDescent="0.2">
      <c r="A307" s="1" t="s">
        <v>352</v>
      </c>
      <c r="B307" s="1">
        <v>884.19</v>
      </c>
      <c r="C307" s="1">
        <v>751</v>
      </c>
      <c r="D307" s="1">
        <v>1154</v>
      </c>
      <c r="E307" s="1">
        <v>949</v>
      </c>
      <c r="F307" s="1">
        <v>28.08</v>
      </c>
      <c r="G307" s="1">
        <v>99.781999999999996</v>
      </c>
    </row>
    <row r="308" spans="1:7" x14ac:dyDescent="0.2">
      <c r="A308" s="1" t="s">
        <v>353</v>
      </c>
      <c r="B308" s="1">
        <v>886.26</v>
      </c>
      <c r="C308" s="1">
        <v>635</v>
      </c>
      <c r="D308" s="1">
        <v>1114</v>
      </c>
      <c r="E308" s="1">
        <v>816</v>
      </c>
      <c r="F308" s="1">
        <v>31.48</v>
      </c>
      <c r="G308" s="1">
        <v>99.481999999999999</v>
      </c>
    </row>
    <row r="309" spans="1:7" x14ac:dyDescent="0.2">
      <c r="A309" s="1" t="s">
        <v>354</v>
      </c>
      <c r="B309" s="1">
        <v>896.09</v>
      </c>
      <c r="C309" s="1">
        <v>616</v>
      </c>
      <c r="D309" s="1">
        <v>1383</v>
      </c>
      <c r="E309" s="1">
        <v>874</v>
      </c>
      <c r="F309" s="1">
        <v>34.11</v>
      </c>
      <c r="G309" s="1">
        <v>100.57599999999999</v>
      </c>
    </row>
    <row r="310" spans="1:7" x14ac:dyDescent="0.2">
      <c r="A310" s="1" t="s">
        <v>355</v>
      </c>
      <c r="B310" s="1">
        <v>897.69</v>
      </c>
      <c r="C310" s="1">
        <v>556</v>
      </c>
      <c r="D310" s="1">
        <v>1230</v>
      </c>
      <c r="E310" s="1">
        <v>855</v>
      </c>
      <c r="F310" s="1">
        <v>24.93</v>
      </c>
      <c r="G310" s="1">
        <v>98.364999999999995</v>
      </c>
    </row>
    <row r="311" spans="1:7" x14ac:dyDescent="0.2">
      <c r="A311" s="1" t="s">
        <v>356</v>
      </c>
      <c r="B311" s="1">
        <v>894.23</v>
      </c>
      <c r="C311" s="1">
        <v>625</v>
      </c>
      <c r="D311" s="1">
        <v>1166</v>
      </c>
      <c r="E311" s="1">
        <v>848</v>
      </c>
      <c r="F311" s="1">
        <v>26.98</v>
      </c>
      <c r="G311" s="1">
        <v>102.81699999999999</v>
      </c>
    </row>
    <row r="312" spans="1:7" x14ac:dyDescent="0.2">
      <c r="A312" s="1" t="s">
        <v>357</v>
      </c>
      <c r="B312" s="1">
        <v>898.44</v>
      </c>
      <c r="C312" s="1">
        <v>631</v>
      </c>
      <c r="D312" s="1">
        <v>1434</v>
      </c>
      <c r="E312" s="1">
        <v>816</v>
      </c>
      <c r="F312" s="1">
        <v>33.85</v>
      </c>
      <c r="G312" s="1">
        <v>98.748999999999995</v>
      </c>
    </row>
    <row r="313" spans="1:7" x14ac:dyDescent="0.2">
      <c r="A313" s="1" t="s">
        <v>358</v>
      </c>
      <c r="B313" s="1">
        <v>904.24</v>
      </c>
      <c r="C313" s="1">
        <v>617</v>
      </c>
      <c r="D313" s="1">
        <v>764</v>
      </c>
      <c r="E313" s="1">
        <v>685</v>
      </c>
      <c r="F313" s="1">
        <v>45.27</v>
      </c>
      <c r="G313" s="1">
        <v>95.950999999999993</v>
      </c>
    </row>
    <row r="314" spans="1:7" x14ac:dyDescent="0.2">
      <c r="A314" s="1" t="s">
        <v>359</v>
      </c>
      <c r="B314" s="1">
        <v>905.4</v>
      </c>
      <c r="C314" s="1">
        <v>535</v>
      </c>
      <c r="D314" s="1">
        <v>796</v>
      </c>
      <c r="E314" s="1">
        <v>652</v>
      </c>
      <c r="F314" s="1">
        <v>50.52</v>
      </c>
      <c r="G314" s="1">
        <v>98.132000000000005</v>
      </c>
    </row>
    <row r="315" spans="1:7" x14ac:dyDescent="0.2">
      <c r="A315" s="1" t="s">
        <v>360</v>
      </c>
      <c r="B315" s="1">
        <v>920.05</v>
      </c>
      <c r="C315" s="1">
        <v>497</v>
      </c>
      <c r="D315" s="1">
        <v>865</v>
      </c>
      <c r="E315" s="1">
        <v>689</v>
      </c>
      <c r="F315" s="1">
        <v>58.5</v>
      </c>
      <c r="G315" s="1">
        <v>99.262</v>
      </c>
    </row>
    <row r="316" spans="1:7" x14ac:dyDescent="0.2">
      <c r="A316" s="1" t="s">
        <v>361</v>
      </c>
      <c r="B316" s="1">
        <v>936.65</v>
      </c>
      <c r="C316" s="1">
        <v>425</v>
      </c>
      <c r="D316" s="1">
        <v>865</v>
      </c>
      <c r="E316" s="1">
        <v>668</v>
      </c>
      <c r="F316" s="1">
        <v>57.32</v>
      </c>
      <c r="G316" s="1">
        <v>99.123999999999995</v>
      </c>
    </row>
    <row r="317" spans="1:7" x14ac:dyDescent="0.2">
      <c r="A317" s="1" t="s">
        <v>362</v>
      </c>
      <c r="B317" s="8">
        <v>965.31</v>
      </c>
      <c r="C317" s="1">
        <v>415</v>
      </c>
      <c r="D317" s="1">
        <v>803</v>
      </c>
      <c r="E317" s="1">
        <v>623</v>
      </c>
      <c r="F317" s="1">
        <v>54.47</v>
      </c>
      <c r="G317" s="1">
        <v>98.683999999999997</v>
      </c>
    </row>
    <row r="318" spans="1:7" x14ac:dyDescent="0.2">
      <c r="A318" s="1" t="s">
        <v>363</v>
      </c>
      <c r="B318" s="8">
        <v>965.31</v>
      </c>
      <c r="C318" s="1">
        <v>487</v>
      </c>
      <c r="D318" s="1">
        <v>882</v>
      </c>
      <c r="E318" s="1">
        <v>615</v>
      </c>
      <c r="F318" s="1">
        <v>58.16</v>
      </c>
      <c r="G318" s="1">
        <v>97.39</v>
      </c>
    </row>
    <row r="319" spans="1:7" x14ac:dyDescent="0.2">
      <c r="A319" s="1" t="s">
        <v>364</v>
      </c>
      <c r="B319" s="1">
        <v>965.31</v>
      </c>
      <c r="C319" s="1">
        <v>557</v>
      </c>
      <c r="D319" s="1">
        <v>1190</v>
      </c>
      <c r="E319" s="1">
        <v>639</v>
      </c>
      <c r="F319" s="1">
        <v>60.69</v>
      </c>
      <c r="G319" s="1">
        <v>97.852999999999994</v>
      </c>
    </row>
    <row r="320" spans="1:7" x14ac:dyDescent="0.2">
      <c r="A320" s="1" t="s">
        <v>365</v>
      </c>
      <c r="B320" s="1">
        <v>964.95</v>
      </c>
      <c r="C320" s="1">
        <v>754</v>
      </c>
      <c r="D320" s="1">
        <v>1241</v>
      </c>
      <c r="E320" s="1">
        <v>710</v>
      </c>
      <c r="F320" s="1">
        <v>64.849999999999994</v>
      </c>
      <c r="G320" s="1">
        <v>97.605999999999995</v>
      </c>
    </row>
    <row r="321" spans="1:7" x14ac:dyDescent="0.2">
      <c r="A321" s="1" t="s">
        <v>366</v>
      </c>
      <c r="B321" s="1">
        <v>927.06</v>
      </c>
      <c r="C321" s="1">
        <v>774</v>
      </c>
      <c r="D321" s="1">
        <v>1473</v>
      </c>
      <c r="E321" s="1">
        <v>801</v>
      </c>
      <c r="F321" s="1">
        <v>64.98</v>
      </c>
      <c r="G321" s="1">
        <v>97.355999999999995</v>
      </c>
    </row>
    <row r="322" spans="1:7" x14ac:dyDescent="0.2">
      <c r="A322" s="1" t="s">
        <v>367</v>
      </c>
      <c r="B322" s="1">
        <v>897.53</v>
      </c>
      <c r="C322" s="1">
        <v>907</v>
      </c>
      <c r="D322" s="1">
        <v>1517</v>
      </c>
      <c r="E322" s="1">
        <v>888</v>
      </c>
      <c r="F322" s="1">
        <v>68.599999999999994</v>
      </c>
      <c r="G322" s="1">
        <v>96.837999999999994</v>
      </c>
    </row>
    <row r="323" spans="1:7" x14ac:dyDescent="0.2">
      <c r="A323" s="1" t="s">
        <v>368</v>
      </c>
      <c r="B323" s="1">
        <v>878.86</v>
      </c>
      <c r="C323" s="1">
        <v>1090</v>
      </c>
      <c r="D323" s="1">
        <v>1597</v>
      </c>
      <c r="E323" s="1">
        <v>958</v>
      </c>
      <c r="F323" s="1">
        <v>68.16</v>
      </c>
      <c r="G323" s="1">
        <v>96.918999999999997</v>
      </c>
    </row>
    <row r="324" spans="1:7" x14ac:dyDescent="0.2">
      <c r="A324" s="1" t="s">
        <v>369</v>
      </c>
      <c r="B324" s="1">
        <v>854.37</v>
      </c>
      <c r="C324" s="1">
        <v>1123</v>
      </c>
      <c r="D324" s="1">
        <v>1589</v>
      </c>
      <c r="E324" s="1">
        <v>926</v>
      </c>
      <c r="F324" s="1">
        <v>66.14</v>
      </c>
      <c r="G324" s="1">
        <v>97.69</v>
      </c>
    </row>
    <row r="325" spans="1:7" x14ac:dyDescent="0.2">
      <c r="A325" s="1" t="s">
        <v>370</v>
      </c>
      <c r="B325" s="1">
        <v>836.55</v>
      </c>
      <c r="C325" s="1">
        <v>1355</v>
      </c>
      <c r="D325" s="1">
        <v>1440</v>
      </c>
      <c r="E325" s="1">
        <v>892</v>
      </c>
      <c r="F325" s="1">
        <v>65.22</v>
      </c>
      <c r="G325" s="1">
        <v>97.171999999999997</v>
      </c>
    </row>
    <row r="326" spans="1:7" x14ac:dyDescent="0.2">
      <c r="A326" s="1" t="s">
        <v>371</v>
      </c>
      <c r="B326" s="1">
        <v>822.72</v>
      </c>
      <c r="C326" s="1">
        <v>1558</v>
      </c>
      <c r="D326" s="1">
        <v>1315</v>
      </c>
      <c r="E326" s="1">
        <v>804</v>
      </c>
      <c r="F326" s="1">
        <v>64.39</v>
      </c>
      <c r="G326" s="1">
        <v>97.7</v>
      </c>
    </row>
    <row r="327" spans="1:7" x14ac:dyDescent="0.2">
      <c r="A327" s="1" t="s">
        <v>372</v>
      </c>
      <c r="B327" s="1">
        <v>825.57</v>
      </c>
      <c r="C327" s="1">
        <v>1528</v>
      </c>
      <c r="D327" s="1">
        <v>1267</v>
      </c>
      <c r="E327" s="1">
        <v>923</v>
      </c>
      <c r="F327" s="1">
        <v>62.43</v>
      </c>
      <c r="G327" s="1">
        <v>98.272999999999996</v>
      </c>
    </row>
    <row r="328" spans="1:7" x14ac:dyDescent="0.2">
      <c r="A328" s="1" t="s">
        <v>373</v>
      </c>
      <c r="B328" s="1">
        <v>835.98</v>
      </c>
      <c r="C328" s="1">
        <v>1284</v>
      </c>
      <c r="D328" s="1">
        <v>1296</v>
      </c>
      <c r="E328" s="1">
        <v>880</v>
      </c>
      <c r="F328" s="1">
        <v>63.39</v>
      </c>
      <c r="G328" s="1">
        <v>98.27</v>
      </c>
    </row>
    <row r="329" spans="1:7" x14ac:dyDescent="0.2">
      <c r="A329" s="1" t="s">
        <v>374</v>
      </c>
      <c r="B329" s="1">
        <v>834.87</v>
      </c>
      <c r="C329" s="1">
        <v>1357</v>
      </c>
      <c r="D329" s="1">
        <v>1119</v>
      </c>
      <c r="E329" s="1">
        <v>632</v>
      </c>
      <c r="F329" s="1">
        <v>63.3</v>
      </c>
      <c r="G329" s="1">
        <v>97.998999999999995</v>
      </c>
    </row>
    <row r="330" spans="1:7" x14ac:dyDescent="0.2">
      <c r="A330" s="1" t="s">
        <v>375</v>
      </c>
      <c r="B330" s="1">
        <v>808.93</v>
      </c>
      <c r="C330" s="1">
        <v>1378</v>
      </c>
      <c r="D330" s="1">
        <v>899</v>
      </c>
      <c r="E330" s="1">
        <v>617</v>
      </c>
      <c r="F330" s="1">
        <v>62.51</v>
      </c>
      <c r="G330" s="1">
        <v>98.352999999999994</v>
      </c>
    </row>
    <row r="331" spans="1:7" x14ac:dyDescent="0.2">
      <c r="A331" s="1" t="s">
        <v>376</v>
      </c>
      <c r="B331" s="1">
        <v>795.1</v>
      </c>
      <c r="C331" s="1">
        <v>1697</v>
      </c>
      <c r="D331" s="1">
        <v>1029</v>
      </c>
      <c r="E331" s="1">
        <v>687</v>
      </c>
      <c r="F331" s="1">
        <v>61.69</v>
      </c>
      <c r="G331" s="1">
        <v>97.239000000000004</v>
      </c>
    </row>
    <row r="332" spans="1:7" x14ac:dyDescent="0.2">
      <c r="A332" s="1" t="s">
        <v>377</v>
      </c>
      <c r="B332" s="1">
        <v>777.36</v>
      </c>
      <c r="C332" s="1">
        <v>1801</v>
      </c>
      <c r="D332" s="1">
        <v>1185</v>
      </c>
      <c r="E332" s="1">
        <v>742</v>
      </c>
      <c r="F332" s="1">
        <v>62.02</v>
      </c>
      <c r="G332" s="1">
        <v>97.831000000000003</v>
      </c>
    </row>
    <row r="333" spans="1:7" x14ac:dyDescent="0.2">
      <c r="A333" s="1" t="s">
        <v>378</v>
      </c>
      <c r="B333" s="1">
        <v>776.92</v>
      </c>
      <c r="C333" s="1">
        <v>1855</v>
      </c>
      <c r="D333" s="1">
        <v>1432</v>
      </c>
      <c r="E333" s="1">
        <v>937</v>
      </c>
      <c r="F333" s="1">
        <v>59.42</v>
      </c>
      <c r="G333" s="1">
        <v>97.281999999999996</v>
      </c>
    </row>
    <row r="334" spans="1:7" x14ac:dyDescent="0.2">
      <c r="A334" s="1" t="s">
        <v>379</v>
      </c>
      <c r="B334" s="1">
        <v>783.15</v>
      </c>
      <c r="C334" s="1">
        <v>1924</v>
      </c>
      <c r="D334" s="1">
        <v>1941</v>
      </c>
      <c r="E334" s="1">
        <v>666</v>
      </c>
      <c r="F334" s="1">
        <v>60.51</v>
      </c>
      <c r="G334" s="1">
        <v>98.301000000000002</v>
      </c>
    </row>
    <row r="335" spans="1:7" x14ac:dyDescent="0.2">
      <c r="A335" s="1" t="s">
        <v>380</v>
      </c>
      <c r="B335" s="8">
        <v>807.84</v>
      </c>
      <c r="C335" s="1">
        <v>1767</v>
      </c>
      <c r="D335" s="1">
        <v>1191</v>
      </c>
      <c r="E335" s="1">
        <v>544</v>
      </c>
      <c r="F335" s="1">
        <v>58.37</v>
      </c>
      <c r="G335" s="1">
        <v>98.808000000000007</v>
      </c>
    </row>
    <row r="336" spans="1:7" x14ac:dyDescent="0.2">
      <c r="A336" s="1" t="s">
        <v>381</v>
      </c>
      <c r="B336" s="1">
        <v>807.84</v>
      </c>
      <c r="C336" s="1">
        <v>1857</v>
      </c>
      <c r="D336" s="1">
        <v>935</v>
      </c>
      <c r="E336" s="1">
        <v>465</v>
      </c>
      <c r="F336" s="1">
        <v>61.91</v>
      </c>
      <c r="G336" s="1">
        <v>99.108999999999995</v>
      </c>
    </row>
    <row r="337" spans="1:7" x14ac:dyDescent="0.2">
      <c r="A337" s="1" t="s">
        <v>382</v>
      </c>
      <c r="B337" s="1">
        <v>818.33</v>
      </c>
      <c r="C337" s="1">
        <v>2131</v>
      </c>
      <c r="D337" s="1">
        <v>828</v>
      </c>
      <c r="E337" s="1">
        <v>451</v>
      </c>
      <c r="F337" s="1">
        <v>64.28</v>
      </c>
      <c r="G337" s="1">
        <v>98.513000000000005</v>
      </c>
    </row>
    <row r="338" spans="1:7" x14ac:dyDescent="0.2">
      <c r="A338" s="1" t="s">
        <v>383</v>
      </c>
      <c r="B338" s="1">
        <v>823.83</v>
      </c>
      <c r="C338" s="1">
        <v>2312</v>
      </c>
      <c r="D338" s="1">
        <v>708</v>
      </c>
      <c r="E338" s="1">
        <v>450</v>
      </c>
      <c r="F338" s="1">
        <v>60.22</v>
      </c>
      <c r="G338" s="1">
        <v>98.257000000000005</v>
      </c>
    </row>
    <row r="339" spans="1:7" x14ac:dyDescent="0.2">
      <c r="A339" s="1" t="s">
        <v>384</v>
      </c>
      <c r="B339" s="1">
        <v>823.75</v>
      </c>
      <c r="C339" s="1">
        <v>2462</v>
      </c>
      <c r="D339" s="1">
        <v>683</v>
      </c>
      <c r="E339" s="1">
        <v>459</v>
      </c>
      <c r="F339" s="1">
        <v>61.54</v>
      </c>
      <c r="G339" s="1">
        <v>98.394000000000005</v>
      </c>
    </row>
    <row r="340" spans="1:7" x14ac:dyDescent="0.2">
      <c r="A340" s="1" t="s">
        <v>385</v>
      </c>
      <c r="B340" s="1">
        <v>833.29</v>
      </c>
      <c r="C340" s="1">
        <v>2378</v>
      </c>
      <c r="D340" s="1">
        <v>656</v>
      </c>
      <c r="E340" s="1">
        <v>468</v>
      </c>
      <c r="F340" s="1">
        <v>60.43</v>
      </c>
      <c r="G340" s="1">
        <v>98.915999999999997</v>
      </c>
    </row>
    <row r="341" spans="1:7" x14ac:dyDescent="0.2">
      <c r="A341" s="1" t="s">
        <v>386</v>
      </c>
      <c r="B341" s="1">
        <v>833.56</v>
      </c>
      <c r="C341" s="1">
        <v>2168</v>
      </c>
      <c r="D341" s="1">
        <v>662</v>
      </c>
      <c r="E341" s="1">
        <v>469</v>
      </c>
      <c r="F341" s="1">
        <v>59.34</v>
      </c>
      <c r="G341" s="1">
        <v>97.64</v>
      </c>
    </row>
    <row r="342" spans="1:7" x14ac:dyDescent="0.2">
      <c r="A342" s="1" t="s">
        <v>387</v>
      </c>
      <c r="B342" s="1">
        <v>830.18</v>
      </c>
      <c r="C342" s="1">
        <v>2088</v>
      </c>
      <c r="D342" s="1">
        <v>646</v>
      </c>
      <c r="E342" s="1">
        <v>453</v>
      </c>
      <c r="F342" s="1">
        <v>58.64</v>
      </c>
      <c r="G342" s="1">
        <v>98.141999999999996</v>
      </c>
    </row>
    <row r="343" spans="1:7" x14ac:dyDescent="0.2">
      <c r="A343" s="1" t="s">
        <v>388</v>
      </c>
      <c r="B343" s="1">
        <v>817.64</v>
      </c>
      <c r="C343" s="1">
        <v>1748</v>
      </c>
      <c r="D343" s="1">
        <v>627</v>
      </c>
      <c r="E343" s="1">
        <v>488</v>
      </c>
      <c r="F343" s="1">
        <v>58.53</v>
      </c>
      <c r="G343" s="1">
        <v>97.491</v>
      </c>
    </row>
    <row r="344" spans="1:7" x14ac:dyDescent="0.2">
      <c r="A344" s="1" t="s">
        <v>389</v>
      </c>
      <c r="B344" s="1">
        <v>822.99</v>
      </c>
      <c r="C344" s="1">
        <v>1788</v>
      </c>
      <c r="D344" s="1">
        <v>621</v>
      </c>
      <c r="E344" s="1">
        <v>467</v>
      </c>
      <c r="F344" s="1">
        <v>61.89</v>
      </c>
      <c r="G344" s="1">
        <v>98.073999999999998</v>
      </c>
    </row>
    <row r="345" spans="1:7" x14ac:dyDescent="0.2">
      <c r="A345" s="1" t="s">
        <v>390</v>
      </c>
      <c r="B345" s="1">
        <v>823.95</v>
      </c>
      <c r="C345" s="1">
        <v>1937</v>
      </c>
      <c r="D345" s="1">
        <v>634</v>
      </c>
      <c r="E345" s="1">
        <v>466</v>
      </c>
      <c r="F345" s="1">
        <v>63.46</v>
      </c>
      <c r="G345" s="1">
        <v>98.01</v>
      </c>
    </row>
    <row r="346" spans="1:7" x14ac:dyDescent="0.2">
      <c r="A346" s="1" t="s">
        <v>391</v>
      </c>
      <c r="B346" s="1">
        <v>816.31</v>
      </c>
      <c r="C346" s="1">
        <v>2170</v>
      </c>
      <c r="D346" s="1">
        <v>622</v>
      </c>
      <c r="E346" s="1">
        <v>480</v>
      </c>
      <c r="F346" s="1">
        <v>62.47</v>
      </c>
      <c r="G346" s="1">
        <v>97.150999999999996</v>
      </c>
    </row>
    <row r="347" spans="1:7" x14ac:dyDescent="0.2">
      <c r="A347" s="1" t="s">
        <v>392</v>
      </c>
      <c r="B347" s="1">
        <v>813.99</v>
      </c>
      <c r="C347" s="1">
        <v>1865</v>
      </c>
      <c r="D347" s="1">
        <v>628</v>
      </c>
      <c r="E347" s="1">
        <v>524</v>
      </c>
      <c r="F347" s="1">
        <v>66.72</v>
      </c>
      <c r="G347" s="1">
        <v>96.81</v>
      </c>
    </row>
    <row r="348" spans="1:7" x14ac:dyDescent="0.2">
      <c r="A348" s="1" t="s">
        <v>393</v>
      </c>
      <c r="B348" s="1">
        <v>815.01</v>
      </c>
      <c r="C348" s="1">
        <v>1740</v>
      </c>
      <c r="D348" s="1">
        <v>650</v>
      </c>
      <c r="E348" s="1">
        <v>542</v>
      </c>
      <c r="F348" s="1">
        <v>64.23</v>
      </c>
      <c r="G348" s="1">
        <v>97.286000000000001</v>
      </c>
    </row>
    <row r="349" spans="1:7" x14ac:dyDescent="0.2">
      <c r="A349" s="1" t="s">
        <v>394</v>
      </c>
      <c r="B349" s="1">
        <v>818.97</v>
      </c>
      <c r="C349" s="1">
        <v>1354</v>
      </c>
      <c r="D349" s="1">
        <v>680</v>
      </c>
      <c r="E349" s="1">
        <v>539</v>
      </c>
      <c r="F349" s="1">
        <v>66.55</v>
      </c>
      <c r="G349" s="1">
        <v>96.13</v>
      </c>
    </row>
    <row r="350" spans="1:7" x14ac:dyDescent="0.2">
      <c r="A350" s="1" t="s">
        <v>395</v>
      </c>
      <c r="B350" s="1">
        <v>818.83</v>
      </c>
      <c r="C350" s="1">
        <v>1239</v>
      </c>
      <c r="D350" s="1">
        <v>679</v>
      </c>
      <c r="E350" s="1">
        <v>510</v>
      </c>
      <c r="F350" s="1">
        <v>65.2</v>
      </c>
      <c r="G350" s="1">
        <v>96.22</v>
      </c>
    </row>
    <row r="351" spans="1:7" x14ac:dyDescent="0.2">
      <c r="A351" s="1" t="s">
        <v>396</v>
      </c>
      <c r="B351" s="1">
        <v>811.44</v>
      </c>
      <c r="C351" s="1">
        <v>1085</v>
      </c>
      <c r="D351" s="1">
        <v>662</v>
      </c>
      <c r="E351" s="1">
        <v>491</v>
      </c>
      <c r="F351" s="1">
        <v>62.01</v>
      </c>
      <c r="G351" s="1">
        <v>97.572000000000003</v>
      </c>
    </row>
    <row r="352" spans="1:7" x14ac:dyDescent="0.2">
      <c r="A352" s="1" t="s">
        <v>397</v>
      </c>
      <c r="B352" s="1">
        <v>795.58</v>
      </c>
      <c r="C352" s="1">
        <v>1138</v>
      </c>
      <c r="D352" s="1">
        <v>643</v>
      </c>
      <c r="E352" s="1">
        <v>521</v>
      </c>
      <c r="F352" s="1">
        <v>63.29</v>
      </c>
      <c r="G352" s="1">
        <v>96.543999999999997</v>
      </c>
    </row>
    <row r="353" spans="1:7" x14ac:dyDescent="0.2">
      <c r="A353" s="1" t="s">
        <v>398</v>
      </c>
      <c r="B353" s="1">
        <v>798.3</v>
      </c>
      <c r="C353" s="1">
        <v>1096</v>
      </c>
      <c r="D353" s="1">
        <v>636</v>
      </c>
      <c r="E353" s="1">
        <v>537</v>
      </c>
      <c r="F353" s="1">
        <v>64.489999999999995</v>
      </c>
      <c r="G353" s="1">
        <v>97.75</v>
      </c>
    </row>
    <row r="354" spans="1:7" x14ac:dyDescent="0.2">
      <c r="A354" s="1" t="s">
        <v>399</v>
      </c>
      <c r="B354" s="1">
        <v>802.72</v>
      </c>
      <c r="C354" s="1">
        <v>1066</v>
      </c>
      <c r="D354" s="1">
        <v>665</v>
      </c>
      <c r="E354" s="1">
        <v>527</v>
      </c>
      <c r="F354" s="1">
        <v>68.69</v>
      </c>
      <c r="G354" s="1">
        <v>97.613</v>
      </c>
    </row>
    <row r="355" spans="1:7" x14ac:dyDescent="0.2">
      <c r="A355" s="1" t="s">
        <v>400</v>
      </c>
      <c r="B355" s="1">
        <v>804.46</v>
      </c>
      <c r="C355" s="1">
        <v>1040</v>
      </c>
      <c r="D355" s="1">
        <v>678</v>
      </c>
      <c r="E355" s="1">
        <v>512</v>
      </c>
      <c r="F355" s="1">
        <v>72.209999999999994</v>
      </c>
      <c r="G355" s="1">
        <v>97.995000000000005</v>
      </c>
    </row>
    <row r="356" spans="1:7" x14ac:dyDescent="0.2">
      <c r="A356" s="1" t="s">
        <v>401</v>
      </c>
      <c r="B356" s="1">
        <v>792.15</v>
      </c>
      <c r="C356" s="1">
        <v>1013</v>
      </c>
      <c r="D356" s="1">
        <v>697</v>
      </c>
      <c r="E356" s="1">
        <v>516</v>
      </c>
      <c r="F356" s="1">
        <v>70.62</v>
      </c>
      <c r="G356" s="1">
        <v>97.33</v>
      </c>
    </row>
    <row r="357" spans="1:7" x14ac:dyDescent="0.2">
      <c r="A357" s="1" t="s">
        <v>402</v>
      </c>
      <c r="B357" s="8">
        <v>802.27</v>
      </c>
      <c r="C357" s="1">
        <v>985</v>
      </c>
      <c r="D357" s="1">
        <v>645</v>
      </c>
      <c r="E357" s="1">
        <v>536</v>
      </c>
      <c r="F357" s="1">
        <v>70.849999999999994</v>
      </c>
      <c r="G357" s="1">
        <v>97.52</v>
      </c>
    </row>
    <row r="358" spans="1:7" x14ac:dyDescent="0.2">
      <c r="A358" s="1" t="s">
        <v>403</v>
      </c>
      <c r="B358" s="1">
        <v>802.27</v>
      </c>
      <c r="C358" s="1">
        <v>889</v>
      </c>
      <c r="D358" s="1">
        <v>640</v>
      </c>
      <c r="E358" s="1">
        <v>584</v>
      </c>
      <c r="F358" s="1">
        <v>72.150000000000006</v>
      </c>
      <c r="G358" s="1">
        <v>98.006</v>
      </c>
    </row>
    <row r="359" spans="1:7" x14ac:dyDescent="0.2">
      <c r="A359" s="1" t="s">
        <v>404</v>
      </c>
      <c r="B359" s="1">
        <v>801.28</v>
      </c>
      <c r="C359" s="1">
        <v>790</v>
      </c>
      <c r="D359" s="1">
        <v>653</v>
      </c>
      <c r="E359" s="1">
        <v>576</v>
      </c>
      <c r="F359" s="1">
        <v>71.97</v>
      </c>
      <c r="G359" s="1">
        <v>97.378</v>
      </c>
    </row>
    <row r="360" spans="1:7" x14ac:dyDescent="0.2">
      <c r="A360" s="1" t="s">
        <v>405</v>
      </c>
      <c r="B360" s="1">
        <v>799.79</v>
      </c>
      <c r="C360" s="1">
        <v>726</v>
      </c>
      <c r="D360" s="1">
        <v>639</v>
      </c>
      <c r="E360" s="1">
        <v>586</v>
      </c>
      <c r="F360" s="1">
        <v>71.55</v>
      </c>
      <c r="G360" s="1">
        <v>96.971999999999994</v>
      </c>
    </row>
    <row r="361" spans="1:7" x14ac:dyDescent="0.2">
      <c r="A361" s="1" t="s">
        <v>406</v>
      </c>
      <c r="B361" s="1">
        <v>797.14</v>
      </c>
      <c r="C361" s="1">
        <v>711</v>
      </c>
      <c r="D361" s="1">
        <v>617</v>
      </c>
      <c r="E361" s="1">
        <v>614</v>
      </c>
      <c r="F361" s="1">
        <v>70.34</v>
      </c>
      <c r="G361" s="1">
        <v>97.394999999999996</v>
      </c>
    </row>
    <row r="362" spans="1:7" x14ac:dyDescent="0.2">
      <c r="A362" s="1" t="s">
        <v>407</v>
      </c>
      <c r="B362" s="1">
        <v>798.52</v>
      </c>
      <c r="C362" s="1">
        <v>689</v>
      </c>
      <c r="D362" s="1">
        <v>648</v>
      </c>
      <c r="E362" s="1">
        <v>737</v>
      </c>
      <c r="F362" s="1">
        <v>68.39</v>
      </c>
      <c r="G362" s="1">
        <v>97.284000000000006</v>
      </c>
    </row>
    <row r="363" spans="1:7" x14ac:dyDescent="0.2">
      <c r="A363" s="1" t="s">
        <v>408</v>
      </c>
      <c r="B363" s="1">
        <v>813.37</v>
      </c>
      <c r="C363" s="1">
        <v>690</v>
      </c>
      <c r="D363" s="1">
        <v>695</v>
      </c>
      <c r="E363" s="1">
        <v>669</v>
      </c>
      <c r="F363" s="1">
        <v>67.03</v>
      </c>
      <c r="G363" s="1">
        <v>96.650999999999996</v>
      </c>
    </row>
    <row r="364" spans="1:7" x14ac:dyDescent="0.2">
      <c r="A364" s="1" t="s">
        <v>409</v>
      </c>
      <c r="B364" s="1">
        <v>821.04</v>
      </c>
      <c r="C364" s="1">
        <v>730</v>
      </c>
      <c r="D364" s="1">
        <v>735</v>
      </c>
      <c r="E364" s="1">
        <v>606</v>
      </c>
      <c r="F364" s="1">
        <v>67.16</v>
      </c>
      <c r="G364" s="1">
        <v>96.594999999999999</v>
      </c>
    </row>
    <row r="365" spans="1:7" x14ac:dyDescent="0.2">
      <c r="A365" s="1" t="s">
        <v>410</v>
      </c>
      <c r="B365" s="1">
        <v>830.49</v>
      </c>
      <c r="C365" s="1">
        <v>649</v>
      </c>
      <c r="D365" s="1">
        <v>742</v>
      </c>
      <c r="E365" s="1">
        <v>575</v>
      </c>
      <c r="F365" s="1">
        <v>65.739999999999995</v>
      </c>
      <c r="G365" s="1">
        <v>97.305999999999997</v>
      </c>
    </row>
    <row r="366" spans="1:7" x14ac:dyDescent="0.2">
      <c r="A366" s="1" t="s">
        <v>411</v>
      </c>
      <c r="B366" s="1">
        <v>850.47</v>
      </c>
      <c r="C366" s="1">
        <v>664</v>
      </c>
      <c r="D366" s="1">
        <v>774</v>
      </c>
      <c r="E366" s="1">
        <v>575</v>
      </c>
      <c r="F366" s="1">
        <v>65.069999999999993</v>
      </c>
      <c r="G366" s="1">
        <v>96.527000000000001</v>
      </c>
    </row>
    <row r="367" spans="1:7" x14ac:dyDescent="0.2">
      <c r="A367" s="1" t="s">
        <v>412</v>
      </c>
      <c r="B367" s="1">
        <v>878.77</v>
      </c>
      <c r="C367" s="1">
        <v>634</v>
      </c>
      <c r="D367" s="1">
        <v>823</v>
      </c>
      <c r="E367" s="1">
        <v>595</v>
      </c>
      <c r="F367" s="1">
        <v>67.12</v>
      </c>
      <c r="G367" s="1">
        <v>96.507000000000005</v>
      </c>
    </row>
    <row r="368" spans="1:7" x14ac:dyDescent="0.2">
      <c r="A368" s="1" t="s">
        <v>413</v>
      </c>
      <c r="B368" s="1">
        <v>888.84</v>
      </c>
      <c r="C368" s="1">
        <v>639</v>
      </c>
      <c r="D368" s="1">
        <v>818</v>
      </c>
      <c r="E368" s="1">
        <v>609</v>
      </c>
      <c r="F368" s="1">
        <v>66.25</v>
      </c>
      <c r="G368" s="1">
        <v>96.903999999999996</v>
      </c>
    </row>
    <row r="369" spans="1:7" x14ac:dyDescent="0.2">
      <c r="A369" s="1" t="s">
        <v>414</v>
      </c>
      <c r="B369" s="8">
        <v>891.32</v>
      </c>
      <c r="C369" s="1">
        <v>601</v>
      </c>
      <c r="D369" s="1">
        <v>795</v>
      </c>
      <c r="E369" s="1">
        <v>624</v>
      </c>
      <c r="F369" s="1">
        <v>62.1</v>
      </c>
      <c r="G369" s="1">
        <v>96.637</v>
      </c>
    </row>
    <row r="370" spans="1:7" x14ac:dyDescent="0.2">
      <c r="A370" s="1" t="s">
        <v>415</v>
      </c>
      <c r="B370" s="1">
        <v>891.32</v>
      </c>
      <c r="C370" s="1">
        <v>645</v>
      </c>
      <c r="D370" s="1">
        <v>843</v>
      </c>
      <c r="E370" s="1">
        <v>649</v>
      </c>
      <c r="F370" s="1">
        <v>62.75</v>
      </c>
      <c r="G370" s="1">
        <v>95.578999999999994</v>
      </c>
    </row>
    <row r="371" spans="1:7" x14ac:dyDescent="0.2">
      <c r="A371" s="1" t="s">
        <v>416</v>
      </c>
      <c r="B371" s="1">
        <v>880.25</v>
      </c>
      <c r="C371" s="1">
        <v>905</v>
      </c>
      <c r="D371" s="1">
        <v>877</v>
      </c>
      <c r="E371" s="1">
        <v>672</v>
      </c>
      <c r="F371" s="1">
        <v>61.64</v>
      </c>
      <c r="G371" s="1">
        <v>95.793999999999997</v>
      </c>
    </row>
    <row r="372" spans="1:7" x14ac:dyDescent="0.2">
      <c r="A372" s="1" t="s">
        <v>417</v>
      </c>
      <c r="B372" s="1">
        <v>871.56</v>
      </c>
      <c r="C372" s="1">
        <v>1112</v>
      </c>
      <c r="D372" s="1">
        <v>873</v>
      </c>
      <c r="E372" s="1">
        <v>661</v>
      </c>
      <c r="F372" s="1">
        <v>62.7</v>
      </c>
      <c r="G372" s="1">
        <v>96.335999999999999</v>
      </c>
    </row>
    <row r="373" spans="1:7" x14ac:dyDescent="0.2">
      <c r="A373" s="1" t="s">
        <v>418</v>
      </c>
      <c r="B373" s="1">
        <v>854.81</v>
      </c>
      <c r="C373" s="1">
        <v>1169</v>
      </c>
      <c r="D373" s="1">
        <v>929</v>
      </c>
      <c r="E373" s="1">
        <v>667</v>
      </c>
      <c r="F373" s="1">
        <v>60.48</v>
      </c>
      <c r="G373" s="1">
        <v>95.67</v>
      </c>
    </row>
    <row r="374" spans="1:7" x14ac:dyDescent="0.2">
      <c r="A374" s="1" t="s">
        <v>419</v>
      </c>
      <c r="B374" s="1">
        <v>841.78</v>
      </c>
      <c r="C374" s="1">
        <v>1260</v>
      </c>
      <c r="D374" s="1">
        <v>982</v>
      </c>
      <c r="E374" s="1">
        <v>656</v>
      </c>
      <c r="F374" s="1">
        <v>57.06</v>
      </c>
      <c r="G374" s="1">
        <v>96.179000000000002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주가</vt:lpstr>
      <vt:lpstr>주가 숫자</vt:lpstr>
      <vt:lpstr>Index</vt:lpstr>
      <vt:lpstr>Index 숫자</vt:lpstr>
      <vt:lpstr>환율</vt:lpstr>
      <vt:lpstr>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인턴6</cp:lastModifiedBy>
  <dcterms:created xsi:type="dcterms:W3CDTF">2026-02-23T05:14:33Z</dcterms:created>
  <dcterms:modified xsi:type="dcterms:W3CDTF">2026-03-03T06:27:20Z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